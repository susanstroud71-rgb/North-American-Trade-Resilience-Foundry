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49b46853a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otiator Dashboard" sheetId="1" r:id="R14db3a1f3f964c1a"/>
    <x:sheet xmlns:r="http://schemas.openxmlformats.org/officeDocument/2006/relationships" name="Product Decision Panel" sheetId="2" r:id="R1f92eb6f47c44bb0"/>
    <x:sheet xmlns:r="http://schemas.openxmlformats.org/officeDocument/2006/relationships" name="Decision Register" sheetId="3" r:id="R2b448cc25a5d4688"/>
    <x:sheet xmlns:r="http://schemas.openxmlformats.org/officeDocument/2006/relationships" name="Adoption Batches" sheetId="4" r:id="Rc224aff968ff4213"/>
    <x:sheet xmlns:r="http://schemas.openxmlformats.org/officeDocument/2006/relationships" name="Groups and Tranches" sheetId="5" r:id="Rc559cb26521943af"/>
    <x:sheet xmlns:r="http://schemas.openxmlformats.org/officeDocument/2006/relationships" name="Adoption Manifest" sheetId="6" r:id="Rf36ebb0bd6b944f8"/>
    <x:sheet xmlns:r="http://schemas.openxmlformats.org/officeDocument/2006/relationships" name="Read Me and Controls" sheetId="7" r:id="R1aaa585b06ce4da2"/>
    <x:sheet xmlns:r="http://schemas.openxmlformats.org/officeDocument/2006/relationships" name="QA" sheetId="8" r:id="Red4b3695bbc7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5e66d765d4413" /><Relationship Type="http://schemas.openxmlformats.org/officeDocument/2006/relationships/theme" Target="/xl/theme/theme1.xml" Id="Rb6e0fd51773842f6" /><Relationship Type="http://schemas.openxmlformats.org/officeDocument/2006/relationships/sharedStrings" Target="/xl/sharedStrings.xml" Id="Rfd9147f0ab914359" /><Relationship Type="http://schemas.openxmlformats.org/officeDocument/2006/relationships/worksheet" Target="/xl/worksheets/sheet1.xml" Id="R14db3a1f3f964c1a" /><Relationship Type="http://schemas.openxmlformats.org/officeDocument/2006/relationships/worksheet" Target="/xl/worksheets/sheet2.xml" Id="R1f92eb6f47c44bb0" /><Relationship Type="http://schemas.openxmlformats.org/officeDocument/2006/relationships/worksheet" Target="/xl/worksheets/sheet3.xml" Id="R2b448cc25a5d4688" /><Relationship Type="http://schemas.openxmlformats.org/officeDocument/2006/relationships/worksheet" Target="/xl/worksheets/sheet4.xml" Id="Rc224aff968ff4213" /><Relationship Type="http://schemas.openxmlformats.org/officeDocument/2006/relationships/worksheet" Target="/xl/worksheets/sheet5.xml" Id="Rc559cb26521943af" /><Relationship Type="http://schemas.openxmlformats.org/officeDocument/2006/relationships/worksheet" Target="/xl/worksheets/sheet6.xml" Id="Rf36ebb0bd6b944f8" /><Relationship Type="http://schemas.openxmlformats.org/officeDocument/2006/relationships/worksheet" Target="/xl/worksheets/sheet7.xml" Id="R1aaa585b06ce4da2" /><Relationship Type="http://schemas.openxmlformats.org/officeDocument/2006/relationships/worksheet" Target="/xl/worksheets/sheet8.xml" Id="Red4b3695bbc745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386574d1084a9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Negotiator decision workload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Decision classes</c:v>
          </c:tx>
          <c:cat>
            <c:strRef>
              <c:f>'Negotiator Dashboard'!$F$4:$F$8</c:f>
              <c:strCache>
                <c:ptCount val="0"/>
              </c:strCache>
            </c:strRef>
          </c:cat>
          <c:val>
            <c:numRef>
              <c:f>'Negotiator Dashboard'!$G$4:$G$8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11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386574d1084a9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DecisionPanel" displayName="ProductDecisionPanel" ref="A1:AC964" headerRowCount="1" totalsRowCount="0" totalsRowShown="0">
  <x:tableColumns count="29">
    <x:tableColumn id="1" name="ProductRecordID"/>
    <x:tableColumn id="2" name="HS6"/>
    <x:tableColumn id="3" name="Chapter"/>
    <x:tableColumn id="4" name="A/B Relationship"/>
    <x:tableColumn id="5" name="Current Coverage Status"/>
    <x:tableColumn id="6" name="US Records"/>
    <x:tableColumn id="7" name="MX Records"/>
    <x:tableColumn id="8" name="CA Records"/>
    <x:tableColumn id="9" name="US National Records (sample)"/>
    <x:tableColumn id="10" name="MX National Records (sample)"/>
    <x:tableColumn id="11" name="CA National Records (sample)"/>
    <x:tableColumn id="12" name="Coverage Decision"/>
    <x:tableColumn id="13" name="Coverage Authority / Instrument"/>
    <x:tableColumn id="14" name="Annex C Election"/>
    <x:tableColumn id="15" name="C Tranche / Group"/>
    <x:tableColumn id="16" name="Annex D Election"/>
    <x:tableColumn id="17" name="D Field / Group"/>
    <x:tableColumn id="18" name="Annex E Election"/>
    <x:tableColumn id="19" name="E Set ID"/>
    <x:tableColumn id="20" name="Annex G Rule Family"/>
    <x:tableColumn id="21" name="G Rule Group"/>
    <x:tableColumn id="22" name="Negotiator Note"/>
    <x:tableColumn id="23" name="Adoption / Source Reference"/>
    <x:tableColumn id="24" name="C Route"/>
    <x:tableColumn id="25" name="D Route"/>
    <x:tableColumn id="26" name="E Route"/>
    <x:tableColumn id="27" name="F Route"/>
    <x:tableColumn id="28" name="G Route"/>
    <x:tableColumn id="29" name="Overall Adoption 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gotiatorDecisionRegister" displayName="NegotiatorDecisionRegister" ref="A1:O25" headerRowCount="1" totalsRowCount="0" totalsRowShown="0">
  <x:tableColumns count="15">
    <x:tableColumn id="1" name="Annex"/>
    <x:tableColumn id="2" name="Decision ID"/>
    <x:tableColumn id="3" name="Decision Field"/>
    <x:tableColumn id="4" name="Question to Resolve"/>
    <x:tableColumn id="5" name="Decision Type"/>
    <x:tableColumn id="6" name="Decision Grain"/>
    <x:tableColumn id="7" name="Derivable After Decision?"/>
    <x:tableColumn id="8" name="Default / Consequence if Unresolved"/>
    <x:tableColumn id="9" name="Controlling Legal Source"/>
    <x:tableColumn id="10" name="Priority"/>
    <x:tableColumn id="11" name="Decision Status"/>
    <x:tableColumn id="12" name="Adopted Value / Rule"/>
    <x:tableColumn id="13" name="Adoption Authority / Instrument"/>
    <x:tableColumn id="14" name="Effective Event / Date"/>
    <x:tableColumn id="15" name="Negotiator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optionBatches" displayName="AdoptionBatches" ref="A1:K11" headerRowCount="1" totalsRowCount="0" totalsRowShown="0">
  <x:tableColumns count="11">
    <x:tableColumn id="1" name="Batch"/>
    <x:tableColumn id="2" name="Factory Operation"/>
    <x:tableColumn id="3" name="Annex"/>
    <x:tableColumn id="4" name="Population Scope"/>
    <x:tableColumn id="5" name="Action"/>
    <x:tableColumn id="6" name="Decision IDs / Input"/>
    <x:tableColumn id="7" name="Result / Dependency"/>
    <x:tableColumn id="8" name="Owner / Lead"/>
    <x:tableColumn id="9" name="Batch Status"/>
    <x:tableColumn id="10" name="Adoption Instrument"/>
    <x:tableColumn id="1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Tranches" displayName="GroupsTranches" ref="A1:K5" headerRowCount="1" totalsRowCount="0" totalsRowShown="0">
  <x:tableColumns count="11">
    <x:tableColumn id="1" name="Group ID"/>
    <x:tableColumn id="2" name="Annex"/>
    <x:tableColumn id="3" name="Group Type"/>
    <x:tableColumn id="4" name="ProductRecordIDs / Objective Scope"/>
    <x:tableColumn id="5" name="Parties"/>
    <x:tableColumn id="6" name="Decision / Rule"/>
    <x:tableColumn id="7" name="Parameters / Formula"/>
    <x:tableColumn id="8" name="Commencement / Activation Event"/>
    <x:tableColumn id="9" name="Authority / Instrument"/>
    <x:tableColumn id="10" name="Status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optionManifest" displayName="AdoptionManifest" ref="A1:K26" headerRowCount="1" totalsRowCount="0" totalsRowShown="0">
  <x:tableColumns count="11">
    <x:tableColumn id="1" name="Instrument ID"/>
    <x:tableColumn id="2" name="Instrument Type"/>
    <x:tableColumn id="3" name="Adopting Parties / Authority"/>
    <x:tableColumn id="4" name="Decision IDs"/>
    <x:tableColumn id="5" name="Affected Group IDs / ProductRecordIDs"/>
    <x:tableColumn id="6" name="Adoption Date"/>
    <x:tableColumn id="7" name="Effective Event / Date"/>
    <x:tableColumn id="8" name="Source / Archive Reference"/>
    <x:tableColumn id="9" name="Verification Status"/>
    <x:tableColumn id="10" name="Version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adMeControls" displayName="ReadMeControls" ref="A1:B10" headerRowCount="1" totalsRowCount="0" totalsRowShown="0">
  <x:tableColumns count="2">
    <x:tableColumn id="1" name="Control"/>
    <x:tableColumn id="2" name="Ru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egotiatorWorkbookQA" displayName="NegotiatorWorkbookQA" ref="A1:C12" headerRowCount="1" totalsRowCount="0" totalsRowShown="0">
  <x:tableColumns count="3">
    <x:tableColumn id="1" name="Check"/>
    <x:tableColumn id="2" name="Result"/>
    <x:tableColumn id="3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12e1391f0647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9724e4038e47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0aa2c6d80c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054e4a9f6144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3c8607445946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458092e2b8b47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3a24ee0dca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652d750be14a5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88" hidden="0" customWidth="1"/>
  </x:cols>
  <x:sheetData>
    <x:row r="1">
      <x:c r="A1" s="4" t="str">
        <x:v>NAAFTC Negotiator Decision and Adoption Workbook v1.0</x:v>
      </x:c>
    </x:row>
    <x:row r="3">
      <x:c r="A3" s="12" t="str">
        <x:v>Control</x:v>
      </x:c>
      <x:c r="B3" s="12" t="str">
        <x:v>Current state</x:v>
      </x:c>
      <x:c r="C3" s="12" t="str">
        <x:v>Target</x:v>
      </x:c>
      <x:c r="D3" s="12" t="str">
        <x:v>Meaning</x:v>
      </x:c>
      <x:c r="F3" s="9" t="str">
        <x:v>Workstream</x:v>
      </x:c>
      <x:c r="G3" s="9" t="str">
        <x:v>Decision classes</x:v>
      </x:c>
    </x:row>
    <x:row r="4">
      <x:c r="A4" s="13" t="str">
        <x:v>ProductRecordIDs</x:v>
      </x:c>
      <x:c r="B4" s="13" t="n">
        <x:v>963</x:v>
      </x:c>
      <x:c r="C4" s="13" t="n">
        <x:v>963</x:v>
      </x:c>
      <x:c r="D4" s="13" t="str">
        <x:v>Stable HS6-family identity universe from Annex A/B v2.1.</x:v>
      </x:c>
      <x:c r="F4" t="str">
        <x:v>Coverage</x:v>
      </x:c>
      <x:c r="G4" t="n">
        <x:v>1</x:v>
      </x:c>
    </x:row>
    <x:row r="5">
      <x:c r="A5" s="13" t="str">
        <x:v>Coverage decisions entered</x:v>
      </x:c>
      <x:c r="B5" s="13" t="n">
        <x:v>0</x:v>
      </x:c>
      <x:c r="C5" s="13" t="n">
        <x:v>963</x:v>
      </x:c>
      <x:c r="D5" s="13" t="str">
        <x:v>Coverage is a Compact decision; classification alone does not create it.</x:v>
      </x:c>
      <x:c r="F5" t="str">
        <x:v>C</x:v>
      </x:c>
      <x:c r="G5" t="n">
        <x:v>5</x:v>
      </x:c>
    </x:row>
    <x:row r="6">
      <x:c r="A6" s="13" t="str">
        <x:v>Annex C sensitive elections</x:v>
      </x:c>
      <x:c r="B6" s="13" t="n">
        <x:v>0</x:v>
      </x:c>
      <x:c r="C6" s="13" t="str">
        <x:v>As negotiated</x:v>
      </x:c>
      <x:c r="D6" s="13" t="str">
        <x:v>Default is no sensitive designation / Chapter 5 route.</x:v>
      </x:c>
      <x:c r="F6" t="str">
        <x:v>D</x:v>
      </x:c>
      <x:c r="G6" t="n">
        <x:v>5</x:v>
      </x:c>
    </x:row>
    <x:row r="7">
      <x:c r="A7" s="13" t="str">
        <x:v>Annex D managed-access elections</x:v>
      </x:c>
      <x:c r="B7" s="13" t="n">
        <x:v>0</x:v>
      </x:c>
      <x:c r="C7" s="13" t="str">
        <x:v>As negotiated</x:v>
      </x:c>
      <x:c r="D7" s="13" t="str">
        <x:v>Default is no managed-access field.</x:v>
      </x:c>
      <x:c r="F7" t="str">
        <x:v>E</x:v>
      </x:c>
      <x:c r="G7" t="n">
        <x:v>5</x:v>
      </x:c>
    </x:row>
    <x:row r="8">
      <x:c r="A8" s="13" t="str">
        <x:v>Annex E synchronized sets</x:v>
      </x:c>
      <x:c r="B8" s="13" t="n">
        <x:v>0</x:v>
      </x:c>
      <x:c r="C8" s="13" t="str">
        <x:v>As negotiated</x:v>
      </x:c>
      <x:c r="D8" s="13" t="str">
        <x:v>Default is independent treatment.</x:v>
      </x:c>
      <x:c r="F8" t="str">
        <x:v>G</x:v>
      </x:c>
      <x:c r="G8" t="n">
        <x:v>6</x:v>
      </x:c>
    </x:row>
    <x:row r="9">
      <x:c r="A9" s="13" t="str">
        <x:v>Annex G rule-family assignments</x:v>
      </x:c>
      <x:c r="B9" s="13" t="n">
        <x:v>0</x:v>
      </x:c>
      <x:c r="C9" s="13" t="str">
        <x:v>All Covered ProductRecordIDs requiring a product-specific rule</x:v>
      </x:c>
      <x:c r="D9" s="13" t="str">
        <x:v>Product-specific origin rules require adoption; excluded or out-of-scope records are not assigned a rule merely because they exist in the candidate universe.</x:v>
      </x:c>
    </x:row>
    <x:row r="10">
      <x:c r="A10" s="13" t="str">
        <x:v>Decision classes</x:v>
      </x:c>
      <x:c r="B10" s="13" t="n">
        <x:v>24</x:v>
      </x:c>
      <x:c r="C10" s="13" t="n">
        <x:v>24</x:v>
      </x:c>
      <x:c r="D10" s="13" t="str">
        <x:v>Compressed from thousands of apparent blanks.</x:v>
      </x:c>
    </x:row>
    <x:row r="11">
      <x:c r="A11" s="13" t="str">
        <x:v>Factory batches</x:v>
      </x:c>
      <x:c r="B11" s="13" t="n">
        <x:v>10</x:v>
      </x:c>
      <x:c r="C11" s="13" t="n">
        <x:v>10</x:v>
      </x:c>
      <x:c r="D11" s="13" t="str">
        <x:v>Recommended adoption sequence.</x:v>
      </x:c>
    </x:row>
    <x:row r="12">
      <x:c r="A12" s="13" t="str">
        <x:v>Unsupported values prefilled</x:v>
      </x:c>
      <x:c r="B12" s="13" t="n">
        <x:v>0</x:v>
      </x:c>
      <x:c r="C12" s="13" t="n">
        <x:v>0</x:v>
      </x:c>
      <x:c r="D12" s="13" t="str">
        <x:v>Workbook organizes decisions but does not make them.</x:v>
      </x:c>
    </x:row>
    <x:row r="15">
      <x:c r="A15" s="9" t="str">
        <x:v>Recommended use</x:v>
      </x:c>
      <x:c r="B15" s="9" t="str"/>
      <x:c r="C15" s="9" t="str"/>
      <x:c r="D15" s="9" t="str"/>
      <x:c r="E15" s="9" t="str"/>
      <x:c r="F15" s="9" t="str"/>
      <x:c r="G15" s="9" t="str"/>
      <x:c r="H15" s="9" t="str"/>
    </x:row>
    <x:row r="16">
      <x:c r="A16" t="str">
        <x:v>1. Resolve coverage before downstream operative treatment.</x:v>
      </x:c>
      <x:c r="B16" t="str"/>
      <x:c r="C16" t="str"/>
      <x:c r="D16" t="str"/>
      <x:c r="E16" t="str"/>
      <x:c r="F16" t="str"/>
      <x:c r="G16" t="str"/>
      <x:c r="H16" t="str"/>
    </x:row>
    <x:row r="17">
      <x:c r="A17" t="str">
        <x:v>2. Select only affirmative C/D/E treatments; defaults remain in force where no election is made.</x:v>
      </x:c>
      <x:c r="B17" t="str"/>
      <x:c r="C17" t="str"/>
      <x:c r="D17" t="str"/>
      <x:c r="E17" t="str"/>
      <x:c r="F17" t="str"/>
      <x:c r="G17" t="str"/>
      <x:c r="H17" t="str"/>
    </x:row>
    <x:row r="18">
      <x:c r="A18" t="str">
        <x:v>3. Group products into tranches/sets/rule families before entering detailed values.</x:v>
      </x:c>
      <x:c r="B18" t="str"/>
      <x:c r="C18" t="str"/>
      <x:c r="D18" t="str"/>
      <x:c r="E18" t="str"/>
      <x:c r="F18" t="str"/>
      <x:c r="G18" t="str"/>
      <x:c r="H18" t="str"/>
    </x:row>
    <x:row r="19">
      <x:c r="A19" t="str">
        <x:v>4. Record the legal/adoption instrument for every substantive decision.</x:v>
      </x:c>
      <x:c r="B19" t="str"/>
      <x:c r="C19" t="str"/>
      <x:c r="D19" t="str"/>
      <x:c r="E19" t="str"/>
      <x:c r="F19" t="str"/>
      <x:c r="G19" t="str"/>
      <x:c r="H19" t="str"/>
    </x:row>
    <x:row r="20">
      <x:c r="A20" t="str">
        <x:v>5. Use the routing columns to identify which downstream annex becomes actionable.</x:v>
      </x:c>
      <x:c r="B20" t="str"/>
      <x:c r="C20" t="str"/>
      <x:c r="D20" t="str"/>
      <x:c r="E20" t="str"/>
      <x:c r="F20" t="str"/>
      <x:c r="G20" t="str"/>
      <x:c r="H20" t="str"/>
    </x:row>
    <x:row r="21">
      <x:c r="A21" t="str">
        <x:v>6. Populate F only after upstream completion events exist; F records rather than creates completion.</x:v>
      </x:c>
      <x:c r="B21" t="str"/>
      <x:c r="C21" t="str"/>
      <x:c r="D21" t="str"/>
      <x:c r="E21" t="str"/>
      <x:c r="F21" t="str"/>
      <x:c r="G21" t="str"/>
      <x:c r="H21" t="str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212e1391f064712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9" hidden="0" customWidth="1"/>
    <x:col min="4" max="4" width="28" hidden="0" customWidth="1"/>
    <x:col min="5" max="5" width="20" hidden="0" customWidth="1"/>
    <x:col min="6" max="6" width="10" hidden="0" customWidth="1"/>
    <x:col min="7" max="7" width="10" hidden="0" customWidth="1"/>
    <x:col min="8" max="8" width="10" hidden="0" customWidth="1"/>
    <x:col min="9" max="9" width="38" hidden="0" customWidth="1"/>
    <x:col min="10" max="10" width="38" hidden="0" customWidth="1"/>
    <x:col min="11" max="11" width="38" hidden="0" customWidth="1"/>
    <x:col min="12" max="12" width="22" hidden="0" customWidth="1"/>
    <x:col min="13" max="13" width="42" hidden="0" customWidth="1"/>
    <x:col min="14" max="14" width="22" hidden="0" customWidth="1"/>
    <x:col min="15" max="15" width="24" hidden="0" customWidth="1"/>
    <x:col min="16" max="16" width="22" hidden="0" customWidth="1"/>
    <x:col min="17" max="17" width="24" hidden="0" customWidth="1"/>
    <x:col min="18" max="18" width="24" hidden="0" customWidth="1"/>
    <x:col min="19" max="19" width="20" hidden="0" customWidth="1"/>
    <x:col min="20" max="20" width="28" hidden="0" customWidth="1"/>
    <x:col min="21" max="21" width="24" hidden="0" customWidth="1"/>
    <x:col min="22" max="22" width="44" hidden="0" customWidth="1"/>
    <x:col min="23" max="23" width="52" hidden="0" customWidth="1"/>
    <x:col min="24" max="24" width="24" hidden="0" customWidth="1"/>
    <x:col min="25" max="25" width="24" hidden="0" customWidth="1"/>
    <x:col min="26" max="26" width="28" hidden="0" customWidth="1"/>
    <x:col min="27" max="27" width="28" hidden="0" customWidth="1"/>
    <x:col min="28" max="28" width="28" hidden="0" customWidth="1"/>
    <x:col min="29" max="29" width="30" hidden="0" customWidth="1"/>
  </x:cols>
  <x:sheetData>
    <x:row r="1">
      <x:c r="A1" s="17" t="str">
        <x:v>ProductRecordID</x:v>
      </x:c>
      <x:c r="B1" s="17" t="str">
        <x:v>HS6</x:v>
      </x:c>
      <x:c r="C1" s="17" t="str">
        <x:v>Chapter</x:v>
      </x:c>
      <x:c r="D1" s="17" t="str">
        <x:v>A/B Relationship</x:v>
      </x:c>
      <x:c r="E1" s="17" t="str">
        <x:v>Current Coverage Status</x:v>
      </x:c>
      <x:c r="F1" s="17" t="str">
        <x:v>US Records</x:v>
      </x:c>
      <x:c r="G1" s="17" t="str">
        <x:v>MX Records</x:v>
      </x:c>
      <x:c r="H1" s="17" t="str">
        <x:v>CA Records</x:v>
      </x:c>
      <x:c r="I1" s="17" t="str">
        <x:v>US National Records (sample)</x:v>
      </x:c>
      <x:c r="J1" s="17" t="str">
        <x:v>MX National Records (sample)</x:v>
      </x:c>
      <x:c r="K1" s="17" t="str">
        <x:v>CA National Records (sample)</x:v>
      </x:c>
      <x:c r="L1" s="17" t="str">
        <x:v>Coverage Decision</x:v>
      </x:c>
      <x:c r="M1" s="17" t="str">
        <x:v>Coverage Authority / Instrument</x:v>
      </x:c>
      <x:c r="N1" s="17" t="str">
        <x:v>Annex C Election</x:v>
      </x:c>
      <x:c r="O1" s="17" t="str">
        <x:v>C Tranche / Group</x:v>
      </x:c>
      <x:c r="P1" s="17" t="str">
        <x:v>Annex D Election</x:v>
      </x:c>
      <x:c r="Q1" s="17" t="str">
        <x:v>D Field / Group</x:v>
      </x:c>
      <x:c r="R1" s="17" t="str">
        <x:v>Annex E Election</x:v>
      </x:c>
      <x:c r="S1" s="17" t="str">
        <x:v>E Set ID</x:v>
      </x:c>
      <x:c r="T1" s="17" t="str">
        <x:v>Annex G Rule Family</x:v>
      </x:c>
      <x:c r="U1" s="17" t="str">
        <x:v>G Rule Group</x:v>
      </x:c>
      <x:c r="V1" s="17" t="str">
        <x:v>Negotiator Note</x:v>
      </x:c>
      <x:c r="W1" s="17" t="str">
        <x:v>Adoption / Source Reference</x:v>
      </x:c>
      <x:c r="X1" s="17" t="str">
        <x:v>C Route</x:v>
      </x:c>
      <x:c r="Y1" s="17" t="str">
        <x:v>D Route</x:v>
      </x:c>
      <x:c r="Z1" s="17" t="str">
        <x:v>E Route</x:v>
      </x:c>
      <x:c r="AA1" s="17" t="str">
        <x:v>F Route</x:v>
      </x:c>
      <x:c r="AB1" s="17" t="str">
        <x:v>G Route</x:v>
      </x:c>
      <x:c r="AC1" s="17" t="str">
        <x:v>Overall Adoption State</x:v>
      </x:c>
    </x:row>
    <x:row r="2">
      <x:c r="A2" s="13" t="str">
        <x:v>NAAFTC-HS6-010121</x:v>
      </x:c>
      <x:c r="B2" s="13" t="str">
        <x:v>010121</x:v>
      </x:c>
      <x:c r="C2" s="13" t="str">
        <x:v>01</x:v>
      </x:c>
      <x:c r="D2" s="13" t="str">
        <x:v>TRILATERAL_SPLIT_MERGE</x:v>
      </x:c>
      <x:c r="E2" s="13" t="str">
        <x:v>Pending</x:v>
      </x:c>
      <x:c r="F2" s="13" t="n">
        <x:v>2</x:v>
      </x:c>
      <x:c r="G2" s="13" t="n">
        <x:v>1</x:v>
      </x:c>
      <x:c r="H2" s="13" t="n">
        <x:v>1</x:v>
      </x:c>
      <x:c r="I2" s="13" t="str">
        <x:v>0101210010; 0101210020</x:v>
      </x:c>
      <x:c r="J2" s="13" t="str">
        <x:v>0101210100</x:v>
      </x:c>
      <x:c r="K2" s="13" t="str">
        <x:v>0101210000</x:v>
      </x:c>
      <x:c r="L2" s="13" t="str">
        <x:v>UNRESOLVED</x:v>
      </x:c>
      <x:c r="M2" s="13" t="str"/>
      <x:c r="N2" s="13" t="str">
        <x:v>NO / DEFAULT</x:v>
      </x:c>
      <x:c r="O2" s="13" t="str"/>
      <x:c r="P2" s="13" t="str">
        <x:v>NO / DEFAULT</x:v>
      </x:c>
      <x:c r="Q2" s="13" t="str"/>
      <x:c r="R2" s="13" t="str">
        <x:v>INDEPENDENT / DEFAULT</x:v>
      </x:c>
      <x:c r="S2" s="13" t="str"/>
      <x:c r="T2" s="13" t="str">
        <x:v>UNRESOLVED</x:v>
      </x:c>
      <x:c r="U2" s="13" t="str"/>
      <x:c r="V2" s="13" t="str"/>
      <x:c r="W2" s="13" t="str"/>
      <x:c r="X2" s="13" t="str">
        <x:f>IF(L2&lt;&gt;"COVERED","HELD — COVERAGE",IF(N2="YES — SENSITIVE","C ACTIONABLE","CHAPTER 5 DEFAULT"))</x:f>
        <x:v>HELD — COVERAGE</x:v>
      </x:c>
      <x:c r="Y2" s="13" t="str">
        <x:f>IF(L2&lt;&gt;"COVERED","HELD — COVERAGE",IF(P2="YES — MANAGED ACCESS","D ACTIONABLE","NO D FIELD"))</x:f>
        <x:v>HELD — COVERAGE</x:v>
      </x:c>
      <x:c r="Z2" s="13" t="str">
        <x:f>IF(L2&lt;&gt;"COVERED","HELD — COVERAGE",IF(OR(R2="PAIRED SYNCHRONIZED",R2="TRILATERAL SYNCHRONIZED"),"E ACTIONABLE","INDEPENDENT"))</x:f>
        <x:v>HELD — COVERAGE</x:v>
      </x:c>
      <x:c r="AA2" s="13" t="str">
        <x:f>IF(L2&lt;&gt;"COVERED","HELD — COVERAGE","WAIT FOR UPSTREAM COMPLETION")</x:f>
        <x:v>HELD — COVERAGE</x:v>
      </x:c>
      <x:c r="AB2" s="13" t="str">
        <x:f>IF(L2&lt;&gt;"COVERED","HELD — COVERAGE",IF(T2="UNRESOLVED","G DECISION REQUIRED",IF(T2="NOT APPLICABLE","G N/A","G ACTIONABLE")))</x:f>
        <x:v>HELD — COVERAGE</x:v>
      </x:c>
      <x:c r="AC2" s="13" t="str">
        <x:f>IF(L2="UNRESOLVED","COVERAGE FIRST",IF(OR(L2="EXCLUDED",L2="OUT OF SCOPE"),"CLOSED BY COVERAGE",IF(AND(L2="COVERED",T2&lt;&gt;"UNRESOLVED"),"PARTIALLY ADOPTED","DECISIONS REMAIN")))</x:f>
        <x:v>COVERAGE FIRST</x:v>
      </x:c>
    </x:row>
    <x:row r="3">
      <x:c r="A3" s="13" t="str">
        <x:v>NAAFTC-HS6-010129</x:v>
      </x:c>
      <x:c r="B3" s="13" t="str">
        <x:v>010129</x:v>
      </x:c>
      <x:c r="C3" s="13" t="str">
        <x:v>01</x:v>
      </x:c>
      <x:c r="D3" s="13" t="str">
        <x:v>TRILATERAL_SPLIT_MERGE</x:v>
      </x:c>
      <x:c r="E3" s="13" t="str">
        <x:v>Pending</x:v>
      </x:c>
      <x:c r="F3" s="13" t="n">
        <x:v>2</x:v>
      </x:c>
      <x:c r="G3" s="13" t="n">
        <x:v>4</x:v>
      </x:c>
      <x:c r="H3" s="13" t="n">
        <x:v>1</x:v>
      </x:c>
      <x:c r="I3" s="13" t="str">
        <x:v>0101290010; 0101290090</x:v>
      </x:c>
      <x:c r="J3" s="13" t="str">
        <x:v>0101290200; 0101290300; 0101299901; 0101299999</x:v>
      </x:c>
      <x:c r="K3" s="13" t="str">
        <x:v>01012900</x:v>
      </x:c>
      <x:c r="L3" s="13" t="str">
        <x:v>UNRESOLVED</x:v>
      </x:c>
      <x:c r="M3" s="13" t="str"/>
      <x:c r="N3" s="13" t="str">
        <x:v>NO / DEFAULT</x:v>
      </x:c>
      <x:c r="O3" s="13" t="str"/>
      <x:c r="P3" s="13" t="str">
        <x:v>NO / DEFAULT</x:v>
      </x:c>
      <x:c r="Q3" s="13" t="str"/>
      <x:c r="R3" s="13" t="str">
        <x:v>INDEPENDENT / DEFAULT</x:v>
      </x:c>
      <x:c r="S3" s="13" t="str"/>
      <x:c r="T3" s="13" t="str">
        <x:v>UNRESOLVED</x:v>
      </x:c>
      <x:c r="U3" s="13" t="str"/>
      <x:c r="V3" s="13" t="str"/>
      <x:c r="W3" s="13" t="str"/>
      <x:c r="X3" s="13" t="str">
        <x:f>IF(L3&lt;&gt;"COVERED","HELD — COVERAGE",IF(N3="YES — SENSITIVE","C ACTIONABLE","CHAPTER 5 DEFAULT"))</x:f>
        <x:v>HELD — COVERAGE</x:v>
      </x:c>
      <x:c r="Y3" s="13" t="str">
        <x:f>IF(L3&lt;&gt;"COVERED","HELD — COVERAGE",IF(P3="YES — MANAGED ACCESS","D ACTIONABLE","NO D FIELD"))</x:f>
        <x:v>HELD — COVERAGE</x:v>
      </x:c>
      <x:c r="Z3" s="13" t="str">
        <x:f>IF(L3&lt;&gt;"COVERED","HELD — COVERAGE",IF(OR(R3="PAIRED SYNCHRONIZED",R3="TRILATERAL SYNCHRONIZED"),"E ACTIONABLE","INDEPENDENT"))</x:f>
        <x:v>HELD — COVERAGE</x:v>
      </x:c>
      <x:c r="AA3" s="13" t="str">
        <x:f>IF(L3&lt;&gt;"COVERED","HELD — COVERAGE","WAIT FOR UPSTREAM COMPLETION")</x:f>
        <x:v>HELD — COVERAGE</x:v>
      </x:c>
      <x:c r="AB3" s="13" t="str">
        <x:f>IF(L3&lt;&gt;"COVERED","HELD — COVERAGE",IF(T3="UNRESOLVED","G DECISION REQUIRED",IF(T3="NOT APPLICABLE","G N/A","G ACTIONABLE")))</x:f>
        <x:v>HELD — COVERAGE</x:v>
      </x:c>
      <x:c r="AC3" s="13" t="str">
        <x:f>IF(L3="UNRESOLVED","COVERAGE FIRST",IF(OR(L3="EXCLUDED",L3="OUT OF SCOPE"),"CLOSED BY COVERAGE",IF(AND(L3="COVERED",T3&lt;&gt;"UNRESOLVED"),"PARTIALLY ADOPTED","DECISIONS REMAIN")))</x:f>
        <x:v>COVERAGE FIRST</x:v>
      </x:c>
    </x:row>
    <x:row r="4">
      <x:c r="A4" s="13" t="str">
        <x:v>NAAFTC-HS6-010130</x:v>
      </x:c>
      <x:c r="B4" s="13" t="str">
        <x:v>010130</x:v>
      </x:c>
      <x:c r="C4" s="13" t="str">
        <x:v>01</x:v>
      </x:c>
      <x:c r="D4" s="13" t="str">
        <x:v>TRILATERAL_1_TO_1_TO_1</x:v>
      </x:c>
      <x:c r="E4" s="13" t="str">
        <x:v>Pending</x:v>
      </x:c>
      <x:c r="F4" s="13" t="n">
        <x:v>1</x:v>
      </x:c>
      <x:c r="G4" s="13" t="n">
        <x:v>1</x:v>
      </x:c>
      <x:c r="H4" s="13" t="n">
        <x:v>1</x:v>
      </x:c>
      <x:c r="I4" s="13" t="str">
        <x:v>0101300000</x:v>
      </x:c>
      <x:c r="J4" s="13" t="str">
        <x:v>0101300100</x:v>
      </x:c>
      <x:c r="K4" s="13" t="str">
        <x:v>0101300000</x:v>
      </x:c>
      <x:c r="L4" s="13" t="str">
        <x:v>UNRESOLVED</x:v>
      </x:c>
      <x:c r="M4" s="13" t="str"/>
      <x:c r="N4" s="13" t="str">
        <x:v>NO / DEFAULT</x:v>
      </x:c>
      <x:c r="O4" s="13" t="str"/>
      <x:c r="P4" s="13" t="str">
        <x:v>NO / DEFAULT</x:v>
      </x:c>
      <x:c r="Q4" s="13" t="str"/>
      <x:c r="R4" s="13" t="str">
        <x:v>INDEPENDENT / DEFAULT</x:v>
      </x:c>
      <x:c r="S4" s="13" t="str"/>
      <x:c r="T4" s="13" t="str">
        <x:v>UNRESOLVED</x:v>
      </x:c>
      <x:c r="U4" s="13" t="str"/>
      <x:c r="V4" s="13" t="str"/>
      <x:c r="W4" s="13" t="str"/>
      <x:c r="X4" s="13" t="str">
        <x:f>IF(L4&lt;&gt;"COVERED","HELD — COVERAGE",IF(N4="YES — SENSITIVE","C ACTIONABLE","CHAPTER 5 DEFAULT"))</x:f>
        <x:v>HELD — COVERAGE</x:v>
      </x:c>
      <x:c r="Y4" s="13" t="str">
        <x:f>IF(L4&lt;&gt;"COVERED","HELD — COVERAGE",IF(P4="YES — MANAGED ACCESS","D ACTIONABLE","NO D FIELD"))</x:f>
        <x:v>HELD — COVERAGE</x:v>
      </x:c>
      <x:c r="Z4" s="13" t="str">
        <x:f>IF(L4&lt;&gt;"COVERED","HELD — COVERAGE",IF(OR(R4="PAIRED SYNCHRONIZED",R4="TRILATERAL SYNCHRONIZED"),"E ACTIONABLE","INDEPENDENT"))</x:f>
        <x:v>HELD — COVERAGE</x:v>
      </x:c>
      <x:c r="AA4" s="13" t="str">
        <x:f>IF(L4&lt;&gt;"COVERED","HELD — COVERAGE","WAIT FOR UPSTREAM COMPLETION")</x:f>
        <x:v>HELD — COVERAGE</x:v>
      </x:c>
      <x:c r="AB4" s="13" t="str">
        <x:f>IF(L4&lt;&gt;"COVERED","HELD — COVERAGE",IF(T4="UNRESOLVED","G DECISION REQUIRED",IF(T4="NOT APPLICABLE","G N/A","G ACTIONABLE")))</x:f>
        <x:v>HELD — COVERAGE</x:v>
      </x:c>
      <x:c r="AC4" s="13" t="str">
        <x:f>IF(L4="UNRESOLVED","COVERAGE FIRST",IF(OR(L4="EXCLUDED",L4="OUT OF SCOPE"),"CLOSED BY COVERAGE",IF(AND(L4="COVERED",T4&lt;&gt;"UNRESOLVED"),"PARTIALLY ADOPTED","DECISIONS REMAIN")))</x:f>
        <x:v>COVERAGE FIRST</x:v>
      </x:c>
    </x:row>
    <x:row r="5">
      <x:c r="A5" s="13" t="str">
        <x:v>NAAFTC-HS6-010190</x:v>
      </x:c>
      <x:c r="B5" s="13" t="str">
        <x:v>010190</x:v>
      </x:c>
      <x:c r="C5" s="13" t="str">
        <x:v>01</x:v>
      </x:c>
      <x:c r="D5" s="13" t="str">
        <x:v>TRILATERAL_SPLIT_MERGE</x:v>
      </x:c>
      <x:c r="E5" s="13" t="str">
        <x:v>Pending</x:v>
      </x:c>
      <x:c r="F5" s="13" t="n">
        <x:v>2</x:v>
      </x:c>
      <x:c r="G5" s="13" t="n">
        <x:v>1</x:v>
      </x:c>
      <x:c r="H5" s="13" t="n">
        <x:v>1</x:v>
      </x:c>
      <x:c r="I5" s="13" t="str">
        <x:v>0101903000; 0101904000</x:v>
      </x:c>
      <x:c r="J5" s="13" t="str">
        <x:v>0101909900</x:v>
      </x:c>
      <x:c r="K5" s="13" t="str">
        <x:v>0101900000</x:v>
      </x:c>
      <x:c r="L5" s="13" t="str">
        <x:v>UNRESOLVED</x:v>
      </x:c>
      <x:c r="M5" s="13" t="str"/>
      <x:c r="N5" s="13" t="str">
        <x:v>NO / DEFAULT</x:v>
      </x:c>
      <x:c r="O5" s="13" t="str"/>
      <x:c r="P5" s="13" t="str">
        <x:v>NO / DEFAULT</x:v>
      </x:c>
      <x:c r="Q5" s="13" t="str"/>
      <x:c r="R5" s="13" t="str">
        <x:v>INDEPENDENT / DEFAULT</x:v>
      </x:c>
      <x:c r="S5" s="13" t="str"/>
      <x:c r="T5" s="13" t="str">
        <x:v>UNRESOLVED</x:v>
      </x:c>
      <x:c r="U5" s="13" t="str"/>
      <x:c r="V5" s="13" t="str"/>
      <x:c r="W5" s="13" t="str"/>
      <x:c r="X5" s="13" t="str">
        <x:f>IF(L5&lt;&gt;"COVERED","HELD — COVERAGE",IF(N5="YES — SENSITIVE","C ACTIONABLE","CHAPTER 5 DEFAULT"))</x:f>
        <x:v>HELD — COVERAGE</x:v>
      </x:c>
      <x:c r="Y5" s="13" t="str">
        <x:f>IF(L5&lt;&gt;"COVERED","HELD — COVERAGE",IF(P5="YES — MANAGED ACCESS","D ACTIONABLE","NO D FIELD"))</x:f>
        <x:v>HELD — COVERAGE</x:v>
      </x:c>
      <x:c r="Z5" s="13" t="str">
        <x:f>IF(L5&lt;&gt;"COVERED","HELD — COVERAGE",IF(OR(R5="PAIRED SYNCHRONIZED",R5="TRILATERAL SYNCHRONIZED"),"E ACTIONABLE","INDEPENDENT"))</x:f>
        <x:v>HELD — COVERAGE</x:v>
      </x:c>
      <x:c r="AA5" s="13" t="str">
        <x:f>IF(L5&lt;&gt;"COVERED","HELD — COVERAGE","WAIT FOR UPSTREAM COMPLETION")</x:f>
        <x:v>HELD — COVERAGE</x:v>
      </x:c>
      <x:c r="AB5" s="13" t="str">
        <x:f>IF(L5&lt;&gt;"COVERED","HELD — COVERAGE",IF(T5="UNRESOLVED","G DECISION REQUIRED",IF(T5="NOT APPLICABLE","G N/A","G ACTIONABLE")))</x:f>
        <x:v>HELD — COVERAGE</x:v>
      </x:c>
      <x:c r="AC5" s="13" t="str">
        <x:f>IF(L5="UNRESOLVED","COVERAGE FIRST",IF(OR(L5="EXCLUDED",L5="OUT OF SCOPE"),"CLOSED BY COVERAGE",IF(AND(L5="COVERED",T5&lt;&gt;"UNRESOLVED"),"PARTIALLY ADOPTED","DECISIONS REMAIN")))</x:f>
        <x:v>COVERAGE FIRST</x:v>
      </x:c>
    </x:row>
    <x:row r="6">
      <x:c r="A6" s="13" t="str">
        <x:v>NAAFTC-HS6-010221</x:v>
      </x:c>
      <x:c r="B6" s="13" t="str">
        <x:v>010221</x:v>
      </x:c>
      <x:c r="C6" s="13" t="str">
        <x:v>01</x:v>
      </x:c>
      <x:c r="D6" s="13" t="str">
        <x:v>TRILATERAL_SPLIT_MERGE</x:v>
      </x:c>
      <x:c r="E6" s="13" t="str">
        <x:v>Pending</x:v>
      </x:c>
      <x:c r="F6" s="13" t="n">
        <x:v>4</x:v>
      </x:c>
      <x:c r="G6" s="13" t="n">
        <x:v>1</x:v>
      </x:c>
      <x:c r="H6" s="13" t="n">
        <x:v>1</x:v>
      </x:c>
      <x:c r="I6" s="13" t="str">
        <x:v>0102210010; 0102210020; 0102210030; 0102210050</x:v>
      </x:c>
      <x:c r="J6" s="13" t="str">
        <x:v>0102210100</x:v>
      </x:c>
      <x:c r="K6" s="13" t="str">
        <x:v>01022100</x:v>
      </x:c>
      <x:c r="L6" s="13" t="str">
        <x:v>UNRESOLVED</x:v>
      </x:c>
      <x:c r="M6" s="13" t="str"/>
      <x:c r="N6" s="13" t="str">
        <x:v>NO / DEFAULT</x:v>
      </x:c>
      <x:c r="O6" s="13" t="str"/>
      <x:c r="P6" s="13" t="str">
        <x:v>NO / DEFAULT</x:v>
      </x:c>
      <x:c r="Q6" s="13" t="str"/>
      <x:c r="R6" s="13" t="str">
        <x:v>INDEPENDENT / DEFAULT</x:v>
      </x:c>
      <x:c r="S6" s="13" t="str"/>
      <x:c r="T6" s="13" t="str">
        <x:v>UNRESOLVED</x:v>
      </x:c>
      <x:c r="U6" s="13" t="str"/>
      <x:c r="V6" s="13" t="str"/>
      <x:c r="W6" s="13" t="str"/>
      <x:c r="X6" s="13" t="str">
        <x:f>IF(L6&lt;&gt;"COVERED","HELD — COVERAGE",IF(N6="YES — SENSITIVE","C ACTIONABLE","CHAPTER 5 DEFAULT"))</x:f>
        <x:v>HELD — COVERAGE</x:v>
      </x:c>
      <x:c r="Y6" s="13" t="str">
        <x:f>IF(L6&lt;&gt;"COVERED","HELD — COVERAGE",IF(P6="YES — MANAGED ACCESS","D ACTIONABLE","NO D FIELD"))</x:f>
        <x:v>HELD — COVERAGE</x:v>
      </x:c>
      <x:c r="Z6" s="13" t="str">
        <x:f>IF(L6&lt;&gt;"COVERED","HELD — COVERAGE",IF(OR(R6="PAIRED SYNCHRONIZED",R6="TRILATERAL SYNCHRONIZED"),"E ACTIONABLE","INDEPENDENT"))</x:f>
        <x:v>HELD — COVERAGE</x:v>
      </x:c>
      <x:c r="AA6" s="13" t="str">
        <x:f>IF(L6&lt;&gt;"COVERED","HELD — COVERAGE","WAIT FOR UPSTREAM COMPLETION")</x:f>
        <x:v>HELD — COVERAGE</x:v>
      </x:c>
      <x:c r="AB6" s="13" t="str">
        <x:f>IF(L6&lt;&gt;"COVERED","HELD — COVERAGE",IF(T6="UNRESOLVED","G DECISION REQUIRED",IF(T6="NOT APPLICABLE","G N/A","G ACTIONABLE")))</x:f>
        <x:v>HELD — COVERAGE</x:v>
      </x:c>
      <x:c r="AC6" s="13" t="str">
        <x:f>IF(L6="UNRESOLVED","COVERAGE FIRST",IF(OR(L6="EXCLUDED",L6="OUT OF SCOPE"),"CLOSED BY COVERAGE",IF(AND(L6="COVERED",T6&lt;&gt;"UNRESOLVED"),"PARTIALLY ADOPTED","DECISIONS REMAIN")))</x:f>
        <x:v>COVERAGE FIRST</x:v>
      </x:c>
    </x:row>
    <x:row r="7">
      <x:c r="A7" s="13" t="str">
        <x:v>NAAFTC-HS6-010229</x:v>
      </x:c>
      <x:c r="B7" s="13" t="str">
        <x:v>010229</x:v>
      </x:c>
      <x:c r="C7" s="13" t="str">
        <x:v>01</x:v>
      </x:c>
      <x:c r="D7" s="13" t="str">
        <x:v>TRILATERAL_SPLIT_MERGE</x:v>
      </x:c>
      <x:c r="E7" s="13" t="str">
        <x:v>Pending</x:v>
      </x:c>
      <x:c r="F7" s="13" t="n">
        <x:v>16</x:v>
      </x:c>
      <x:c r="G7" s="13" t="n">
        <x:v>3</x:v>
      </x:c>
      <x:c r="H7" s="13" t="n">
        <x:v>1</x:v>
      </x:c>
      <x:c r="I7" s="13" t="str">
        <x:v>0102292011; 0102292012; 0102294024; 0102294028; 0102294034; 0102294038; +10 more</x:v>
      </x:c>
      <x:c r="J7" s="13" t="str">
        <x:v>0102290100; 0102290200; 0102299900</x:v>
      </x:c>
      <x:c r="K7" s="13" t="str">
        <x:v>01022900</x:v>
      </x:c>
      <x:c r="L7" s="13" t="str">
        <x:v>UNRESOLVED</x:v>
      </x:c>
      <x:c r="M7" s="13" t="str"/>
      <x:c r="N7" s="13" t="str">
        <x:v>NO / DEFAULT</x:v>
      </x:c>
      <x:c r="O7" s="13" t="str"/>
      <x:c r="P7" s="13" t="str">
        <x:v>NO / DEFAULT</x:v>
      </x:c>
      <x:c r="Q7" s="13" t="str"/>
      <x:c r="R7" s="13" t="str">
        <x:v>INDEPENDENT / DEFAULT</x:v>
      </x:c>
      <x:c r="S7" s="13" t="str"/>
      <x:c r="T7" s="13" t="str">
        <x:v>UNRESOLVED</x:v>
      </x:c>
      <x:c r="U7" s="13" t="str"/>
      <x:c r="V7" s="13" t="str"/>
      <x:c r="W7" s="13" t="str"/>
      <x:c r="X7" s="13" t="str">
        <x:f>IF(L7&lt;&gt;"COVERED","HELD — COVERAGE",IF(N7="YES — SENSITIVE","C ACTIONABLE","CHAPTER 5 DEFAULT"))</x:f>
        <x:v>HELD — COVERAGE</x:v>
      </x:c>
      <x:c r="Y7" s="13" t="str">
        <x:f>IF(L7&lt;&gt;"COVERED","HELD — COVERAGE",IF(P7="YES — MANAGED ACCESS","D ACTIONABLE","NO D FIELD"))</x:f>
        <x:v>HELD — COVERAGE</x:v>
      </x:c>
      <x:c r="Z7" s="13" t="str">
        <x:f>IF(L7&lt;&gt;"COVERED","HELD — COVERAGE",IF(OR(R7="PAIRED SYNCHRONIZED",R7="TRILATERAL SYNCHRONIZED"),"E ACTIONABLE","INDEPENDENT"))</x:f>
        <x:v>HELD — COVERAGE</x:v>
      </x:c>
      <x:c r="AA7" s="13" t="str">
        <x:f>IF(L7&lt;&gt;"COVERED","HELD — COVERAGE","WAIT FOR UPSTREAM COMPLETION")</x:f>
        <x:v>HELD — COVERAGE</x:v>
      </x:c>
      <x:c r="AB7" s="13" t="str">
        <x:f>IF(L7&lt;&gt;"COVERED","HELD — COVERAGE",IF(T7="UNRESOLVED","G DECISION REQUIRED",IF(T7="NOT APPLICABLE","G N/A","G ACTIONABLE")))</x:f>
        <x:v>HELD — COVERAGE</x:v>
      </x:c>
      <x:c r="AC7" s="13" t="str">
        <x:f>IF(L7="UNRESOLVED","COVERAGE FIRST",IF(OR(L7="EXCLUDED",L7="OUT OF SCOPE"),"CLOSED BY COVERAGE",IF(AND(L7="COVERED",T7&lt;&gt;"UNRESOLVED"),"PARTIALLY ADOPTED","DECISIONS REMAIN")))</x:f>
        <x:v>COVERAGE FIRST</x:v>
      </x:c>
    </x:row>
    <x:row r="8">
      <x:c r="A8" s="13" t="str">
        <x:v>NAAFTC-HS6-010231</x:v>
      </x:c>
      <x:c r="B8" s="13" t="str">
        <x:v>010231</x:v>
      </x:c>
      <x:c r="C8" s="13" t="str">
        <x:v>01</x:v>
      </x:c>
      <x:c r="D8" s="13" t="str">
        <x:v>TRILATERAL_SPLIT_MERGE</x:v>
      </x:c>
      <x:c r="E8" s="13" t="str">
        <x:v>Pending</x:v>
      </x:c>
      <x:c r="F8" s="13" t="n">
        <x:v>2</x:v>
      </x:c>
      <x:c r="G8" s="13" t="n">
        <x:v>1</x:v>
      </x:c>
      <x:c r="H8" s="13" t="n">
        <x:v>1</x:v>
      </x:c>
      <x:c r="I8" s="13" t="str">
        <x:v>0102310010; 0102310020</x:v>
      </x:c>
      <x:c r="J8" s="13" t="str">
        <x:v>0102310100</x:v>
      </x:c>
      <x:c r="K8" s="13" t="str">
        <x:v>0102310000</x:v>
      </x:c>
      <x:c r="L8" s="13" t="str">
        <x:v>UNRESOLVED</x:v>
      </x:c>
      <x:c r="M8" s="13" t="str"/>
      <x:c r="N8" s="13" t="str">
        <x:v>NO / DEFAULT</x:v>
      </x:c>
      <x:c r="O8" s="13" t="str"/>
      <x:c r="P8" s="13" t="str">
        <x:v>NO / DEFAULT</x:v>
      </x:c>
      <x:c r="Q8" s="13" t="str"/>
      <x:c r="R8" s="13" t="str">
        <x:v>INDEPENDENT / DEFAULT</x:v>
      </x:c>
      <x:c r="S8" s="13" t="str"/>
      <x:c r="T8" s="13" t="str">
        <x:v>UNRESOLVED</x:v>
      </x:c>
      <x:c r="U8" s="13" t="str"/>
      <x:c r="V8" s="13" t="str"/>
      <x:c r="W8" s="13" t="str"/>
      <x:c r="X8" s="13" t="str">
        <x:f>IF(L8&lt;&gt;"COVERED","HELD — COVERAGE",IF(N8="YES — SENSITIVE","C ACTIONABLE","CHAPTER 5 DEFAULT"))</x:f>
        <x:v>HELD — COVERAGE</x:v>
      </x:c>
      <x:c r="Y8" s="13" t="str">
        <x:f>IF(L8&lt;&gt;"COVERED","HELD — COVERAGE",IF(P8="YES — MANAGED ACCESS","D ACTIONABLE","NO D FIELD"))</x:f>
        <x:v>HELD — COVERAGE</x:v>
      </x:c>
      <x:c r="Z8" s="13" t="str">
        <x:f>IF(L8&lt;&gt;"COVERED","HELD — COVERAGE",IF(OR(R8="PAIRED SYNCHRONIZED",R8="TRILATERAL SYNCHRONIZED"),"E ACTIONABLE","INDEPENDENT"))</x:f>
        <x:v>HELD — COVERAGE</x:v>
      </x:c>
      <x:c r="AA8" s="13" t="str">
        <x:f>IF(L8&lt;&gt;"COVERED","HELD — COVERAGE","WAIT FOR UPSTREAM COMPLETION")</x:f>
        <x:v>HELD — COVERAGE</x:v>
      </x:c>
      <x:c r="AB8" s="13" t="str">
        <x:f>IF(L8&lt;&gt;"COVERED","HELD — COVERAGE",IF(T8="UNRESOLVED","G DECISION REQUIRED",IF(T8="NOT APPLICABLE","G N/A","G ACTIONABLE")))</x:f>
        <x:v>HELD — COVERAGE</x:v>
      </x:c>
      <x:c r="AC8" s="13" t="str">
        <x:f>IF(L8="UNRESOLVED","COVERAGE FIRST",IF(OR(L8="EXCLUDED",L8="OUT OF SCOPE"),"CLOSED BY COVERAGE",IF(AND(L8="COVERED",T8&lt;&gt;"UNRESOLVED"),"PARTIALLY ADOPTED","DECISIONS REMAIN")))</x:f>
        <x:v>COVERAGE FIRST</x:v>
      </x:c>
    </x:row>
    <x:row r="9">
      <x:c r="A9" s="13" t="str">
        <x:v>NAAFTC-HS6-010239</x:v>
      </x:c>
      <x:c r="B9" s="13" t="str">
        <x:v>010239</x:v>
      </x:c>
      <x:c r="C9" s="13" t="str">
        <x:v>01</x:v>
      </x:c>
      <x:c r="D9" s="13" t="str">
        <x:v>TRILATERAL_SPLIT_MERGE</x:v>
      </x:c>
      <x:c r="E9" s="13" t="str">
        <x:v>Pending</x:v>
      </x:c>
      <x:c r="F9" s="13" t="n">
        <x:v>12</x:v>
      </x:c>
      <x:c r="G9" s="13" t="n">
        <x:v>1</x:v>
      </x:c>
      <x:c r="H9" s="13" t="n">
        <x:v>1</x:v>
      </x:c>
      <x:c r="I9" s="13" t="str">
        <x:v>0102390010; 0102390024; 0102390028; 0102390034; 0102390038; 0102390054; +6 more</x:v>
      </x:c>
      <x:c r="J9" s="13" t="str">
        <x:v>0102399900</x:v>
      </x:c>
      <x:c r="K9" s="13" t="str">
        <x:v>0102390000</x:v>
      </x:c>
      <x:c r="L9" s="13" t="str">
        <x:v>UNRESOLVED</x:v>
      </x:c>
      <x:c r="M9" s="13" t="str"/>
      <x:c r="N9" s="13" t="str">
        <x:v>NO / DEFAULT</x:v>
      </x:c>
      <x:c r="O9" s="13" t="str"/>
      <x:c r="P9" s="13" t="str">
        <x:v>NO / DEFAULT</x:v>
      </x:c>
      <x:c r="Q9" s="13" t="str"/>
      <x:c r="R9" s="13" t="str">
        <x:v>INDEPENDENT / DEFAULT</x:v>
      </x:c>
      <x:c r="S9" s="13" t="str"/>
      <x:c r="T9" s="13" t="str">
        <x:v>UNRESOLVED</x:v>
      </x:c>
      <x:c r="U9" s="13" t="str"/>
      <x:c r="V9" s="13" t="str"/>
      <x:c r="W9" s="13" t="str"/>
      <x:c r="X9" s="13" t="str">
        <x:f>IF(L9&lt;&gt;"COVERED","HELD — COVERAGE",IF(N9="YES — SENSITIVE","C ACTIONABLE","CHAPTER 5 DEFAULT"))</x:f>
        <x:v>HELD — COVERAGE</x:v>
      </x:c>
      <x:c r="Y9" s="13" t="str">
        <x:f>IF(L9&lt;&gt;"COVERED","HELD — COVERAGE",IF(P9="YES — MANAGED ACCESS","D ACTIONABLE","NO D FIELD"))</x:f>
        <x:v>HELD — COVERAGE</x:v>
      </x:c>
      <x:c r="Z9" s="13" t="str">
        <x:f>IF(L9&lt;&gt;"COVERED","HELD — COVERAGE",IF(OR(R9="PAIRED SYNCHRONIZED",R9="TRILATERAL SYNCHRONIZED"),"E ACTIONABLE","INDEPENDENT"))</x:f>
        <x:v>HELD — COVERAGE</x:v>
      </x:c>
      <x:c r="AA9" s="13" t="str">
        <x:f>IF(L9&lt;&gt;"COVERED","HELD — COVERAGE","WAIT FOR UPSTREAM COMPLETION")</x:f>
        <x:v>HELD — COVERAGE</x:v>
      </x:c>
      <x:c r="AB9" s="13" t="str">
        <x:f>IF(L9&lt;&gt;"COVERED","HELD — COVERAGE",IF(T9="UNRESOLVED","G DECISION REQUIRED",IF(T9="NOT APPLICABLE","G N/A","G ACTIONABLE")))</x:f>
        <x:v>HELD — COVERAGE</x:v>
      </x:c>
      <x:c r="AC9" s="13" t="str">
        <x:f>IF(L9="UNRESOLVED","COVERAGE FIRST",IF(OR(L9="EXCLUDED",L9="OUT OF SCOPE"),"CLOSED BY COVERAGE",IF(AND(L9="COVERED",T9&lt;&gt;"UNRESOLVED"),"PARTIALLY ADOPTED","DECISIONS REMAIN")))</x:f>
        <x:v>COVERAGE FIRST</x:v>
      </x:c>
    </x:row>
    <x:row r="10">
      <x:c r="A10" s="13" t="str">
        <x:v>NAAFTC-HS6-010290</x:v>
      </x:c>
      <x:c r="B10" s="13" t="str">
        <x:v>010290</x:v>
      </x:c>
      <x:c r="C10" s="13" t="str">
        <x:v>01</x:v>
      </x:c>
      <x:c r="D10" s="13" t="str">
        <x:v>TRILATERAL_1_TO_1_TO_1</x:v>
      </x:c>
      <x:c r="E10" s="13" t="str">
        <x:v>Pending</x:v>
      </x:c>
      <x:c r="F10" s="13" t="n">
        <x:v>1</x:v>
      </x:c>
      <x:c r="G10" s="13" t="n">
        <x:v>1</x:v>
      </x:c>
      <x:c r="H10" s="13" t="n">
        <x:v>1</x:v>
      </x:c>
      <x:c r="I10" s="13" t="str">
        <x:v>0102900000</x:v>
      </x:c>
      <x:c r="J10" s="13" t="str">
        <x:v>0102909900</x:v>
      </x:c>
      <x:c r="K10" s="13" t="str">
        <x:v>0102900000</x:v>
      </x:c>
      <x:c r="L10" s="13" t="str">
        <x:v>UNRESOLVED</x:v>
      </x:c>
      <x:c r="M10" s="13" t="str"/>
      <x:c r="N10" s="13" t="str">
        <x:v>NO / DEFAULT</x:v>
      </x:c>
      <x:c r="O10" s="13" t="str"/>
      <x:c r="P10" s="13" t="str">
        <x:v>NO / DEFAULT</x:v>
      </x:c>
      <x:c r="Q10" s="13" t="str"/>
      <x:c r="R10" s="13" t="str">
        <x:v>INDEPENDENT / DEFAULT</x:v>
      </x:c>
      <x:c r="S10" s="13" t="str"/>
      <x:c r="T10" s="13" t="str">
        <x:v>UNRESOLVED</x:v>
      </x:c>
      <x:c r="U10" s="13" t="str"/>
      <x:c r="V10" s="13" t="str"/>
      <x:c r="W10" s="13" t="str"/>
      <x:c r="X10" s="13" t="str">
        <x:f>IF(L10&lt;&gt;"COVERED","HELD — COVERAGE",IF(N10="YES — SENSITIVE","C ACTIONABLE","CHAPTER 5 DEFAULT"))</x:f>
        <x:v>HELD — COVERAGE</x:v>
      </x:c>
      <x:c r="Y10" s="13" t="str">
        <x:f>IF(L10&lt;&gt;"COVERED","HELD — COVERAGE",IF(P10="YES — MANAGED ACCESS","D ACTIONABLE","NO D FIELD"))</x:f>
        <x:v>HELD — COVERAGE</x:v>
      </x:c>
      <x:c r="Z10" s="13" t="str">
        <x:f>IF(L10&lt;&gt;"COVERED","HELD — COVERAGE",IF(OR(R10="PAIRED SYNCHRONIZED",R10="TRILATERAL SYNCHRONIZED"),"E ACTIONABLE","INDEPENDENT"))</x:f>
        <x:v>HELD — COVERAGE</x:v>
      </x:c>
      <x:c r="AA10" s="13" t="str">
        <x:f>IF(L10&lt;&gt;"COVERED","HELD — COVERAGE","WAIT FOR UPSTREAM COMPLETION")</x:f>
        <x:v>HELD — COVERAGE</x:v>
      </x:c>
      <x:c r="AB10" s="13" t="str">
        <x:f>IF(L10&lt;&gt;"COVERED","HELD — COVERAGE",IF(T10="UNRESOLVED","G DECISION REQUIRED",IF(T10="NOT APPLICABLE","G N/A","G ACTIONABLE")))</x:f>
        <x:v>HELD — COVERAGE</x:v>
      </x:c>
      <x:c r="AC10" s="13" t="str">
        <x:f>IF(L10="UNRESOLVED","COVERAGE FIRST",IF(OR(L10="EXCLUDED",L10="OUT OF SCOPE"),"CLOSED BY COVERAGE",IF(AND(L10="COVERED",T10&lt;&gt;"UNRESOLVED"),"PARTIALLY ADOPTED","DECISIONS REMAIN")))</x:f>
        <x:v>COVERAGE FIRST</x:v>
      </x:c>
    </x:row>
    <x:row r="11">
      <x:c r="A11" s="13" t="str">
        <x:v>NAAFTC-HS6-010310</x:v>
      </x:c>
      <x:c r="B11" s="13" t="str">
        <x:v>010310</x:v>
      </x:c>
      <x:c r="C11" s="13" t="str">
        <x:v>01</x:v>
      </x:c>
      <x:c r="D11" s="13" t="str">
        <x:v>TRILATERAL_1_TO_1_TO_1</x:v>
      </x:c>
      <x:c r="E11" s="13" t="str">
        <x:v>Pending</x:v>
      </x:c>
      <x:c r="F11" s="13" t="n">
        <x:v>1</x:v>
      </x:c>
      <x:c r="G11" s="13" t="n">
        <x:v>1</x:v>
      </x:c>
      <x:c r="H11" s="13" t="n">
        <x:v>1</x:v>
      </x:c>
      <x:c r="I11" s="13" t="str">
        <x:v>0103100000</x:v>
      </x:c>
      <x:c r="J11" s="13" t="str">
        <x:v>0103100100</x:v>
      </x:c>
      <x:c r="K11" s="13" t="str">
        <x:v>0103100000</x:v>
      </x:c>
      <x:c r="L11" s="13" t="str">
        <x:v>UNRESOLVED</x:v>
      </x:c>
      <x:c r="M11" s="13" t="str"/>
      <x:c r="N11" s="13" t="str">
        <x:v>NO / DEFAULT</x:v>
      </x:c>
      <x:c r="O11" s="13" t="str"/>
      <x:c r="P11" s="13" t="str">
        <x:v>NO / DEFAULT</x:v>
      </x:c>
      <x:c r="Q11" s="13" t="str"/>
      <x:c r="R11" s="13" t="str">
        <x:v>INDEPENDENT / DEFAULT</x:v>
      </x:c>
      <x:c r="S11" s="13" t="str"/>
      <x:c r="T11" s="13" t="str">
        <x:v>UNRESOLVED</x:v>
      </x:c>
      <x:c r="U11" s="13" t="str"/>
      <x:c r="V11" s="13" t="str"/>
      <x:c r="W11" s="13" t="str"/>
      <x:c r="X11" s="13" t="str">
        <x:f>IF(L11&lt;&gt;"COVERED","HELD — COVERAGE",IF(N11="YES — SENSITIVE","C ACTIONABLE","CHAPTER 5 DEFAULT"))</x:f>
        <x:v>HELD — COVERAGE</x:v>
      </x:c>
      <x:c r="Y11" s="13" t="str">
        <x:f>IF(L11&lt;&gt;"COVERED","HELD — COVERAGE",IF(P11="YES — MANAGED ACCESS","D ACTIONABLE","NO D FIELD"))</x:f>
        <x:v>HELD — COVERAGE</x:v>
      </x:c>
      <x:c r="Z11" s="13" t="str">
        <x:f>IF(L11&lt;&gt;"COVERED","HELD — COVERAGE",IF(OR(R11="PAIRED SYNCHRONIZED",R11="TRILATERAL SYNCHRONIZED"),"E ACTIONABLE","INDEPENDENT"))</x:f>
        <x:v>HELD — COVERAGE</x:v>
      </x:c>
      <x:c r="AA11" s="13" t="str">
        <x:f>IF(L11&lt;&gt;"COVERED","HELD — COVERAGE","WAIT FOR UPSTREAM COMPLETION")</x:f>
        <x:v>HELD — COVERAGE</x:v>
      </x:c>
      <x:c r="AB11" s="13" t="str">
        <x:f>IF(L11&lt;&gt;"COVERED","HELD — COVERAGE",IF(T11="UNRESOLVED","G DECISION REQUIRED",IF(T11="NOT APPLICABLE","G N/A","G ACTIONABLE")))</x:f>
        <x:v>HELD — COVERAGE</x:v>
      </x:c>
      <x:c r="AC11" s="13" t="str">
        <x:f>IF(L11="UNRESOLVED","COVERAGE FIRST",IF(OR(L11="EXCLUDED",L11="OUT OF SCOPE"),"CLOSED BY COVERAGE",IF(AND(L11="COVERED",T11&lt;&gt;"UNRESOLVED"),"PARTIALLY ADOPTED","DECISIONS REMAIN")))</x:f>
        <x:v>COVERAGE FIRST</x:v>
      </x:c>
    </x:row>
    <x:row r="12">
      <x:c r="A12" s="13" t="str">
        <x:v>NAAFTC-HS6-010391</x:v>
      </x:c>
      <x:c r="B12" s="13" t="str">
        <x:v>010391</x:v>
      </x:c>
      <x:c r="C12" s="13" t="str">
        <x:v>01</x:v>
      </x:c>
      <x:c r="D12" s="13" t="str">
        <x:v>TRILATERAL_SPLIT_MERGE</x:v>
      </x:c>
      <x:c r="E12" s="13" t="str">
        <x:v>Pending</x:v>
      </x:c>
      <x:c r="F12" s="13" t="n">
        <x:v>3</x:v>
      </x:c>
      <x:c r="G12" s="13" t="n">
        <x:v>2</x:v>
      </x:c>
      <x:c r="H12" s="13" t="n">
        <x:v>1</x:v>
      </x:c>
      <x:c r="I12" s="13" t="str">
        <x:v>0103910010; 0103910020; 0103910030</x:v>
      </x:c>
      <x:c r="J12" s="13" t="str">
        <x:v>0103910100; 0103919900</x:v>
      </x:c>
      <x:c r="K12" s="13" t="str">
        <x:v>0103910000</x:v>
      </x:c>
      <x:c r="L12" s="13" t="str">
        <x:v>UNRESOLVED</x:v>
      </x:c>
      <x:c r="M12" s="13" t="str"/>
      <x:c r="N12" s="13" t="str">
        <x:v>NO / DEFAULT</x:v>
      </x:c>
      <x:c r="O12" s="13" t="str"/>
      <x:c r="P12" s="13" t="str">
        <x:v>NO / DEFAULT</x:v>
      </x:c>
      <x:c r="Q12" s="13" t="str"/>
      <x:c r="R12" s="13" t="str">
        <x:v>INDEPENDENT / DEFAULT</x:v>
      </x:c>
      <x:c r="S12" s="13" t="str"/>
      <x:c r="T12" s="13" t="str">
        <x:v>UNRESOLVED</x:v>
      </x:c>
      <x:c r="U12" s="13" t="str"/>
      <x:c r="V12" s="13" t="str"/>
      <x:c r="W12" s="13" t="str"/>
      <x:c r="X12" s="13" t="str">
        <x:f>IF(L12&lt;&gt;"COVERED","HELD — COVERAGE",IF(N12="YES — SENSITIVE","C ACTIONABLE","CHAPTER 5 DEFAULT"))</x:f>
        <x:v>HELD — COVERAGE</x:v>
      </x:c>
      <x:c r="Y12" s="13" t="str">
        <x:f>IF(L12&lt;&gt;"COVERED","HELD — COVERAGE",IF(P12="YES — MANAGED ACCESS","D ACTIONABLE","NO D FIELD"))</x:f>
        <x:v>HELD — COVERAGE</x:v>
      </x:c>
      <x:c r="Z12" s="13" t="str">
        <x:f>IF(L12&lt;&gt;"COVERED","HELD — COVERAGE",IF(OR(R12="PAIRED SYNCHRONIZED",R12="TRILATERAL SYNCHRONIZED"),"E ACTIONABLE","INDEPENDENT"))</x:f>
        <x:v>HELD — COVERAGE</x:v>
      </x:c>
      <x:c r="AA12" s="13" t="str">
        <x:f>IF(L12&lt;&gt;"COVERED","HELD — COVERAGE","WAIT FOR UPSTREAM COMPLETION")</x:f>
        <x:v>HELD — COVERAGE</x:v>
      </x:c>
      <x:c r="AB12" s="13" t="str">
        <x:f>IF(L12&lt;&gt;"COVERED","HELD — COVERAGE",IF(T12="UNRESOLVED","G DECISION REQUIRED",IF(T12="NOT APPLICABLE","G N/A","G ACTIONABLE")))</x:f>
        <x:v>HELD — COVERAGE</x:v>
      </x:c>
      <x:c r="AC12" s="13" t="str">
        <x:f>IF(L12="UNRESOLVED","COVERAGE FIRST",IF(OR(L12="EXCLUDED",L12="OUT OF SCOPE"),"CLOSED BY COVERAGE",IF(AND(L12="COVERED",T12&lt;&gt;"UNRESOLVED"),"PARTIALLY ADOPTED","DECISIONS REMAIN")))</x:f>
        <x:v>COVERAGE FIRST</x:v>
      </x:c>
    </x:row>
    <x:row r="13">
      <x:c r="A13" s="13" t="str">
        <x:v>NAAFTC-HS6-010392</x:v>
      </x:c>
      <x:c r="B13" s="13" t="str">
        <x:v>010392</x:v>
      </x:c>
      <x:c r="C13" s="13" t="str">
        <x:v>01</x:v>
      </x:c>
      <x:c r="D13" s="13" t="str">
        <x:v>TRILATERAL_SPLIT_MERGE</x:v>
      </x:c>
      <x:c r="E13" s="13" t="str">
        <x:v>Pending</x:v>
      </x:c>
      <x:c r="F13" s="13" t="n">
        <x:v>3</x:v>
      </x:c>
      <x:c r="G13" s="13" t="n">
        <x:v>2</x:v>
      </x:c>
      <x:c r="H13" s="13" t="n">
        <x:v>1</x:v>
      </x:c>
      <x:c r="I13" s="13" t="str">
        <x:v>0103920010; 0103920020; 0103920091</x:v>
      </x:c>
      <x:c r="J13" s="13" t="str">
        <x:v>0103920100; 0103929900</x:v>
      </x:c>
      <x:c r="K13" s="13" t="str">
        <x:v>0103920000</x:v>
      </x:c>
      <x:c r="L13" s="13" t="str">
        <x:v>UNRESOLVED</x:v>
      </x:c>
      <x:c r="M13" s="13" t="str"/>
      <x:c r="N13" s="13" t="str">
        <x:v>NO / DEFAULT</x:v>
      </x:c>
      <x:c r="O13" s="13" t="str"/>
      <x:c r="P13" s="13" t="str">
        <x:v>NO / DEFAULT</x:v>
      </x:c>
      <x:c r="Q13" s="13" t="str"/>
      <x:c r="R13" s="13" t="str">
        <x:v>INDEPENDENT / DEFAULT</x:v>
      </x:c>
      <x:c r="S13" s="13" t="str"/>
      <x:c r="T13" s="13" t="str">
        <x:v>UNRESOLVED</x:v>
      </x:c>
      <x:c r="U13" s="13" t="str"/>
      <x:c r="V13" s="13" t="str"/>
      <x:c r="W13" s="13" t="str"/>
      <x:c r="X13" s="13" t="str">
        <x:f>IF(L13&lt;&gt;"COVERED","HELD — COVERAGE",IF(N13="YES — SENSITIVE","C ACTIONABLE","CHAPTER 5 DEFAULT"))</x:f>
        <x:v>HELD — COVERAGE</x:v>
      </x:c>
      <x:c r="Y13" s="13" t="str">
        <x:f>IF(L13&lt;&gt;"COVERED","HELD — COVERAGE",IF(P13="YES — MANAGED ACCESS","D ACTIONABLE","NO D FIELD"))</x:f>
        <x:v>HELD — COVERAGE</x:v>
      </x:c>
      <x:c r="Z13" s="13" t="str">
        <x:f>IF(L13&lt;&gt;"COVERED","HELD — COVERAGE",IF(OR(R13="PAIRED SYNCHRONIZED",R13="TRILATERAL SYNCHRONIZED"),"E ACTIONABLE","INDEPENDENT"))</x:f>
        <x:v>HELD — COVERAGE</x:v>
      </x:c>
      <x:c r="AA13" s="13" t="str">
        <x:f>IF(L13&lt;&gt;"COVERED","HELD — COVERAGE","WAIT FOR UPSTREAM COMPLETION")</x:f>
        <x:v>HELD — COVERAGE</x:v>
      </x:c>
      <x:c r="AB13" s="13" t="str">
        <x:f>IF(L13&lt;&gt;"COVERED","HELD — COVERAGE",IF(T13="UNRESOLVED","G DECISION REQUIRED",IF(T13="NOT APPLICABLE","G N/A","G ACTIONABLE")))</x:f>
        <x:v>HELD — COVERAGE</x:v>
      </x:c>
      <x:c r="AC13" s="13" t="str">
        <x:f>IF(L13="UNRESOLVED","COVERAGE FIRST",IF(OR(L13="EXCLUDED",L13="OUT OF SCOPE"),"CLOSED BY COVERAGE",IF(AND(L13="COVERED",T13&lt;&gt;"UNRESOLVED"),"PARTIALLY ADOPTED","DECISIONS REMAIN")))</x:f>
        <x:v>COVERAGE FIRST</x:v>
      </x:c>
    </x:row>
    <x:row r="14">
      <x:c r="A14" s="13" t="str">
        <x:v>NAAFTC-HS6-010410</x:v>
      </x:c>
      <x:c r="B14" s="13" t="str">
        <x:v>010410</x:v>
      </x:c>
      <x:c r="C14" s="13" t="str">
        <x:v>01</x:v>
      </x:c>
      <x:c r="D14" s="13" t="str">
        <x:v>TRILATERAL_SPLIT_MERGE</x:v>
      </x:c>
      <x:c r="E14" s="13" t="str">
        <x:v>Pending</x:v>
      </x:c>
      <x:c r="F14" s="13" t="n">
        <x:v>1</x:v>
      </x:c>
      <x:c r="G14" s="13" t="n">
        <x:v>3</x:v>
      </x:c>
      <x:c r="H14" s="13" t="n">
        <x:v>1</x:v>
      </x:c>
      <x:c r="I14" s="13" t="str">
        <x:v>0104100000</x:v>
      </x:c>
      <x:c r="J14" s="13" t="str">
        <x:v>0104100100; 0104109901; 0104109999</x:v>
      </x:c>
      <x:c r="K14" s="13" t="str">
        <x:v>01041000</x:v>
      </x:c>
      <x:c r="L14" s="13" t="str">
        <x:v>UNRESOLVED</x:v>
      </x:c>
      <x:c r="M14" s="13" t="str"/>
      <x:c r="N14" s="13" t="str">
        <x:v>NO / DEFAULT</x:v>
      </x:c>
      <x:c r="O14" s="13" t="str"/>
      <x:c r="P14" s="13" t="str">
        <x:v>NO / DEFAULT</x:v>
      </x:c>
      <x:c r="Q14" s="13" t="str"/>
      <x:c r="R14" s="13" t="str">
        <x:v>INDEPENDENT / DEFAULT</x:v>
      </x:c>
      <x:c r="S14" s="13" t="str"/>
      <x:c r="T14" s="13" t="str">
        <x:v>UNRESOLVED</x:v>
      </x:c>
      <x:c r="U14" s="13" t="str"/>
      <x:c r="V14" s="13" t="str"/>
      <x:c r="W14" s="13" t="str"/>
      <x:c r="X14" s="13" t="str">
        <x:f>IF(L14&lt;&gt;"COVERED","HELD — COVERAGE",IF(N14="YES — SENSITIVE","C ACTIONABLE","CHAPTER 5 DEFAULT"))</x:f>
        <x:v>HELD — COVERAGE</x:v>
      </x:c>
      <x:c r="Y14" s="13" t="str">
        <x:f>IF(L14&lt;&gt;"COVERED","HELD — COVERAGE",IF(P14="YES — MANAGED ACCESS","D ACTIONABLE","NO D FIELD"))</x:f>
        <x:v>HELD — COVERAGE</x:v>
      </x:c>
      <x:c r="Z14" s="13" t="str">
        <x:f>IF(L14&lt;&gt;"COVERED","HELD — COVERAGE",IF(OR(R14="PAIRED SYNCHRONIZED",R14="TRILATERAL SYNCHRONIZED"),"E ACTIONABLE","INDEPENDENT"))</x:f>
        <x:v>HELD — COVERAGE</x:v>
      </x:c>
      <x:c r="AA14" s="13" t="str">
        <x:f>IF(L14&lt;&gt;"COVERED","HELD — COVERAGE","WAIT FOR UPSTREAM COMPLETION")</x:f>
        <x:v>HELD — COVERAGE</x:v>
      </x:c>
      <x:c r="AB14" s="13" t="str">
        <x:f>IF(L14&lt;&gt;"COVERED","HELD — COVERAGE",IF(T14="UNRESOLVED","G DECISION REQUIRED",IF(T14="NOT APPLICABLE","G N/A","G ACTIONABLE")))</x:f>
        <x:v>HELD — COVERAGE</x:v>
      </x:c>
      <x:c r="AC14" s="13" t="str">
        <x:f>IF(L14="UNRESOLVED","COVERAGE FIRST",IF(OR(L14="EXCLUDED",L14="OUT OF SCOPE"),"CLOSED BY COVERAGE",IF(AND(L14="COVERED",T14&lt;&gt;"UNRESOLVED"),"PARTIALLY ADOPTED","DECISIONS REMAIN")))</x:f>
        <x:v>COVERAGE FIRST</x:v>
      </x:c>
    </x:row>
    <x:row r="15">
      <x:c r="A15" s="13" t="str">
        <x:v>NAAFTC-HS6-010420</x:v>
      </x:c>
      <x:c r="B15" s="13" t="str">
        <x:v>010420</x:v>
      </x:c>
      <x:c r="C15" s="13" t="str">
        <x:v>01</x:v>
      </x:c>
      <x:c r="D15" s="13" t="str">
        <x:v>TRILATERAL_SPLIT_MERGE</x:v>
      </x:c>
      <x:c r="E15" s="13" t="str">
        <x:v>Pending</x:v>
      </x:c>
      <x:c r="F15" s="13" t="n">
        <x:v>1</x:v>
      </x:c>
      <x:c r="G15" s="13" t="n">
        <x:v>3</x:v>
      </x:c>
      <x:c r="H15" s="13" t="n">
        <x:v>1</x:v>
      </x:c>
      <x:c r="I15" s="13" t="str">
        <x:v>0104200000</x:v>
      </x:c>
      <x:c r="J15" s="13" t="str">
        <x:v>0104200100; 0104200200; 0104209900</x:v>
      </x:c>
      <x:c r="K15" s="13" t="str">
        <x:v>01042000</x:v>
      </x:c>
      <x:c r="L15" s="13" t="str">
        <x:v>UNRESOLVED</x:v>
      </x:c>
      <x:c r="M15" s="13" t="str"/>
      <x:c r="N15" s="13" t="str">
        <x:v>NO / DEFAULT</x:v>
      </x:c>
      <x:c r="O15" s="13" t="str"/>
      <x:c r="P15" s="13" t="str">
        <x:v>NO / DEFAULT</x:v>
      </x:c>
      <x:c r="Q15" s="13" t="str"/>
      <x:c r="R15" s="13" t="str">
        <x:v>INDEPENDENT / DEFAULT</x:v>
      </x:c>
      <x:c r="S15" s="13" t="str"/>
      <x:c r="T15" s="13" t="str">
        <x:v>UNRESOLVED</x:v>
      </x:c>
      <x:c r="U15" s="13" t="str"/>
      <x:c r="V15" s="13" t="str"/>
      <x:c r="W15" s="13" t="str"/>
      <x:c r="X15" s="13" t="str">
        <x:f>IF(L15&lt;&gt;"COVERED","HELD — COVERAGE",IF(N15="YES — SENSITIVE","C ACTIONABLE","CHAPTER 5 DEFAULT"))</x:f>
        <x:v>HELD — COVERAGE</x:v>
      </x:c>
      <x:c r="Y15" s="13" t="str">
        <x:f>IF(L15&lt;&gt;"COVERED","HELD — COVERAGE",IF(P15="YES — MANAGED ACCESS","D ACTIONABLE","NO D FIELD"))</x:f>
        <x:v>HELD — COVERAGE</x:v>
      </x:c>
      <x:c r="Z15" s="13" t="str">
        <x:f>IF(L15&lt;&gt;"COVERED","HELD — COVERAGE",IF(OR(R15="PAIRED SYNCHRONIZED",R15="TRILATERAL SYNCHRONIZED"),"E ACTIONABLE","INDEPENDENT"))</x:f>
        <x:v>HELD — COVERAGE</x:v>
      </x:c>
      <x:c r="AA15" s="13" t="str">
        <x:f>IF(L15&lt;&gt;"COVERED","HELD — COVERAGE","WAIT FOR UPSTREAM COMPLETION")</x:f>
        <x:v>HELD — COVERAGE</x:v>
      </x:c>
      <x:c r="AB15" s="13" t="str">
        <x:f>IF(L15&lt;&gt;"COVERED","HELD — COVERAGE",IF(T15="UNRESOLVED","G DECISION REQUIRED",IF(T15="NOT APPLICABLE","G N/A","G ACTIONABLE")))</x:f>
        <x:v>HELD — COVERAGE</x:v>
      </x:c>
      <x:c r="AC15" s="13" t="str">
        <x:f>IF(L15="UNRESOLVED","COVERAGE FIRST",IF(OR(L15="EXCLUDED",L15="OUT OF SCOPE"),"CLOSED BY COVERAGE",IF(AND(L15="COVERED",T15&lt;&gt;"UNRESOLVED"),"PARTIALLY ADOPTED","DECISIONS REMAIN")))</x:f>
        <x:v>COVERAGE FIRST</x:v>
      </x:c>
    </x:row>
    <x:row r="16">
      <x:c r="A16" s="13" t="str">
        <x:v>NAAFTC-HS6-010511</x:v>
      </x:c>
      <x:c r="B16" s="13" t="str">
        <x:v>010511</x:v>
      </x:c>
      <x:c r="C16" s="13" t="str">
        <x:v>01</x:v>
      </x:c>
      <x:c r="D16" s="13" t="str">
        <x:v>TRILATERAL_SPLIT_MERGE</x:v>
      </x:c>
      <x:c r="E16" s="13" t="str">
        <x:v>Pending</x:v>
      </x:c>
      <x:c r="F16" s="13" t="n">
        <x:v>3</x:v>
      </x:c>
      <x:c r="G16" s="13" t="n">
        <x:v>6</x:v>
      </x:c>
      <x:c r="H16" s="13" t="n">
        <x:v>4</x:v>
      </x:c>
      <x:c r="I16" s="13" t="str">
        <x:v>0105110010; 0105110020; 0105110040</x:v>
      </x:c>
      <x:c r="J16" s="13" t="str">
        <x:v>0105110301; 0105110302; 0105110303; 0105110391; 0105110392; 0105119900</x:v>
      </x:c>
      <x:c r="K16" s="13" t="str">
        <x:v>0105111000; 0105112100; 0105112200; 0105119000</x:v>
      </x:c>
      <x:c r="L16" s="13" t="str">
        <x:v>UNRESOLVED</x:v>
      </x:c>
      <x:c r="M16" s="13" t="str"/>
      <x:c r="N16" s="13" t="str">
        <x:v>NO / DEFAULT</x:v>
      </x:c>
      <x:c r="O16" s="13" t="str"/>
      <x:c r="P16" s="13" t="str">
        <x:v>NO / DEFAULT</x:v>
      </x:c>
      <x:c r="Q16" s="13" t="str"/>
      <x:c r="R16" s="13" t="str">
        <x:v>INDEPENDENT / DEFAULT</x:v>
      </x:c>
      <x:c r="S16" s="13" t="str"/>
      <x:c r="T16" s="13" t="str">
        <x:v>UNRESOLVED</x:v>
      </x:c>
      <x:c r="U16" s="13" t="str"/>
      <x:c r="V16" s="13" t="str"/>
      <x:c r="W16" s="13" t="str"/>
      <x:c r="X16" s="13" t="str">
        <x:f>IF(L16&lt;&gt;"COVERED","HELD — COVERAGE",IF(N16="YES — SENSITIVE","C ACTIONABLE","CHAPTER 5 DEFAULT"))</x:f>
        <x:v>HELD — COVERAGE</x:v>
      </x:c>
      <x:c r="Y16" s="13" t="str">
        <x:f>IF(L16&lt;&gt;"COVERED","HELD — COVERAGE",IF(P16="YES — MANAGED ACCESS","D ACTIONABLE","NO D FIELD"))</x:f>
        <x:v>HELD — COVERAGE</x:v>
      </x:c>
      <x:c r="Z16" s="13" t="str">
        <x:f>IF(L16&lt;&gt;"COVERED","HELD — COVERAGE",IF(OR(R16="PAIRED SYNCHRONIZED",R16="TRILATERAL SYNCHRONIZED"),"E ACTIONABLE","INDEPENDENT"))</x:f>
        <x:v>HELD — COVERAGE</x:v>
      </x:c>
      <x:c r="AA16" s="13" t="str">
        <x:f>IF(L16&lt;&gt;"COVERED","HELD — COVERAGE","WAIT FOR UPSTREAM COMPLETION")</x:f>
        <x:v>HELD — COVERAGE</x:v>
      </x:c>
      <x:c r="AB16" s="13" t="str">
        <x:f>IF(L16&lt;&gt;"COVERED","HELD — COVERAGE",IF(T16="UNRESOLVED","G DECISION REQUIRED",IF(T16="NOT APPLICABLE","G N/A","G ACTIONABLE")))</x:f>
        <x:v>HELD — COVERAGE</x:v>
      </x:c>
      <x:c r="AC16" s="13" t="str">
        <x:f>IF(L16="UNRESOLVED","COVERAGE FIRST",IF(OR(L16="EXCLUDED",L16="OUT OF SCOPE"),"CLOSED BY COVERAGE",IF(AND(L16="COVERED",T16&lt;&gt;"UNRESOLVED"),"PARTIALLY ADOPTED","DECISIONS REMAIN")))</x:f>
        <x:v>COVERAGE FIRST</x:v>
      </x:c>
    </x:row>
    <x:row r="17">
      <x:c r="A17" s="13" t="str">
        <x:v>NAAFTC-HS6-010512</x:v>
      </x:c>
      <x:c r="B17" s="13" t="str">
        <x:v>010512</x:v>
      </x:c>
      <x:c r="C17" s="13" t="str">
        <x:v>01</x:v>
      </x:c>
      <x:c r="D17" s="13" t="str">
        <x:v>TRILATERAL_SPLIT_MERGE</x:v>
      </x:c>
      <x:c r="E17" s="13" t="str">
        <x:v>Pending</x:v>
      </x:c>
      <x:c r="F17" s="13" t="n">
        <x:v>1</x:v>
      </x:c>
      <x:c r="G17" s="13" t="n">
        <x:v>1</x:v>
      </x:c>
      <x:c r="H17" s="13" t="n">
        <x:v>2</x:v>
      </x:c>
      <x:c r="I17" s="13" t="str">
        <x:v>0105120000</x:v>
      </x:c>
      <x:c r="J17" s="13" t="str">
        <x:v>0105120100</x:v>
      </x:c>
      <x:c r="K17" s="13" t="str">
        <x:v>0105121000; 0105129000</x:v>
      </x:c>
      <x:c r="L17" s="13" t="str">
        <x:v>UNRESOLVED</x:v>
      </x:c>
      <x:c r="M17" s="13" t="str"/>
      <x:c r="N17" s="13" t="str">
        <x:v>NO / DEFAULT</x:v>
      </x:c>
      <x:c r="O17" s="13" t="str"/>
      <x:c r="P17" s="13" t="str">
        <x:v>NO / DEFAULT</x:v>
      </x:c>
      <x:c r="Q17" s="13" t="str"/>
      <x:c r="R17" s="13" t="str">
        <x:v>INDEPENDENT / DEFAULT</x:v>
      </x:c>
      <x:c r="S17" s="13" t="str"/>
      <x:c r="T17" s="13" t="str">
        <x:v>UNRESOLVED</x:v>
      </x:c>
      <x:c r="U17" s="13" t="str"/>
      <x:c r="V17" s="13" t="str"/>
      <x:c r="W17" s="13" t="str"/>
      <x:c r="X17" s="13" t="str">
        <x:f>IF(L17&lt;&gt;"COVERED","HELD — COVERAGE",IF(N17="YES — SENSITIVE","C ACTIONABLE","CHAPTER 5 DEFAULT"))</x:f>
        <x:v>HELD — COVERAGE</x:v>
      </x:c>
      <x:c r="Y17" s="13" t="str">
        <x:f>IF(L17&lt;&gt;"COVERED","HELD — COVERAGE",IF(P17="YES — MANAGED ACCESS","D ACTIONABLE","NO D FIELD"))</x:f>
        <x:v>HELD — COVERAGE</x:v>
      </x:c>
      <x:c r="Z17" s="13" t="str">
        <x:f>IF(L17&lt;&gt;"COVERED","HELD — COVERAGE",IF(OR(R17="PAIRED SYNCHRONIZED",R17="TRILATERAL SYNCHRONIZED"),"E ACTIONABLE","INDEPENDENT"))</x:f>
        <x:v>HELD — COVERAGE</x:v>
      </x:c>
      <x:c r="AA17" s="13" t="str">
        <x:f>IF(L17&lt;&gt;"COVERED","HELD — COVERAGE","WAIT FOR UPSTREAM COMPLETION")</x:f>
        <x:v>HELD — COVERAGE</x:v>
      </x:c>
      <x:c r="AB17" s="13" t="str">
        <x:f>IF(L17&lt;&gt;"COVERED","HELD — COVERAGE",IF(T17="UNRESOLVED","G DECISION REQUIRED",IF(T17="NOT APPLICABLE","G N/A","G ACTIONABLE")))</x:f>
        <x:v>HELD — COVERAGE</x:v>
      </x:c>
      <x:c r="AC17" s="13" t="str">
        <x:f>IF(L17="UNRESOLVED","COVERAGE FIRST",IF(OR(L17="EXCLUDED",L17="OUT OF SCOPE"),"CLOSED BY COVERAGE",IF(AND(L17="COVERED",T17&lt;&gt;"UNRESOLVED"),"PARTIALLY ADOPTED","DECISIONS REMAIN")))</x:f>
        <x:v>COVERAGE FIRST</x:v>
      </x:c>
    </x:row>
    <x:row r="18">
      <x:c r="A18" s="13" t="str">
        <x:v>NAAFTC-HS6-010513</x:v>
      </x:c>
      <x:c r="B18" s="13" t="str">
        <x:v>010513</x:v>
      </x:c>
      <x:c r="C18" s="13" t="str">
        <x:v>01</x:v>
      </x:c>
      <x:c r="D18" s="13" t="str">
        <x:v>TRILATERAL_SPLIT_MERGE</x:v>
      </x:c>
      <x:c r="E18" s="13" t="str">
        <x:v>Pending</x:v>
      </x:c>
      <x:c r="F18" s="13" t="n">
        <x:v>1</x:v>
      </x:c>
      <x:c r="G18" s="13" t="n">
        <x:v>1</x:v>
      </x:c>
      <x:c r="H18" s="13" t="n">
        <x:v>2</x:v>
      </x:c>
      <x:c r="I18" s="13" t="str">
        <x:v>0105130000</x:v>
      </x:c>
      <x:c r="J18" s="13" t="str">
        <x:v>0105130100</x:v>
      </x:c>
      <x:c r="K18" s="13" t="str">
        <x:v>0105131000; 0105139000</x:v>
      </x:c>
      <x:c r="L18" s="13" t="str">
        <x:v>UNRESOLVED</x:v>
      </x:c>
      <x:c r="M18" s="13" t="str"/>
      <x:c r="N18" s="13" t="str">
        <x:v>NO / DEFAULT</x:v>
      </x:c>
      <x:c r="O18" s="13" t="str"/>
      <x:c r="P18" s="13" t="str">
        <x:v>NO / DEFAULT</x:v>
      </x:c>
      <x:c r="Q18" s="13" t="str"/>
      <x:c r="R18" s="13" t="str">
        <x:v>INDEPENDENT / DEFAULT</x:v>
      </x:c>
      <x:c r="S18" s="13" t="str"/>
      <x:c r="T18" s="13" t="str">
        <x:v>UNRESOLVED</x:v>
      </x:c>
      <x:c r="U18" s="13" t="str"/>
      <x:c r="V18" s="13" t="str"/>
      <x:c r="W18" s="13" t="str"/>
      <x:c r="X18" s="13" t="str">
        <x:f>IF(L18&lt;&gt;"COVERED","HELD — COVERAGE",IF(N18="YES — SENSITIVE","C ACTIONABLE","CHAPTER 5 DEFAULT"))</x:f>
        <x:v>HELD — COVERAGE</x:v>
      </x:c>
      <x:c r="Y18" s="13" t="str">
        <x:f>IF(L18&lt;&gt;"COVERED","HELD — COVERAGE",IF(P18="YES — MANAGED ACCESS","D ACTIONABLE","NO D FIELD"))</x:f>
        <x:v>HELD — COVERAGE</x:v>
      </x:c>
      <x:c r="Z18" s="13" t="str">
        <x:f>IF(L18&lt;&gt;"COVERED","HELD — COVERAGE",IF(OR(R18="PAIRED SYNCHRONIZED",R18="TRILATERAL SYNCHRONIZED"),"E ACTIONABLE","INDEPENDENT"))</x:f>
        <x:v>HELD — COVERAGE</x:v>
      </x:c>
      <x:c r="AA18" s="13" t="str">
        <x:f>IF(L18&lt;&gt;"COVERED","HELD — COVERAGE","WAIT FOR UPSTREAM COMPLETION")</x:f>
        <x:v>HELD — COVERAGE</x:v>
      </x:c>
      <x:c r="AB18" s="13" t="str">
        <x:f>IF(L18&lt;&gt;"COVERED","HELD — COVERAGE",IF(T18="UNRESOLVED","G DECISION REQUIRED",IF(T18="NOT APPLICABLE","G N/A","G ACTIONABLE")))</x:f>
        <x:v>HELD — COVERAGE</x:v>
      </x:c>
      <x:c r="AC18" s="13" t="str">
        <x:f>IF(L18="UNRESOLVED","COVERAGE FIRST",IF(OR(L18="EXCLUDED",L18="OUT OF SCOPE"),"CLOSED BY COVERAGE",IF(AND(L18="COVERED",T18&lt;&gt;"UNRESOLVED"),"PARTIALLY ADOPTED","DECISIONS REMAIN")))</x:f>
        <x:v>COVERAGE FIRST</x:v>
      </x:c>
    </x:row>
    <x:row r="19">
      <x:c r="A19" s="13" t="str">
        <x:v>NAAFTC-HS6-010514</x:v>
      </x:c>
      <x:c r="B19" s="13" t="str">
        <x:v>010514</x:v>
      </x:c>
      <x:c r="C19" s="13" t="str">
        <x:v>01</x:v>
      </x:c>
      <x:c r="D19" s="13" t="str">
        <x:v>TRILATERAL_SPLIT_MERGE</x:v>
      </x:c>
      <x:c r="E19" s="13" t="str">
        <x:v>Pending</x:v>
      </x:c>
      <x:c r="F19" s="13" t="n">
        <x:v>1</x:v>
      </x:c>
      <x:c r="G19" s="13" t="n">
        <x:v>1</x:v>
      </x:c>
      <x:c r="H19" s="13" t="n">
        <x:v>2</x:v>
      </x:c>
      <x:c r="I19" s="13" t="str">
        <x:v>0105140000</x:v>
      </x:c>
      <x:c r="J19" s="13" t="str">
        <x:v>0105140100</x:v>
      </x:c>
      <x:c r="K19" s="13" t="str">
        <x:v>0105141000; 0105149000</x:v>
      </x:c>
      <x:c r="L19" s="13" t="str">
        <x:v>UNRESOLVED</x:v>
      </x:c>
      <x:c r="M19" s="13" t="str"/>
      <x:c r="N19" s="13" t="str">
        <x:v>NO / DEFAULT</x:v>
      </x:c>
      <x:c r="O19" s="13" t="str"/>
      <x:c r="P19" s="13" t="str">
        <x:v>NO / DEFAULT</x:v>
      </x:c>
      <x:c r="Q19" s="13" t="str"/>
      <x:c r="R19" s="13" t="str">
        <x:v>INDEPENDENT / DEFAULT</x:v>
      </x:c>
      <x:c r="S19" s="13" t="str"/>
      <x:c r="T19" s="13" t="str">
        <x:v>UNRESOLVED</x:v>
      </x:c>
      <x:c r="U19" s="13" t="str"/>
      <x:c r="V19" s="13" t="str"/>
      <x:c r="W19" s="13" t="str"/>
      <x:c r="X19" s="13" t="str">
        <x:f>IF(L19&lt;&gt;"COVERED","HELD — COVERAGE",IF(N19="YES — SENSITIVE","C ACTIONABLE","CHAPTER 5 DEFAULT"))</x:f>
        <x:v>HELD — COVERAGE</x:v>
      </x:c>
      <x:c r="Y19" s="13" t="str">
        <x:f>IF(L19&lt;&gt;"COVERED","HELD — COVERAGE",IF(P19="YES — MANAGED ACCESS","D ACTIONABLE","NO D FIELD"))</x:f>
        <x:v>HELD — COVERAGE</x:v>
      </x:c>
      <x:c r="Z19" s="13" t="str">
        <x:f>IF(L19&lt;&gt;"COVERED","HELD — COVERAGE",IF(OR(R19="PAIRED SYNCHRONIZED",R19="TRILATERAL SYNCHRONIZED"),"E ACTIONABLE","INDEPENDENT"))</x:f>
        <x:v>HELD — COVERAGE</x:v>
      </x:c>
      <x:c r="AA19" s="13" t="str">
        <x:f>IF(L19&lt;&gt;"COVERED","HELD — COVERAGE","WAIT FOR UPSTREAM COMPLETION")</x:f>
        <x:v>HELD — COVERAGE</x:v>
      </x:c>
      <x:c r="AB19" s="13" t="str">
        <x:f>IF(L19&lt;&gt;"COVERED","HELD — COVERAGE",IF(T19="UNRESOLVED","G DECISION REQUIRED",IF(T19="NOT APPLICABLE","G N/A","G ACTIONABLE")))</x:f>
        <x:v>HELD — COVERAGE</x:v>
      </x:c>
      <x:c r="AC19" s="13" t="str">
        <x:f>IF(L19="UNRESOLVED","COVERAGE FIRST",IF(OR(L19="EXCLUDED",L19="OUT OF SCOPE"),"CLOSED BY COVERAGE",IF(AND(L19="COVERED",T19&lt;&gt;"UNRESOLVED"),"PARTIALLY ADOPTED","DECISIONS REMAIN")))</x:f>
        <x:v>COVERAGE FIRST</x:v>
      </x:c>
    </x:row>
    <x:row r="20">
      <x:c r="A20" s="13" t="str">
        <x:v>NAAFTC-HS6-010515</x:v>
      </x:c>
      <x:c r="B20" s="13" t="str">
        <x:v>010515</x:v>
      </x:c>
      <x:c r="C20" s="13" t="str">
        <x:v>01</x:v>
      </x:c>
      <x:c r="D20" s="13" t="str">
        <x:v>TRILATERAL_1_TO_1_TO_1</x:v>
      </x:c>
      <x:c r="E20" s="13" t="str">
        <x:v>Pending</x:v>
      </x:c>
      <x:c r="F20" s="13" t="n">
        <x:v>1</x:v>
      </x:c>
      <x:c r="G20" s="13" t="n">
        <x:v>1</x:v>
      </x:c>
      <x:c r="H20" s="13" t="n">
        <x:v>1</x:v>
      </x:c>
      <x:c r="I20" s="13" t="str">
        <x:v>0105150000</x:v>
      </x:c>
      <x:c r="J20" s="13" t="str">
        <x:v>0105150100</x:v>
      </x:c>
      <x:c r="K20" s="13" t="str">
        <x:v>0105151000</x:v>
      </x:c>
      <x:c r="L20" s="13" t="str">
        <x:v>UNRESOLVED</x:v>
      </x:c>
      <x:c r="M20" s="13" t="str"/>
      <x:c r="N20" s="13" t="str">
        <x:v>NO / DEFAULT</x:v>
      </x:c>
      <x:c r="O20" s="13" t="str"/>
      <x:c r="P20" s="13" t="str">
        <x:v>NO / DEFAULT</x:v>
      </x:c>
      <x:c r="Q20" s="13" t="str"/>
      <x:c r="R20" s="13" t="str">
        <x:v>INDEPENDENT / DEFAULT</x:v>
      </x:c>
      <x:c r="S20" s="13" t="str"/>
      <x:c r="T20" s="13" t="str">
        <x:v>UNRESOLVED</x:v>
      </x:c>
      <x:c r="U20" s="13" t="str"/>
      <x:c r="V20" s="13" t="str"/>
      <x:c r="W20" s="13" t="str"/>
      <x:c r="X20" s="13" t="str">
        <x:f>IF(L20&lt;&gt;"COVERED","HELD — COVERAGE",IF(N20="YES — SENSITIVE","C ACTIONABLE","CHAPTER 5 DEFAULT"))</x:f>
        <x:v>HELD — COVERAGE</x:v>
      </x:c>
      <x:c r="Y20" s="13" t="str">
        <x:f>IF(L20&lt;&gt;"COVERED","HELD — COVERAGE",IF(P20="YES — MANAGED ACCESS","D ACTIONABLE","NO D FIELD"))</x:f>
        <x:v>HELD — COVERAGE</x:v>
      </x:c>
      <x:c r="Z20" s="13" t="str">
        <x:f>IF(L20&lt;&gt;"COVERED","HELD — COVERAGE",IF(OR(R20="PAIRED SYNCHRONIZED",R20="TRILATERAL SYNCHRONIZED"),"E ACTIONABLE","INDEPENDENT"))</x:f>
        <x:v>HELD — COVERAGE</x:v>
      </x:c>
      <x:c r="AA20" s="13" t="str">
        <x:f>IF(L20&lt;&gt;"COVERED","HELD — COVERAGE","WAIT FOR UPSTREAM COMPLETION")</x:f>
        <x:v>HELD — COVERAGE</x:v>
      </x:c>
      <x:c r="AB20" s="13" t="str">
        <x:f>IF(L20&lt;&gt;"COVERED","HELD — COVERAGE",IF(T20="UNRESOLVED","G DECISION REQUIRED",IF(T20="NOT APPLICABLE","G N/A","G ACTIONABLE")))</x:f>
        <x:v>HELD — COVERAGE</x:v>
      </x:c>
      <x:c r="AC20" s="13" t="str">
        <x:f>IF(L20="UNRESOLVED","COVERAGE FIRST",IF(OR(L20="EXCLUDED",L20="OUT OF SCOPE"),"CLOSED BY COVERAGE",IF(AND(L20="COVERED",T20&lt;&gt;"UNRESOLVED"),"PARTIALLY ADOPTED","DECISIONS REMAIN")))</x:f>
        <x:v>COVERAGE FIRST</x:v>
      </x:c>
    </x:row>
    <x:row r="21">
      <x:c r="A21" s="13" t="str">
        <x:v>NAAFTC-HS6-010594</x:v>
      </x:c>
      <x:c r="B21" s="13" t="str">
        <x:v>010594</x:v>
      </x:c>
      <x:c r="C21" s="13" t="str">
        <x:v>01</x:v>
      </x:c>
      <x:c r="D21" s="13" t="str">
        <x:v>TRILATERAL_SPLIT_MERGE</x:v>
      </x:c>
      <x:c r="E21" s="13" t="str">
        <x:v>Pending</x:v>
      </x:c>
      <x:c r="F21" s="13" t="n">
        <x:v>1</x:v>
      </x:c>
      <x:c r="G21" s="13" t="n">
        <x:v>2</x:v>
      </x:c>
      <x:c r="H21" s="13" t="n">
        <x:v>3</x:v>
      </x:c>
      <x:c r="I21" s="13" t="str">
        <x:v>0105940000</x:v>
      </x:c>
      <x:c r="J21" s="13" t="str">
        <x:v>0105940100; 0105949900</x:v>
      </x:c>
      <x:c r="K21" s="13" t="str">
        <x:v>01059410; 01059491; 01059492</x:v>
      </x:c>
      <x:c r="L21" s="13" t="str">
        <x:v>UNRESOLVED</x:v>
      </x:c>
      <x:c r="M21" s="13" t="str"/>
      <x:c r="N21" s="13" t="str">
        <x:v>NO / DEFAULT</x:v>
      </x:c>
      <x:c r="O21" s="13" t="str"/>
      <x:c r="P21" s="13" t="str">
        <x:v>NO / DEFAULT</x:v>
      </x:c>
      <x:c r="Q21" s="13" t="str"/>
      <x:c r="R21" s="13" t="str">
        <x:v>INDEPENDENT / DEFAULT</x:v>
      </x:c>
      <x:c r="S21" s="13" t="str"/>
      <x:c r="T21" s="13" t="str">
        <x:v>UNRESOLVED</x:v>
      </x:c>
      <x:c r="U21" s="13" t="str"/>
      <x:c r="V21" s="13" t="str"/>
      <x:c r="W21" s="13" t="str"/>
      <x:c r="X21" s="13" t="str">
        <x:f>IF(L21&lt;&gt;"COVERED","HELD — COVERAGE",IF(N21="YES — SENSITIVE","C ACTIONABLE","CHAPTER 5 DEFAULT"))</x:f>
        <x:v>HELD — COVERAGE</x:v>
      </x:c>
      <x:c r="Y21" s="13" t="str">
        <x:f>IF(L21&lt;&gt;"COVERED","HELD — COVERAGE",IF(P21="YES — MANAGED ACCESS","D ACTIONABLE","NO D FIELD"))</x:f>
        <x:v>HELD — COVERAGE</x:v>
      </x:c>
      <x:c r="Z21" s="13" t="str">
        <x:f>IF(L21&lt;&gt;"COVERED","HELD — COVERAGE",IF(OR(R21="PAIRED SYNCHRONIZED",R21="TRILATERAL SYNCHRONIZED"),"E ACTIONABLE","INDEPENDENT"))</x:f>
        <x:v>HELD — COVERAGE</x:v>
      </x:c>
      <x:c r="AA21" s="13" t="str">
        <x:f>IF(L21&lt;&gt;"COVERED","HELD — COVERAGE","WAIT FOR UPSTREAM COMPLETION")</x:f>
        <x:v>HELD — COVERAGE</x:v>
      </x:c>
      <x:c r="AB21" s="13" t="str">
        <x:f>IF(L21&lt;&gt;"COVERED","HELD — COVERAGE",IF(T21="UNRESOLVED","G DECISION REQUIRED",IF(T21="NOT APPLICABLE","G N/A","G ACTIONABLE")))</x:f>
        <x:v>HELD — COVERAGE</x:v>
      </x:c>
      <x:c r="AC21" s="13" t="str">
        <x:f>IF(L21="UNRESOLVED","COVERAGE FIRST",IF(OR(L21="EXCLUDED",L21="OUT OF SCOPE"),"CLOSED BY COVERAGE",IF(AND(L21="COVERED",T21&lt;&gt;"UNRESOLVED"),"PARTIALLY ADOPTED","DECISIONS REMAIN")))</x:f>
        <x:v>COVERAGE FIRST</x:v>
      </x:c>
    </x:row>
    <x:row r="22">
      <x:c r="A22" s="13" t="str">
        <x:v>NAAFTC-HS6-010599</x:v>
      </x:c>
      <x:c r="B22" s="13" t="str">
        <x:v>010599</x:v>
      </x:c>
      <x:c r="C22" s="13" t="str">
        <x:v>01</x:v>
      </x:c>
      <x:c r="D22" s="13" t="str">
        <x:v>TRILATERAL_SPLIT_MERGE</x:v>
      </x:c>
      <x:c r="E22" s="13" t="str">
        <x:v>Pending</x:v>
      </x:c>
      <x:c r="F22" s="13" t="n">
        <x:v>1</x:v>
      </x:c>
      <x:c r="G22" s="13" t="n">
        <x:v>1</x:v>
      </x:c>
      <x:c r="H22" s="13" t="n">
        <x:v>3</x:v>
      </x:c>
      <x:c r="I22" s="13" t="str">
        <x:v>0105990000</x:v>
      </x:c>
      <x:c r="J22" s="13" t="str">
        <x:v>0105999900</x:v>
      </x:c>
      <x:c r="K22" s="13" t="str">
        <x:v>0105991100; 0105991200; 0105999000</x:v>
      </x:c>
      <x:c r="L22" s="13" t="str">
        <x:v>UNRESOLVED</x:v>
      </x:c>
      <x:c r="M22" s="13" t="str"/>
      <x:c r="N22" s="13" t="str">
        <x:v>NO / DEFAULT</x:v>
      </x:c>
      <x:c r="O22" s="13" t="str"/>
      <x:c r="P22" s="13" t="str">
        <x:v>NO / DEFAULT</x:v>
      </x:c>
      <x:c r="Q22" s="13" t="str"/>
      <x:c r="R22" s="13" t="str">
        <x:v>INDEPENDENT / DEFAULT</x:v>
      </x:c>
      <x:c r="S22" s="13" t="str"/>
      <x:c r="T22" s="13" t="str">
        <x:v>UNRESOLVED</x:v>
      </x:c>
      <x:c r="U22" s="13" t="str"/>
      <x:c r="V22" s="13" t="str"/>
      <x:c r="W22" s="13" t="str"/>
      <x:c r="X22" s="13" t="str">
        <x:f>IF(L22&lt;&gt;"COVERED","HELD — COVERAGE",IF(N22="YES — SENSITIVE","C ACTIONABLE","CHAPTER 5 DEFAULT"))</x:f>
        <x:v>HELD — COVERAGE</x:v>
      </x:c>
      <x:c r="Y22" s="13" t="str">
        <x:f>IF(L22&lt;&gt;"COVERED","HELD — COVERAGE",IF(P22="YES — MANAGED ACCESS","D ACTIONABLE","NO D FIELD"))</x:f>
        <x:v>HELD — COVERAGE</x:v>
      </x:c>
      <x:c r="Z22" s="13" t="str">
        <x:f>IF(L22&lt;&gt;"COVERED","HELD — COVERAGE",IF(OR(R22="PAIRED SYNCHRONIZED",R22="TRILATERAL SYNCHRONIZED"),"E ACTIONABLE","INDEPENDENT"))</x:f>
        <x:v>HELD — COVERAGE</x:v>
      </x:c>
      <x:c r="AA22" s="13" t="str">
        <x:f>IF(L22&lt;&gt;"COVERED","HELD — COVERAGE","WAIT FOR UPSTREAM COMPLETION")</x:f>
        <x:v>HELD — COVERAGE</x:v>
      </x:c>
      <x:c r="AB22" s="13" t="str">
        <x:f>IF(L22&lt;&gt;"COVERED","HELD — COVERAGE",IF(T22="UNRESOLVED","G DECISION REQUIRED",IF(T22="NOT APPLICABLE","G N/A","G ACTIONABLE")))</x:f>
        <x:v>HELD — COVERAGE</x:v>
      </x:c>
      <x:c r="AC22" s="13" t="str">
        <x:f>IF(L22="UNRESOLVED","COVERAGE FIRST",IF(OR(L22="EXCLUDED",L22="OUT OF SCOPE"),"CLOSED BY COVERAGE",IF(AND(L22="COVERED",T22&lt;&gt;"UNRESOLVED"),"PARTIALLY ADOPTED","DECISIONS REMAIN")))</x:f>
        <x:v>COVERAGE FIRST</x:v>
      </x:c>
    </x:row>
    <x:row r="23">
      <x:c r="A23" s="13" t="str">
        <x:v>NAAFTC-HS6-010611</x:v>
      </x:c>
      <x:c r="B23" s="13" t="str">
        <x:v>010611</x:v>
      </x:c>
      <x:c r="C23" s="13" t="str">
        <x:v>01</x:v>
      </x:c>
      <x:c r="D23" s="13" t="str">
        <x:v>TRILATERAL_SPLIT_MERGE</x:v>
      </x:c>
      <x:c r="E23" s="13" t="str">
        <x:v>Pending</x:v>
      </x:c>
      <x:c r="F23" s="13" t="n">
        <x:v>1</x:v>
      </x:c>
      <x:c r="G23" s="13" t="n">
        <x:v>2</x:v>
      </x:c>
      <x:c r="H23" s="13" t="n">
        <x:v>1</x:v>
      </x:c>
      <x:c r="I23" s="13" t="str">
        <x:v>0106110000</x:v>
      </x:c>
      <x:c r="J23" s="13" t="str">
        <x:v>0106110100; 0106119900</x:v>
      </x:c>
      <x:c r="K23" s="13" t="str">
        <x:v>0106110000</x:v>
      </x:c>
      <x:c r="L23" s="13" t="str">
        <x:v>UNRESOLVED</x:v>
      </x:c>
      <x:c r="M23" s="13" t="str"/>
      <x:c r="N23" s="13" t="str">
        <x:v>NO / DEFAULT</x:v>
      </x:c>
      <x:c r="O23" s="13" t="str"/>
      <x:c r="P23" s="13" t="str">
        <x:v>NO / DEFAULT</x:v>
      </x:c>
      <x:c r="Q23" s="13" t="str"/>
      <x:c r="R23" s="13" t="str">
        <x:v>INDEPENDENT / DEFAULT</x:v>
      </x:c>
      <x:c r="S23" s="13" t="str"/>
      <x:c r="T23" s="13" t="str">
        <x:v>UNRESOLVED</x:v>
      </x:c>
      <x:c r="U23" s="13" t="str"/>
      <x:c r="V23" s="13" t="str"/>
      <x:c r="W23" s="13" t="str"/>
      <x:c r="X23" s="13" t="str">
        <x:f>IF(L23&lt;&gt;"COVERED","HELD — COVERAGE",IF(N23="YES — SENSITIVE","C ACTIONABLE","CHAPTER 5 DEFAULT"))</x:f>
        <x:v>HELD — COVERAGE</x:v>
      </x:c>
      <x:c r="Y23" s="13" t="str">
        <x:f>IF(L23&lt;&gt;"COVERED","HELD — COVERAGE",IF(P23="YES — MANAGED ACCESS","D ACTIONABLE","NO D FIELD"))</x:f>
        <x:v>HELD — COVERAGE</x:v>
      </x:c>
      <x:c r="Z23" s="13" t="str">
        <x:f>IF(L23&lt;&gt;"COVERED","HELD — COVERAGE",IF(OR(R23="PAIRED SYNCHRONIZED",R23="TRILATERAL SYNCHRONIZED"),"E ACTIONABLE","INDEPENDENT"))</x:f>
        <x:v>HELD — COVERAGE</x:v>
      </x:c>
      <x:c r="AA23" s="13" t="str">
        <x:f>IF(L23&lt;&gt;"COVERED","HELD — COVERAGE","WAIT FOR UPSTREAM COMPLETION")</x:f>
        <x:v>HELD — COVERAGE</x:v>
      </x:c>
      <x:c r="AB23" s="13" t="str">
        <x:f>IF(L23&lt;&gt;"COVERED","HELD — COVERAGE",IF(T23="UNRESOLVED","G DECISION REQUIRED",IF(T23="NOT APPLICABLE","G N/A","G ACTIONABLE")))</x:f>
        <x:v>HELD — COVERAGE</x:v>
      </x:c>
      <x:c r="AC23" s="13" t="str">
        <x:f>IF(L23="UNRESOLVED","COVERAGE FIRST",IF(OR(L23="EXCLUDED",L23="OUT OF SCOPE"),"CLOSED BY COVERAGE",IF(AND(L23="COVERED",T23&lt;&gt;"UNRESOLVED"),"PARTIALLY ADOPTED","DECISIONS REMAIN")))</x:f>
        <x:v>COVERAGE FIRST</x:v>
      </x:c>
    </x:row>
    <x:row r="24">
      <x:c r="A24" s="13" t="str">
        <x:v>NAAFTC-HS6-010612</x:v>
      </x:c>
      <x:c r="B24" s="13" t="str">
        <x:v>010612</x:v>
      </x:c>
      <x:c r="C24" s="13" t="str">
        <x:v>01</x:v>
      </x:c>
      <x:c r="D24" s="13" t="str">
        <x:v>TRILATERAL_1_TO_1_TO_1</x:v>
      </x:c>
      <x:c r="E24" s="13" t="str">
        <x:v>Pending</x:v>
      </x:c>
      <x:c r="F24" s="13" t="n">
        <x:v>1</x:v>
      </x:c>
      <x:c r="G24" s="13" t="n">
        <x:v>1</x:v>
      </x:c>
      <x:c r="H24" s="13" t="n">
        <x:v>1</x:v>
      </x:c>
      <x:c r="I24" s="13" t="str">
        <x:v>0106120100</x:v>
      </x:c>
      <x:c r="J24" s="13" t="str">
        <x:v>0106120100</x:v>
      </x:c>
      <x:c r="K24" s="13" t="str">
        <x:v>0106120000</x:v>
      </x:c>
      <x:c r="L24" s="13" t="str">
        <x:v>UNRESOLVED</x:v>
      </x:c>
      <x:c r="M24" s="13" t="str"/>
      <x:c r="N24" s="13" t="str">
        <x:v>NO / DEFAULT</x:v>
      </x:c>
      <x:c r="O24" s="13" t="str"/>
      <x:c r="P24" s="13" t="str">
        <x:v>NO / DEFAULT</x:v>
      </x:c>
      <x:c r="Q24" s="13" t="str"/>
      <x:c r="R24" s="13" t="str">
        <x:v>INDEPENDENT / DEFAULT</x:v>
      </x:c>
      <x:c r="S24" s="13" t="str"/>
      <x:c r="T24" s="13" t="str">
        <x:v>UNRESOLVED</x:v>
      </x:c>
      <x:c r="U24" s="13" t="str"/>
      <x:c r="V24" s="13" t="str"/>
      <x:c r="W24" s="13" t="str"/>
      <x:c r="X24" s="13" t="str">
        <x:f>IF(L24&lt;&gt;"COVERED","HELD — COVERAGE",IF(N24="YES — SENSITIVE","C ACTIONABLE","CHAPTER 5 DEFAULT"))</x:f>
        <x:v>HELD — COVERAGE</x:v>
      </x:c>
      <x:c r="Y24" s="13" t="str">
        <x:f>IF(L24&lt;&gt;"COVERED","HELD — COVERAGE",IF(P24="YES — MANAGED ACCESS","D ACTIONABLE","NO D FIELD"))</x:f>
        <x:v>HELD — COVERAGE</x:v>
      </x:c>
      <x:c r="Z24" s="13" t="str">
        <x:f>IF(L24&lt;&gt;"COVERED","HELD — COVERAGE",IF(OR(R24="PAIRED SYNCHRONIZED",R24="TRILATERAL SYNCHRONIZED"),"E ACTIONABLE","INDEPENDENT"))</x:f>
        <x:v>HELD — COVERAGE</x:v>
      </x:c>
      <x:c r="AA24" s="13" t="str">
        <x:f>IF(L24&lt;&gt;"COVERED","HELD — COVERAGE","WAIT FOR UPSTREAM COMPLETION")</x:f>
        <x:v>HELD — COVERAGE</x:v>
      </x:c>
      <x:c r="AB24" s="13" t="str">
        <x:f>IF(L24&lt;&gt;"COVERED","HELD — COVERAGE",IF(T24="UNRESOLVED","G DECISION REQUIRED",IF(T24="NOT APPLICABLE","G N/A","G ACTIONABLE")))</x:f>
        <x:v>HELD — COVERAGE</x:v>
      </x:c>
      <x:c r="AC24" s="13" t="str">
        <x:f>IF(L24="UNRESOLVED","COVERAGE FIRST",IF(OR(L24="EXCLUDED",L24="OUT OF SCOPE"),"CLOSED BY COVERAGE",IF(AND(L24="COVERED",T24&lt;&gt;"UNRESOLVED"),"PARTIALLY ADOPTED","DECISIONS REMAIN")))</x:f>
        <x:v>COVERAGE FIRST</x:v>
      </x:c>
    </x:row>
    <x:row r="25">
      <x:c r="A25" s="13" t="str">
        <x:v>NAAFTC-HS6-010613</x:v>
      </x:c>
      <x:c r="B25" s="13" t="str">
        <x:v>010613</x:v>
      </x:c>
      <x:c r="C25" s="13" t="str">
        <x:v>01</x:v>
      </x:c>
      <x:c r="D25" s="13" t="str">
        <x:v>TRILATERAL_1_TO_1_TO_1</x:v>
      </x:c>
      <x:c r="E25" s="13" t="str">
        <x:v>Pending</x:v>
      </x:c>
      <x:c r="F25" s="13" t="n">
        <x:v>1</x:v>
      </x:c>
      <x:c r="G25" s="13" t="n">
        <x:v>1</x:v>
      </x:c>
      <x:c r="H25" s="13" t="n">
        <x:v>1</x:v>
      </x:c>
      <x:c r="I25" s="13" t="str">
        <x:v>0106130000</x:v>
      </x:c>
      <x:c r="J25" s="13" t="str">
        <x:v>0106130100</x:v>
      </x:c>
      <x:c r="K25" s="13" t="str">
        <x:v>0106130000</x:v>
      </x:c>
      <x:c r="L25" s="13" t="str">
        <x:v>UNRESOLVED</x:v>
      </x:c>
      <x:c r="M25" s="13" t="str"/>
      <x:c r="N25" s="13" t="str">
        <x:v>NO / DEFAULT</x:v>
      </x:c>
      <x:c r="O25" s="13" t="str"/>
      <x:c r="P25" s="13" t="str">
        <x:v>NO / DEFAULT</x:v>
      </x:c>
      <x:c r="Q25" s="13" t="str"/>
      <x:c r="R25" s="13" t="str">
        <x:v>INDEPENDENT / DEFAULT</x:v>
      </x:c>
      <x:c r="S25" s="13" t="str"/>
      <x:c r="T25" s="13" t="str">
        <x:v>UNRESOLVED</x:v>
      </x:c>
      <x:c r="U25" s="13" t="str"/>
      <x:c r="V25" s="13" t="str"/>
      <x:c r="W25" s="13" t="str"/>
      <x:c r="X25" s="13" t="str">
        <x:f>IF(L25&lt;&gt;"COVERED","HELD — COVERAGE",IF(N25="YES — SENSITIVE","C ACTIONABLE","CHAPTER 5 DEFAULT"))</x:f>
        <x:v>HELD — COVERAGE</x:v>
      </x:c>
      <x:c r="Y25" s="13" t="str">
        <x:f>IF(L25&lt;&gt;"COVERED","HELD — COVERAGE",IF(P25="YES — MANAGED ACCESS","D ACTIONABLE","NO D FIELD"))</x:f>
        <x:v>HELD — COVERAGE</x:v>
      </x:c>
      <x:c r="Z25" s="13" t="str">
        <x:f>IF(L25&lt;&gt;"COVERED","HELD — COVERAGE",IF(OR(R25="PAIRED SYNCHRONIZED",R25="TRILATERAL SYNCHRONIZED"),"E ACTIONABLE","INDEPENDENT"))</x:f>
        <x:v>HELD — COVERAGE</x:v>
      </x:c>
      <x:c r="AA25" s="13" t="str">
        <x:f>IF(L25&lt;&gt;"COVERED","HELD — COVERAGE","WAIT FOR UPSTREAM COMPLETION")</x:f>
        <x:v>HELD — COVERAGE</x:v>
      </x:c>
      <x:c r="AB25" s="13" t="str">
        <x:f>IF(L25&lt;&gt;"COVERED","HELD — COVERAGE",IF(T25="UNRESOLVED","G DECISION REQUIRED",IF(T25="NOT APPLICABLE","G N/A","G ACTIONABLE")))</x:f>
        <x:v>HELD — COVERAGE</x:v>
      </x:c>
      <x:c r="AC25" s="13" t="str">
        <x:f>IF(L25="UNRESOLVED","COVERAGE FIRST",IF(OR(L25="EXCLUDED",L25="OUT OF SCOPE"),"CLOSED BY COVERAGE",IF(AND(L25="COVERED",T25&lt;&gt;"UNRESOLVED"),"PARTIALLY ADOPTED","DECISIONS REMAIN")))</x:f>
        <x:v>COVERAGE FIRST</x:v>
      </x:c>
    </x:row>
    <x:row r="26">
      <x:c r="A26" s="13" t="str">
        <x:v>NAAFTC-HS6-010614</x:v>
      </x:c>
      <x:c r="B26" s="13" t="str">
        <x:v>010614</x:v>
      </x:c>
      <x:c r="C26" s="13" t="str">
        <x:v>01</x:v>
      </x:c>
      <x:c r="D26" s="13" t="str">
        <x:v>TRILATERAL_1_TO_1_TO_1</x:v>
      </x:c>
      <x:c r="E26" s="13" t="str">
        <x:v>Pending</x:v>
      </x:c>
      <x:c r="F26" s="13" t="n">
        <x:v>1</x:v>
      </x:c>
      <x:c r="G26" s="13" t="n">
        <x:v>1</x:v>
      </x:c>
      <x:c r="H26" s="13" t="n">
        <x:v>1</x:v>
      </x:c>
      <x:c r="I26" s="13" t="str">
        <x:v>0106140000</x:v>
      </x:c>
      <x:c r="J26" s="13" t="str">
        <x:v>0106140100</x:v>
      </x:c>
      <x:c r="K26" s="13" t="str">
        <x:v>0106140000</x:v>
      </x:c>
      <x:c r="L26" s="13" t="str">
        <x:v>UNRESOLVED</x:v>
      </x:c>
      <x:c r="M26" s="13" t="str"/>
      <x:c r="N26" s="13" t="str">
        <x:v>NO / DEFAULT</x:v>
      </x:c>
      <x:c r="O26" s="13" t="str"/>
      <x:c r="P26" s="13" t="str">
        <x:v>NO / DEFAULT</x:v>
      </x:c>
      <x:c r="Q26" s="13" t="str"/>
      <x:c r="R26" s="13" t="str">
        <x:v>INDEPENDENT / DEFAULT</x:v>
      </x:c>
      <x:c r="S26" s="13" t="str"/>
      <x:c r="T26" s="13" t="str">
        <x:v>UNRESOLVED</x:v>
      </x:c>
      <x:c r="U26" s="13" t="str"/>
      <x:c r="V26" s="13" t="str"/>
      <x:c r="W26" s="13" t="str"/>
      <x:c r="X26" s="13" t="str">
        <x:f>IF(L26&lt;&gt;"COVERED","HELD — COVERAGE",IF(N26="YES — SENSITIVE","C ACTIONABLE","CHAPTER 5 DEFAULT"))</x:f>
        <x:v>HELD — COVERAGE</x:v>
      </x:c>
      <x:c r="Y26" s="13" t="str">
        <x:f>IF(L26&lt;&gt;"COVERED","HELD — COVERAGE",IF(P26="YES — MANAGED ACCESS","D ACTIONABLE","NO D FIELD"))</x:f>
        <x:v>HELD — COVERAGE</x:v>
      </x:c>
      <x:c r="Z26" s="13" t="str">
        <x:f>IF(L26&lt;&gt;"COVERED","HELD — COVERAGE",IF(OR(R26="PAIRED SYNCHRONIZED",R26="TRILATERAL SYNCHRONIZED"),"E ACTIONABLE","INDEPENDENT"))</x:f>
        <x:v>HELD — COVERAGE</x:v>
      </x:c>
      <x:c r="AA26" s="13" t="str">
        <x:f>IF(L26&lt;&gt;"COVERED","HELD — COVERAGE","WAIT FOR UPSTREAM COMPLETION")</x:f>
        <x:v>HELD — COVERAGE</x:v>
      </x:c>
      <x:c r="AB26" s="13" t="str">
        <x:f>IF(L26&lt;&gt;"COVERED","HELD — COVERAGE",IF(T26="UNRESOLVED","G DECISION REQUIRED",IF(T26="NOT APPLICABLE","G N/A","G ACTIONABLE")))</x:f>
        <x:v>HELD — COVERAGE</x:v>
      </x:c>
      <x:c r="AC26" s="13" t="str">
        <x:f>IF(L26="UNRESOLVED","COVERAGE FIRST",IF(OR(L26="EXCLUDED",L26="OUT OF SCOPE"),"CLOSED BY COVERAGE",IF(AND(L26="COVERED",T26&lt;&gt;"UNRESOLVED"),"PARTIALLY ADOPTED","DECISIONS REMAIN")))</x:f>
        <x:v>COVERAGE FIRST</x:v>
      </x:c>
    </x:row>
    <x:row r="27">
      <x:c r="A27" s="13" t="str">
        <x:v>NAAFTC-HS6-010619</x:v>
      </x:c>
      <x:c r="B27" s="13" t="str">
        <x:v>010619</x:v>
      </x:c>
      <x:c r="C27" s="13" t="str">
        <x:v>01</x:v>
      </x:c>
      <x:c r="D27" s="13" t="str">
        <x:v>TRILATERAL_SPLIT_MERGE</x:v>
      </x:c>
      <x:c r="E27" s="13" t="str">
        <x:v>Pending</x:v>
      </x:c>
      <x:c r="F27" s="13" t="n">
        <x:v>3</x:v>
      </x:c>
      <x:c r="G27" s="13" t="n">
        <x:v>3</x:v>
      </x:c>
      <x:c r="H27" s="13" t="n">
        <x:v>1</x:v>
      </x:c>
      <x:c r="I27" s="13" t="str">
        <x:v>0106193000; 0106199120; 0106199195</x:v>
      </x:c>
      <x:c r="J27" s="13" t="str">
        <x:v>0106190200; 0106199901; 0106199999</x:v>
      </x:c>
      <x:c r="K27" s="13" t="str">
        <x:v>01061900</x:v>
      </x:c>
      <x:c r="L27" s="13" t="str">
        <x:v>UNRESOLVED</x:v>
      </x:c>
      <x:c r="M27" s="13" t="str"/>
      <x:c r="N27" s="13" t="str">
        <x:v>NO / DEFAULT</x:v>
      </x:c>
      <x:c r="O27" s="13" t="str"/>
      <x:c r="P27" s="13" t="str">
        <x:v>NO / DEFAULT</x:v>
      </x:c>
      <x:c r="Q27" s="13" t="str"/>
      <x:c r="R27" s="13" t="str">
        <x:v>INDEPENDENT / DEFAULT</x:v>
      </x:c>
      <x:c r="S27" s="13" t="str"/>
      <x:c r="T27" s="13" t="str">
        <x:v>UNRESOLVED</x:v>
      </x:c>
      <x:c r="U27" s="13" t="str"/>
      <x:c r="V27" s="13" t="str"/>
      <x:c r="W27" s="13" t="str"/>
      <x:c r="X27" s="13" t="str">
        <x:f>IF(L27&lt;&gt;"COVERED","HELD — COVERAGE",IF(N27="YES — SENSITIVE","C ACTIONABLE","CHAPTER 5 DEFAULT"))</x:f>
        <x:v>HELD — COVERAGE</x:v>
      </x:c>
      <x:c r="Y27" s="13" t="str">
        <x:f>IF(L27&lt;&gt;"COVERED","HELD — COVERAGE",IF(P27="YES — MANAGED ACCESS","D ACTIONABLE","NO D FIELD"))</x:f>
        <x:v>HELD — COVERAGE</x:v>
      </x:c>
      <x:c r="Z27" s="13" t="str">
        <x:f>IF(L27&lt;&gt;"COVERED","HELD — COVERAGE",IF(OR(R27="PAIRED SYNCHRONIZED",R27="TRILATERAL SYNCHRONIZED"),"E ACTIONABLE","INDEPENDENT"))</x:f>
        <x:v>HELD — COVERAGE</x:v>
      </x:c>
      <x:c r="AA27" s="13" t="str">
        <x:f>IF(L27&lt;&gt;"COVERED","HELD — COVERAGE","WAIT FOR UPSTREAM COMPLETION")</x:f>
        <x:v>HELD — COVERAGE</x:v>
      </x:c>
      <x:c r="AB27" s="13" t="str">
        <x:f>IF(L27&lt;&gt;"COVERED","HELD — COVERAGE",IF(T27="UNRESOLVED","G DECISION REQUIRED",IF(T27="NOT APPLICABLE","G N/A","G ACTIONABLE")))</x:f>
        <x:v>HELD — COVERAGE</x:v>
      </x:c>
      <x:c r="AC27" s="13" t="str">
        <x:f>IF(L27="UNRESOLVED","COVERAGE FIRST",IF(OR(L27="EXCLUDED",L27="OUT OF SCOPE"),"CLOSED BY COVERAGE",IF(AND(L27="COVERED",T27&lt;&gt;"UNRESOLVED"),"PARTIALLY ADOPTED","DECISIONS REMAIN")))</x:f>
        <x:v>COVERAGE FIRST</x:v>
      </x:c>
    </x:row>
    <x:row r="28">
      <x:c r="A28" s="13" t="str">
        <x:v>NAAFTC-HS6-010620</x:v>
      </x:c>
      <x:c r="B28" s="13" t="str">
        <x:v>010620</x:v>
      </x:c>
      <x:c r="C28" s="13" t="str">
        <x:v>01</x:v>
      </x:c>
      <x:c r="D28" s="13" t="str">
        <x:v>TRILATERAL_1_TO_1_TO_1</x:v>
      </x:c>
      <x:c r="E28" s="13" t="str">
        <x:v>Pending</x:v>
      </x:c>
      <x:c r="F28" s="13" t="n">
        <x:v>1</x:v>
      </x:c>
      <x:c r="G28" s="13" t="n">
        <x:v>1</x:v>
      </x:c>
      <x:c r="H28" s="13" t="n">
        <x:v>1</x:v>
      </x:c>
      <x:c r="I28" s="13" t="str">
        <x:v>0106200000</x:v>
      </x:c>
      <x:c r="J28" s="13" t="str">
        <x:v>0106200400</x:v>
      </x:c>
      <x:c r="K28" s="13" t="str">
        <x:v>0106200000</x:v>
      </x:c>
      <x:c r="L28" s="13" t="str">
        <x:v>UNRESOLVED</x:v>
      </x:c>
      <x:c r="M28" s="13" t="str"/>
      <x:c r="N28" s="13" t="str">
        <x:v>NO / DEFAULT</x:v>
      </x:c>
      <x:c r="O28" s="13" t="str"/>
      <x:c r="P28" s="13" t="str">
        <x:v>NO / DEFAULT</x:v>
      </x:c>
      <x:c r="Q28" s="13" t="str"/>
      <x:c r="R28" s="13" t="str">
        <x:v>INDEPENDENT / DEFAULT</x:v>
      </x:c>
      <x:c r="S28" s="13" t="str"/>
      <x:c r="T28" s="13" t="str">
        <x:v>UNRESOLVED</x:v>
      </x:c>
      <x:c r="U28" s="13" t="str"/>
      <x:c r="V28" s="13" t="str"/>
      <x:c r="W28" s="13" t="str"/>
      <x:c r="X28" s="13" t="str">
        <x:f>IF(L28&lt;&gt;"COVERED","HELD — COVERAGE",IF(N28="YES — SENSITIVE","C ACTIONABLE","CHAPTER 5 DEFAULT"))</x:f>
        <x:v>HELD — COVERAGE</x:v>
      </x:c>
      <x:c r="Y28" s="13" t="str">
        <x:f>IF(L28&lt;&gt;"COVERED","HELD — COVERAGE",IF(P28="YES — MANAGED ACCESS","D ACTIONABLE","NO D FIELD"))</x:f>
        <x:v>HELD — COVERAGE</x:v>
      </x:c>
      <x:c r="Z28" s="13" t="str">
        <x:f>IF(L28&lt;&gt;"COVERED","HELD — COVERAGE",IF(OR(R28="PAIRED SYNCHRONIZED",R28="TRILATERAL SYNCHRONIZED"),"E ACTIONABLE","INDEPENDENT"))</x:f>
        <x:v>HELD — COVERAGE</x:v>
      </x:c>
      <x:c r="AA28" s="13" t="str">
        <x:f>IF(L28&lt;&gt;"COVERED","HELD — COVERAGE","WAIT FOR UPSTREAM COMPLETION")</x:f>
        <x:v>HELD — COVERAGE</x:v>
      </x:c>
      <x:c r="AB28" s="13" t="str">
        <x:f>IF(L28&lt;&gt;"COVERED","HELD — COVERAGE",IF(T28="UNRESOLVED","G DECISION REQUIRED",IF(T28="NOT APPLICABLE","G N/A","G ACTIONABLE")))</x:f>
        <x:v>HELD — COVERAGE</x:v>
      </x:c>
      <x:c r="AC28" s="13" t="str">
        <x:f>IF(L28="UNRESOLVED","COVERAGE FIRST",IF(OR(L28="EXCLUDED",L28="OUT OF SCOPE"),"CLOSED BY COVERAGE",IF(AND(L28="COVERED",T28&lt;&gt;"UNRESOLVED"),"PARTIALLY ADOPTED","DECISIONS REMAIN")))</x:f>
        <x:v>COVERAGE FIRST</x:v>
      </x:c>
    </x:row>
    <x:row r="29">
      <x:c r="A29" s="13" t="str">
        <x:v>NAAFTC-HS6-010631</x:v>
      </x:c>
      <x:c r="B29" s="13" t="str">
        <x:v>010631</x:v>
      </x:c>
      <x:c r="C29" s="13" t="str">
        <x:v>01</x:v>
      </x:c>
      <x:c r="D29" s="13" t="str">
        <x:v>TRILATERAL_1_TO_1_TO_1</x:v>
      </x:c>
      <x:c r="E29" s="13" t="str">
        <x:v>Pending</x:v>
      </x:c>
      <x:c r="F29" s="13" t="n">
        <x:v>1</x:v>
      </x:c>
      <x:c r="G29" s="13" t="n">
        <x:v>1</x:v>
      </x:c>
      <x:c r="H29" s="13" t="n">
        <x:v>1</x:v>
      </x:c>
      <x:c r="I29" s="13" t="str">
        <x:v>0106310000</x:v>
      </x:c>
      <x:c r="J29" s="13" t="str">
        <x:v>0106310100</x:v>
      </x:c>
      <x:c r="K29" s="13" t="str">
        <x:v>0106310000</x:v>
      </x:c>
      <x:c r="L29" s="13" t="str">
        <x:v>UNRESOLVED</x:v>
      </x:c>
      <x:c r="M29" s="13" t="str"/>
      <x:c r="N29" s="13" t="str">
        <x:v>NO / DEFAULT</x:v>
      </x:c>
      <x:c r="O29" s="13" t="str"/>
      <x:c r="P29" s="13" t="str">
        <x:v>NO / DEFAULT</x:v>
      </x:c>
      <x:c r="Q29" s="13" t="str"/>
      <x:c r="R29" s="13" t="str">
        <x:v>INDEPENDENT / DEFAULT</x:v>
      </x:c>
      <x:c r="S29" s="13" t="str"/>
      <x:c r="T29" s="13" t="str">
        <x:v>UNRESOLVED</x:v>
      </x:c>
      <x:c r="U29" s="13" t="str"/>
      <x:c r="V29" s="13" t="str"/>
      <x:c r="W29" s="13" t="str"/>
      <x:c r="X29" s="13" t="str">
        <x:f>IF(L29&lt;&gt;"COVERED","HELD — COVERAGE",IF(N29="YES — SENSITIVE","C ACTIONABLE","CHAPTER 5 DEFAULT"))</x:f>
        <x:v>HELD — COVERAGE</x:v>
      </x:c>
      <x:c r="Y29" s="13" t="str">
        <x:f>IF(L29&lt;&gt;"COVERED","HELD — COVERAGE",IF(P29="YES — MANAGED ACCESS","D ACTIONABLE","NO D FIELD"))</x:f>
        <x:v>HELD — COVERAGE</x:v>
      </x:c>
      <x:c r="Z29" s="13" t="str">
        <x:f>IF(L29&lt;&gt;"COVERED","HELD — COVERAGE",IF(OR(R29="PAIRED SYNCHRONIZED",R29="TRILATERAL SYNCHRONIZED"),"E ACTIONABLE","INDEPENDENT"))</x:f>
        <x:v>HELD — COVERAGE</x:v>
      </x:c>
      <x:c r="AA29" s="13" t="str">
        <x:f>IF(L29&lt;&gt;"COVERED","HELD — COVERAGE","WAIT FOR UPSTREAM COMPLETION")</x:f>
        <x:v>HELD — COVERAGE</x:v>
      </x:c>
      <x:c r="AB29" s="13" t="str">
        <x:f>IF(L29&lt;&gt;"COVERED","HELD — COVERAGE",IF(T29="UNRESOLVED","G DECISION REQUIRED",IF(T29="NOT APPLICABLE","G N/A","G ACTIONABLE")))</x:f>
        <x:v>HELD — COVERAGE</x:v>
      </x:c>
      <x:c r="AC29" s="13" t="str">
        <x:f>IF(L29="UNRESOLVED","COVERAGE FIRST",IF(OR(L29="EXCLUDED",L29="OUT OF SCOPE"),"CLOSED BY COVERAGE",IF(AND(L29="COVERED",T29&lt;&gt;"UNRESOLVED"),"PARTIALLY ADOPTED","DECISIONS REMAIN")))</x:f>
        <x:v>COVERAGE FIRST</x:v>
      </x:c>
    </x:row>
    <x:row r="30">
      <x:c r="A30" s="13" t="str">
        <x:v>NAAFTC-HS6-010632</x:v>
      </x:c>
      <x:c r="B30" s="13" t="str">
        <x:v>010632</x:v>
      </x:c>
      <x:c r="C30" s="13" t="str">
        <x:v>01</x:v>
      </x:c>
      <x:c r="D30" s="13" t="str">
        <x:v>TRILATERAL_1_TO_1_TO_1</x:v>
      </x:c>
      <x:c r="E30" s="13" t="str">
        <x:v>Pending</x:v>
      </x:c>
      <x:c r="F30" s="13" t="n">
        <x:v>1</x:v>
      </x:c>
      <x:c r="G30" s="13" t="n">
        <x:v>1</x:v>
      </x:c>
      <x:c r="H30" s="13" t="n">
        <x:v>1</x:v>
      </x:c>
      <x:c r="I30" s="13" t="str">
        <x:v>0106320000</x:v>
      </x:c>
      <x:c r="J30" s="13" t="str">
        <x:v>0106320100</x:v>
      </x:c>
      <x:c r="K30" s="13" t="str">
        <x:v>0106320000</x:v>
      </x:c>
      <x:c r="L30" s="13" t="str">
        <x:v>UNRESOLVED</x:v>
      </x:c>
      <x:c r="M30" s="13" t="str"/>
      <x:c r="N30" s="13" t="str">
        <x:v>NO / DEFAULT</x:v>
      </x:c>
      <x:c r="O30" s="13" t="str"/>
      <x:c r="P30" s="13" t="str">
        <x:v>NO / DEFAULT</x:v>
      </x:c>
      <x:c r="Q30" s="13" t="str"/>
      <x:c r="R30" s="13" t="str">
        <x:v>INDEPENDENT / DEFAULT</x:v>
      </x:c>
      <x:c r="S30" s="13" t="str"/>
      <x:c r="T30" s="13" t="str">
        <x:v>UNRESOLVED</x:v>
      </x:c>
      <x:c r="U30" s="13" t="str"/>
      <x:c r="V30" s="13" t="str"/>
      <x:c r="W30" s="13" t="str"/>
      <x:c r="X30" s="13" t="str">
        <x:f>IF(L30&lt;&gt;"COVERED","HELD — COVERAGE",IF(N30="YES — SENSITIVE","C ACTIONABLE","CHAPTER 5 DEFAULT"))</x:f>
        <x:v>HELD — COVERAGE</x:v>
      </x:c>
      <x:c r="Y30" s="13" t="str">
        <x:f>IF(L30&lt;&gt;"COVERED","HELD — COVERAGE",IF(P30="YES — MANAGED ACCESS","D ACTIONABLE","NO D FIELD"))</x:f>
        <x:v>HELD — COVERAGE</x:v>
      </x:c>
      <x:c r="Z30" s="13" t="str">
        <x:f>IF(L30&lt;&gt;"COVERED","HELD — COVERAGE",IF(OR(R30="PAIRED SYNCHRONIZED",R30="TRILATERAL SYNCHRONIZED"),"E ACTIONABLE","INDEPENDENT"))</x:f>
        <x:v>HELD — COVERAGE</x:v>
      </x:c>
      <x:c r="AA30" s="13" t="str">
        <x:f>IF(L30&lt;&gt;"COVERED","HELD — COVERAGE","WAIT FOR UPSTREAM COMPLETION")</x:f>
        <x:v>HELD — COVERAGE</x:v>
      </x:c>
      <x:c r="AB30" s="13" t="str">
        <x:f>IF(L30&lt;&gt;"COVERED","HELD — COVERAGE",IF(T30="UNRESOLVED","G DECISION REQUIRED",IF(T30="NOT APPLICABLE","G N/A","G ACTIONABLE")))</x:f>
        <x:v>HELD — COVERAGE</x:v>
      </x:c>
      <x:c r="AC30" s="13" t="str">
        <x:f>IF(L30="UNRESOLVED","COVERAGE FIRST",IF(OR(L30="EXCLUDED",L30="OUT OF SCOPE"),"CLOSED BY COVERAGE",IF(AND(L30="COVERED",T30&lt;&gt;"UNRESOLVED"),"PARTIALLY ADOPTED","DECISIONS REMAIN")))</x:f>
        <x:v>COVERAGE FIRST</x:v>
      </x:c>
    </x:row>
    <x:row r="31">
      <x:c r="A31" s="13" t="str">
        <x:v>NAAFTC-HS6-010633</x:v>
      </x:c>
      <x:c r="B31" s="13" t="str">
        <x:v>010633</x:v>
      </x:c>
      <x:c r="C31" s="13" t="str">
        <x:v>01</x:v>
      </x:c>
      <x:c r="D31" s="13" t="str">
        <x:v>TRILATERAL_1_TO_1_TO_1</x:v>
      </x:c>
      <x:c r="E31" s="13" t="str">
        <x:v>Pending</x:v>
      </x:c>
      <x:c r="F31" s="13" t="n">
        <x:v>1</x:v>
      </x:c>
      <x:c r="G31" s="13" t="n">
        <x:v>1</x:v>
      </x:c>
      <x:c r="H31" s="13" t="n">
        <x:v>1</x:v>
      </x:c>
      <x:c r="I31" s="13" t="str">
        <x:v>0106330000</x:v>
      </x:c>
      <x:c r="J31" s="13" t="str">
        <x:v>0106330100</x:v>
      </x:c>
      <x:c r="K31" s="13" t="str">
        <x:v>0106330000</x:v>
      </x:c>
      <x:c r="L31" s="13" t="str">
        <x:v>UNRESOLVED</x:v>
      </x:c>
      <x:c r="M31" s="13" t="str"/>
      <x:c r="N31" s="13" t="str">
        <x:v>NO / DEFAULT</x:v>
      </x:c>
      <x:c r="O31" s="13" t="str"/>
      <x:c r="P31" s="13" t="str">
        <x:v>NO / DEFAULT</x:v>
      </x:c>
      <x:c r="Q31" s="13" t="str"/>
      <x:c r="R31" s="13" t="str">
        <x:v>INDEPENDENT / DEFAULT</x:v>
      </x:c>
      <x:c r="S31" s="13" t="str"/>
      <x:c r="T31" s="13" t="str">
        <x:v>UNRESOLVED</x:v>
      </x:c>
      <x:c r="U31" s="13" t="str"/>
      <x:c r="V31" s="13" t="str"/>
      <x:c r="W31" s="13" t="str"/>
      <x:c r="X31" s="13" t="str">
        <x:f>IF(L31&lt;&gt;"COVERED","HELD — COVERAGE",IF(N31="YES — SENSITIVE","C ACTIONABLE","CHAPTER 5 DEFAULT"))</x:f>
        <x:v>HELD — COVERAGE</x:v>
      </x:c>
      <x:c r="Y31" s="13" t="str">
        <x:f>IF(L31&lt;&gt;"COVERED","HELD — COVERAGE",IF(P31="YES — MANAGED ACCESS","D ACTIONABLE","NO D FIELD"))</x:f>
        <x:v>HELD — COVERAGE</x:v>
      </x:c>
      <x:c r="Z31" s="13" t="str">
        <x:f>IF(L31&lt;&gt;"COVERED","HELD — COVERAGE",IF(OR(R31="PAIRED SYNCHRONIZED",R31="TRILATERAL SYNCHRONIZED"),"E ACTIONABLE","INDEPENDENT"))</x:f>
        <x:v>HELD — COVERAGE</x:v>
      </x:c>
      <x:c r="AA31" s="13" t="str">
        <x:f>IF(L31&lt;&gt;"COVERED","HELD — COVERAGE","WAIT FOR UPSTREAM COMPLETION")</x:f>
        <x:v>HELD — COVERAGE</x:v>
      </x:c>
      <x:c r="AB31" s="13" t="str">
        <x:f>IF(L31&lt;&gt;"COVERED","HELD — COVERAGE",IF(T31="UNRESOLVED","G DECISION REQUIRED",IF(T31="NOT APPLICABLE","G N/A","G ACTIONABLE")))</x:f>
        <x:v>HELD — COVERAGE</x:v>
      </x:c>
      <x:c r="AC31" s="13" t="str">
        <x:f>IF(L31="UNRESOLVED","COVERAGE FIRST",IF(OR(L31="EXCLUDED",L31="OUT OF SCOPE"),"CLOSED BY COVERAGE",IF(AND(L31="COVERED",T31&lt;&gt;"UNRESOLVED"),"PARTIALLY ADOPTED","DECISIONS REMAIN")))</x:f>
        <x:v>COVERAGE FIRST</x:v>
      </x:c>
    </x:row>
    <x:row r="32">
      <x:c r="A32" s="13" t="str">
        <x:v>NAAFTC-HS6-010639</x:v>
      </x:c>
      <x:c r="B32" s="13" t="str">
        <x:v>010639</x:v>
      </x:c>
      <x:c r="C32" s="13" t="str">
        <x:v>01</x:v>
      </x:c>
      <x:c r="D32" s="13" t="str">
        <x:v>TRILATERAL_1_TO_1_TO_1</x:v>
      </x:c>
      <x:c r="E32" s="13" t="str">
        <x:v>Pending</x:v>
      </x:c>
      <x:c r="F32" s="13" t="n">
        <x:v>1</x:v>
      </x:c>
      <x:c r="G32" s="13" t="n">
        <x:v>1</x:v>
      </x:c>
      <x:c r="H32" s="13" t="n">
        <x:v>1</x:v>
      </x:c>
      <x:c r="I32" s="13" t="str">
        <x:v>0106390100</x:v>
      </x:c>
      <x:c r="J32" s="13" t="str">
        <x:v>0106399900</x:v>
      </x:c>
      <x:c r="K32" s="13" t="str">
        <x:v>01063900</x:v>
      </x:c>
      <x:c r="L32" s="13" t="str">
        <x:v>UNRESOLVED</x:v>
      </x:c>
      <x:c r="M32" s="13" t="str"/>
      <x:c r="N32" s="13" t="str">
        <x:v>NO / DEFAULT</x:v>
      </x:c>
      <x:c r="O32" s="13" t="str"/>
      <x:c r="P32" s="13" t="str">
        <x:v>NO / DEFAULT</x:v>
      </x:c>
      <x:c r="Q32" s="13" t="str"/>
      <x:c r="R32" s="13" t="str">
        <x:v>INDEPENDENT / DEFAULT</x:v>
      </x:c>
      <x:c r="S32" s="13" t="str"/>
      <x:c r="T32" s="13" t="str">
        <x:v>UNRESOLVED</x:v>
      </x:c>
      <x:c r="U32" s="13" t="str"/>
      <x:c r="V32" s="13" t="str"/>
      <x:c r="W32" s="13" t="str"/>
      <x:c r="X32" s="13" t="str">
        <x:f>IF(L32&lt;&gt;"COVERED","HELD — COVERAGE",IF(N32="YES — SENSITIVE","C ACTIONABLE","CHAPTER 5 DEFAULT"))</x:f>
        <x:v>HELD — COVERAGE</x:v>
      </x:c>
      <x:c r="Y32" s="13" t="str">
        <x:f>IF(L32&lt;&gt;"COVERED","HELD — COVERAGE",IF(P32="YES — MANAGED ACCESS","D ACTIONABLE","NO D FIELD"))</x:f>
        <x:v>HELD — COVERAGE</x:v>
      </x:c>
      <x:c r="Z32" s="13" t="str">
        <x:f>IF(L32&lt;&gt;"COVERED","HELD — COVERAGE",IF(OR(R32="PAIRED SYNCHRONIZED",R32="TRILATERAL SYNCHRONIZED"),"E ACTIONABLE","INDEPENDENT"))</x:f>
        <x:v>HELD — COVERAGE</x:v>
      </x:c>
      <x:c r="AA32" s="13" t="str">
        <x:f>IF(L32&lt;&gt;"COVERED","HELD — COVERAGE","WAIT FOR UPSTREAM COMPLETION")</x:f>
        <x:v>HELD — COVERAGE</x:v>
      </x:c>
      <x:c r="AB32" s="13" t="str">
        <x:f>IF(L32&lt;&gt;"COVERED","HELD — COVERAGE",IF(T32="UNRESOLVED","G DECISION REQUIRED",IF(T32="NOT APPLICABLE","G N/A","G ACTIONABLE")))</x:f>
        <x:v>HELD — COVERAGE</x:v>
      </x:c>
      <x:c r="AC32" s="13" t="str">
        <x:f>IF(L32="UNRESOLVED","COVERAGE FIRST",IF(OR(L32="EXCLUDED",L32="OUT OF SCOPE"),"CLOSED BY COVERAGE",IF(AND(L32="COVERED",T32&lt;&gt;"UNRESOLVED"),"PARTIALLY ADOPTED","DECISIONS REMAIN")))</x:f>
        <x:v>COVERAGE FIRST</x:v>
      </x:c>
    </x:row>
    <x:row r="33">
      <x:c r="A33" s="13" t="str">
        <x:v>NAAFTC-HS6-010641</x:v>
      </x:c>
      <x:c r="B33" s="13" t="str">
        <x:v>010641</x:v>
      </x:c>
      <x:c r="C33" s="13" t="str">
        <x:v>01</x:v>
      </x:c>
      <x:c r="D33" s="13" t="str">
        <x:v>TRILATERAL_1_TO_1_TO_1</x:v>
      </x:c>
      <x:c r="E33" s="13" t="str">
        <x:v>Pending</x:v>
      </x:c>
      <x:c r="F33" s="13" t="n">
        <x:v>1</x:v>
      </x:c>
      <x:c r="G33" s="13" t="n">
        <x:v>1</x:v>
      </x:c>
      <x:c r="H33" s="13" t="n">
        <x:v>1</x:v>
      </x:c>
      <x:c r="I33" s="13" t="str">
        <x:v>0106410000</x:v>
      </x:c>
      <x:c r="J33" s="13" t="str">
        <x:v>0106410100</x:v>
      </x:c>
      <x:c r="K33" s="13" t="str">
        <x:v>01064100</x:v>
      </x:c>
      <x:c r="L33" s="13" t="str">
        <x:v>UNRESOLVED</x:v>
      </x:c>
      <x:c r="M33" s="13" t="str"/>
      <x:c r="N33" s="13" t="str">
        <x:v>NO / DEFAULT</x:v>
      </x:c>
      <x:c r="O33" s="13" t="str"/>
      <x:c r="P33" s="13" t="str">
        <x:v>NO / DEFAULT</x:v>
      </x:c>
      <x:c r="Q33" s="13" t="str"/>
      <x:c r="R33" s="13" t="str">
        <x:v>INDEPENDENT / DEFAULT</x:v>
      </x:c>
      <x:c r="S33" s="13" t="str"/>
      <x:c r="T33" s="13" t="str">
        <x:v>UNRESOLVED</x:v>
      </x:c>
      <x:c r="U33" s="13" t="str"/>
      <x:c r="V33" s="13" t="str"/>
      <x:c r="W33" s="13" t="str"/>
      <x:c r="X33" s="13" t="str">
        <x:f>IF(L33&lt;&gt;"COVERED","HELD — COVERAGE",IF(N33="YES — SENSITIVE","C ACTIONABLE","CHAPTER 5 DEFAULT"))</x:f>
        <x:v>HELD — COVERAGE</x:v>
      </x:c>
      <x:c r="Y33" s="13" t="str">
        <x:f>IF(L33&lt;&gt;"COVERED","HELD — COVERAGE",IF(P33="YES — MANAGED ACCESS","D ACTIONABLE","NO D FIELD"))</x:f>
        <x:v>HELD — COVERAGE</x:v>
      </x:c>
      <x:c r="Z33" s="13" t="str">
        <x:f>IF(L33&lt;&gt;"COVERED","HELD — COVERAGE",IF(OR(R33="PAIRED SYNCHRONIZED",R33="TRILATERAL SYNCHRONIZED"),"E ACTIONABLE","INDEPENDENT"))</x:f>
        <x:v>HELD — COVERAGE</x:v>
      </x:c>
      <x:c r="AA33" s="13" t="str">
        <x:f>IF(L33&lt;&gt;"COVERED","HELD — COVERAGE","WAIT FOR UPSTREAM COMPLETION")</x:f>
        <x:v>HELD — COVERAGE</x:v>
      </x:c>
      <x:c r="AB33" s="13" t="str">
        <x:f>IF(L33&lt;&gt;"COVERED","HELD — COVERAGE",IF(T33="UNRESOLVED","G DECISION REQUIRED",IF(T33="NOT APPLICABLE","G N/A","G ACTIONABLE")))</x:f>
        <x:v>HELD — COVERAGE</x:v>
      </x:c>
      <x:c r="AC33" s="13" t="str">
        <x:f>IF(L33="UNRESOLVED","COVERAGE FIRST",IF(OR(L33="EXCLUDED",L33="OUT OF SCOPE"),"CLOSED BY COVERAGE",IF(AND(L33="COVERED",T33&lt;&gt;"UNRESOLVED"),"PARTIALLY ADOPTED","DECISIONS REMAIN")))</x:f>
        <x:v>COVERAGE FIRST</x:v>
      </x:c>
    </x:row>
    <x:row r="34">
      <x:c r="A34" s="13" t="str">
        <x:v>NAAFTC-HS6-010649</x:v>
      </x:c>
      <x:c r="B34" s="13" t="str">
        <x:v>010649</x:v>
      </x:c>
      <x:c r="C34" s="13" t="str">
        <x:v>01</x:v>
      </x:c>
      <x:c r="D34" s="13" t="str">
        <x:v>TRILATERAL_SPLIT_MERGE</x:v>
      </x:c>
      <x:c r="E34" s="13" t="str">
        <x:v>Pending</x:v>
      </x:c>
      <x:c r="F34" s="13" t="n">
        <x:v>2</x:v>
      </x:c>
      <x:c r="G34" s="13" t="n">
        <x:v>1</x:v>
      </x:c>
      <x:c r="H34" s="13" t="n">
        <x:v>1</x:v>
      </x:c>
      <x:c r="I34" s="13" t="str">
        <x:v>0106490010; 0106490090</x:v>
      </x:c>
      <x:c r="J34" s="13" t="str">
        <x:v>0106499900</x:v>
      </x:c>
      <x:c r="K34" s="13" t="str">
        <x:v>0106490000</x:v>
      </x:c>
      <x:c r="L34" s="13" t="str">
        <x:v>UNRESOLVED</x:v>
      </x:c>
      <x:c r="M34" s="13" t="str"/>
      <x:c r="N34" s="13" t="str">
        <x:v>NO / DEFAULT</x:v>
      </x:c>
      <x:c r="O34" s="13" t="str"/>
      <x:c r="P34" s="13" t="str">
        <x:v>NO / DEFAULT</x:v>
      </x:c>
      <x:c r="Q34" s="13" t="str"/>
      <x:c r="R34" s="13" t="str">
        <x:v>INDEPENDENT / DEFAULT</x:v>
      </x:c>
      <x:c r="S34" s="13" t="str"/>
      <x:c r="T34" s="13" t="str">
        <x:v>UNRESOLVED</x:v>
      </x:c>
      <x:c r="U34" s="13" t="str"/>
      <x:c r="V34" s="13" t="str"/>
      <x:c r="W34" s="13" t="str"/>
      <x:c r="X34" s="13" t="str">
        <x:f>IF(L34&lt;&gt;"COVERED","HELD — COVERAGE",IF(N34="YES — SENSITIVE","C ACTIONABLE","CHAPTER 5 DEFAULT"))</x:f>
        <x:v>HELD — COVERAGE</x:v>
      </x:c>
      <x:c r="Y34" s="13" t="str">
        <x:f>IF(L34&lt;&gt;"COVERED","HELD — COVERAGE",IF(P34="YES — MANAGED ACCESS","D ACTIONABLE","NO D FIELD"))</x:f>
        <x:v>HELD — COVERAGE</x:v>
      </x:c>
      <x:c r="Z34" s="13" t="str">
        <x:f>IF(L34&lt;&gt;"COVERED","HELD — COVERAGE",IF(OR(R34="PAIRED SYNCHRONIZED",R34="TRILATERAL SYNCHRONIZED"),"E ACTIONABLE","INDEPENDENT"))</x:f>
        <x:v>HELD — COVERAGE</x:v>
      </x:c>
      <x:c r="AA34" s="13" t="str">
        <x:f>IF(L34&lt;&gt;"COVERED","HELD — COVERAGE","WAIT FOR UPSTREAM COMPLETION")</x:f>
        <x:v>HELD — COVERAGE</x:v>
      </x:c>
      <x:c r="AB34" s="13" t="str">
        <x:f>IF(L34&lt;&gt;"COVERED","HELD — COVERAGE",IF(T34="UNRESOLVED","G DECISION REQUIRED",IF(T34="NOT APPLICABLE","G N/A","G ACTIONABLE")))</x:f>
        <x:v>HELD — COVERAGE</x:v>
      </x:c>
      <x:c r="AC34" s="13" t="str">
        <x:f>IF(L34="UNRESOLVED","COVERAGE FIRST",IF(OR(L34="EXCLUDED",L34="OUT OF SCOPE"),"CLOSED BY COVERAGE",IF(AND(L34="COVERED",T34&lt;&gt;"UNRESOLVED"),"PARTIALLY ADOPTED","DECISIONS REMAIN")))</x:f>
        <x:v>COVERAGE FIRST</x:v>
      </x:c>
    </x:row>
    <x:row r="35">
      <x:c r="A35" s="13" t="str">
        <x:v>NAAFTC-HS6-010690</x:v>
      </x:c>
      <x:c r="B35" s="13" t="str">
        <x:v>010690</x:v>
      </x:c>
      <x:c r="C35" s="13" t="str">
        <x:v>01</x:v>
      </x:c>
      <x:c r="D35" s="13" t="str">
        <x:v>TRILATERAL_SPLIT_MERGE</x:v>
      </x:c>
      <x:c r="E35" s="13" t="str">
        <x:v>Pending</x:v>
      </x:c>
      <x:c r="F35" s="13" t="n">
        <x:v>3</x:v>
      </x:c>
      <x:c r="G35" s="13" t="n">
        <x:v>4</x:v>
      </x:c>
      <x:c r="H35" s="13" t="n">
        <x:v>1</x:v>
      </x:c>
      <x:c r="I35" s="13" t="str">
        <x:v>0106900110; 0106900120; 0106900180</x:v>
      </x:c>
      <x:c r="J35" s="13" t="str">
        <x:v>0106900200; 0106900300; 0106900400; 0106909900</x:v>
      </x:c>
      <x:c r="K35" s="13" t="str">
        <x:v>01069000</x:v>
      </x:c>
      <x:c r="L35" s="13" t="str">
        <x:v>UNRESOLVED</x:v>
      </x:c>
      <x:c r="M35" s="13" t="str"/>
      <x:c r="N35" s="13" t="str">
        <x:v>NO / DEFAULT</x:v>
      </x:c>
      <x:c r="O35" s="13" t="str"/>
      <x:c r="P35" s="13" t="str">
        <x:v>NO / DEFAULT</x:v>
      </x:c>
      <x:c r="Q35" s="13" t="str"/>
      <x:c r="R35" s="13" t="str">
        <x:v>INDEPENDENT / DEFAULT</x:v>
      </x:c>
      <x:c r="S35" s="13" t="str"/>
      <x:c r="T35" s="13" t="str">
        <x:v>UNRESOLVED</x:v>
      </x:c>
      <x:c r="U35" s="13" t="str"/>
      <x:c r="V35" s="13" t="str"/>
      <x:c r="W35" s="13" t="str"/>
      <x:c r="X35" s="13" t="str">
        <x:f>IF(L35&lt;&gt;"COVERED","HELD — COVERAGE",IF(N35="YES — SENSITIVE","C ACTIONABLE","CHAPTER 5 DEFAULT"))</x:f>
        <x:v>HELD — COVERAGE</x:v>
      </x:c>
      <x:c r="Y35" s="13" t="str">
        <x:f>IF(L35&lt;&gt;"COVERED","HELD — COVERAGE",IF(P35="YES — MANAGED ACCESS","D ACTIONABLE","NO D FIELD"))</x:f>
        <x:v>HELD — COVERAGE</x:v>
      </x:c>
      <x:c r="Z35" s="13" t="str">
        <x:f>IF(L35&lt;&gt;"COVERED","HELD — COVERAGE",IF(OR(R35="PAIRED SYNCHRONIZED",R35="TRILATERAL SYNCHRONIZED"),"E ACTIONABLE","INDEPENDENT"))</x:f>
        <x:v>HELD — COVERAGE</x:v>
      </x:c>
      <x:c r="AA35" s="13" t="str">
        <x:f>IF(L35&lt;&gt;"COVERED","HELD — COVERAGE","WAIT FOR UPSTREAM COMPLETION")</x:f>
        <x:v>HELD — COVERAGE</x:v>
      </x:c>
      <x:c r="AB35" s="13" t="str">
        <x:f>IF(L35&lt;&gt;"COVERED","HELD — COVERAGE",IF(T35="UNRESOLVED","G DECISION REQUIRED",IF(T35="NOT APPLICABLE","G N/A","G ACTIONABLE")))</x:f>
        <x:v>HELD — COVERAGE</x:v>
      </x:c>
      <x:c r="AC35" s="13" t="str">
        <x:f>IF(L35="UNRESOLVED","COVERAGE FIRST",IF(OR(L35="EXCLUDED",L35="OUT OF SCOPE"),"CLOSED BY COVERAGE",IF(AND(L35="COVERED",T35&lt;&gt;"UNRESOLVED"),"PARTIALLY ADOPTED","DECISIONS REMAIN")))</x:f>
        <x:v>COVERAGE FIRST</x:v>
      </x:c>
    </x:row>
    <x:row r="36">
      <x:c r="A36" s="13" t="str">
        <x:v>NAAFTC-HS6-020110</x:v>
      </x:c>
      <x:c r="B36" s="13" t="str">
        <x:v>020110</x:v>
      </x:c>
      <x:c r="C36" s="13" t="str">
        <x:v>02</x:v>
      </x:c>
      <x:c r="D36" s="13" t="str">
        <x:v>TRILATERAL_SPLIT_MERGE</x:v>
      </x:c>
      <x:c r="E36" s="13" t="str">
        <x:v>Pending</x:v>
      </x:c>
      <x:c r="F36" s="13" t="n">
        <x:v>6</x:v>
      </x:c>
      <x:c r="G36" s="13" t="n">
        <x:v>1</x:v>
      </x:c>
      <x:c r="H36" s="13" t="n">
        <x:v>2</x:v>
      </x:c>
      <x:c r="I36" s="13" t="str">
        <x:v>0201100510; 0201100590; 0201101010; 0201101090; 0201105010; 0201105090</x:v>
      </x:c>
      <x:c r="J36" s="13" t="str">
        <x:v>0201100100</x:v>
      </x:c>
      <x:c r="K36" s="13" t="str">
        <x:v>02011010; 02011020</x:v>
      </x:c>
      <x:c r="L36" s="13" t="str">
        <x:v>UNRESOLVED</x:v>
      </x:c>
      <x:c r="M36" s="13" t="str"/>
      <x:c r="N36" s="13" t="str">
        <x:v>NO / DEFAULT</x:v>
      </x:c>
      <x:c r="O36" s="13" t="str"/>
      <x:c r="P36" s="13" t="str">
        <x:v>NO / DEFAULT</x:v>
      </x:c>
      <x:c r="Q36" s="13" t="str"/>
      <x:c r="R36" s="13" t="str">
        <x:v>INDEPENDENT / DEFAULT</x:v>
      </x:c>
      <x:c r="S36" s="13" t="str"/>
      <x:c r="T36" s="13" t="str">
        <x:v>UNRESOLVED</x:v>
      </x:c>
      <x:c r="U36" s="13" t="str"/>
      <x:c r="V36" s="13" t="str"/>
      <x:c r="W36" s="13" t="str"/>
      <x:c r="X36" s="13" t="str">
        <x:f>IF(L36&lt;&gt;"COVERED","HELD — COVERAGE",IF(N36="YES — SENSITIVE","C ACTIONABLE","CHAPTER 5 DEFAULT"))</x:f>
        <x:v>HELD — COVERAGE</x:v>
      </x:c>
      <x:c r="Y36" s="13" t="str">
        <x:f>IF(L36&lt;&gt;"COVERED","HELD — COVERAGE",IF(P36="YES — MANAGED ACCESS","D ACTIONABLE","NO D FIELD"))</x:f>
        <x:v>HELD — COVERAGE</x:v>
      </x:c>
      <x:c r="Z36" s="13" t="str">
        <x:f>IF(L36&lt;&gt;"COVERED","HELD — COVERAGE",IF(OR(R36="PAIRED SYNCHRONIZED",R36="TRILATERAL SYNCHRONIZED"),"E ACTIONABLE","INDEPENDENT"))</x:f>
        <x:v>HELD — COVERAGE</x:v>
      </x:c>
      <x:c r="AA36" s="13" t="str">
        <x:f>IF(L36&lt;&gt;"COVERED","HELD — COVERAGE","WAIT FOR UPSTREAM COMPLETION")</x:f>
        <x:v>HELD — COVERAGE</x:v>
      </x:c>
      <x:c r="AB36" s="13" t="str">
        <x:f>IF(L36&lt;&gt;"COVERED","HELD — COVERAGE",IF(T36="UNRESOLVED","G DECISION REQUIRED",IF(T36="NOT APPLICABLE","G N/A","G ACTIONABLE")))</x:f>
        <x:v>HELD — COVERAGE</x:v>
      </x:c>
      <x:c r="AC36" s="13" t="str">
        <x:f>IF(L36="UNRESOLVED","COVERAGE FIRST",IF(OR(L36="EXCLUDED",L36="OUT OF SCOPE"),"CLOSED BY COVERAGE",IF(AND(L36="COVERED",T36&lt;&gt;"UNRESOLVED"),"PARTIALLY ADOPTED","DECISIONS REMAIN")))</x:f>
        <x:v>COVERAGE FIRST</x:v>
      </x:c>
    </x:row>
    <x:row r="37">
      <x:c r="A37" s="13" t="str">
        <x:v>NAAFTC-HS6-020120</x:v>
      </x:c>
      <x:c r="B37" s="13" t="str">
        <x:v>020120</x:v>
      </x:c>
      <x:c r="C37" s="13" t="str">
        <x:v>02</x:v>
      </x:c>
      <x:c r="D37" s="13" t="str">
        <x:v>TRILATERAL_SPLIT_MERGE</x:v>
      </x:c>
      <x:c r="E37" s="13" t="str">
        <x:v>Pending</x:v>
      </x:c>
      <x:c r="F37" s="13" t="n">
        <x:v>14</x:v>
      </x:c>
      <x:c r="G37" s="13" t="n">
        <x:v>1</x:v>
      </x:c>
      <x:c r="H37" s="13" t="n">
        <x:v>2</x:v>
      </x:c>
      <x:c r="I37" s="13" t="str">
        <x:v>0201200200; 0201200400; 0201200600; 0201201000; 0201203000; 0201205015; +8 more</x:v>
      </x:c>
      <x:c r="J37" s="13" t="str">
        <x:v>0201209100</x:v>
      </x:c>
      <x:c r="K37" s="13" t="str">
        <x:v>02012010; 02012020</x:v>
      </x:c>
      <x:c r="L37" s="13" t="str">
        <x:v>UNRESOLVED</x:v>
      </x:c>
      <x:c r="M37" s="13" t="str"/>
      <x:c r="N37" s="13" t="str">
        <x:v>NO / DEFAULT</x:v>
      </x:c>
      <x:c r="O37" s="13" t="str"/>
      <x:c r="P37" s="13" t="str">
        <x:v>NO / DEFAULT</x:v>
      </x:c>
      <x:c r="Q37" s="13" t="str"/>
      <x:c r="R37" s="13" t="str">
        <x:v>INDEPENDENT / DEFAULT</x:v>
      </x:c>
      <x:c r="S37" s="13" t="str"/>
      <x:c r="T37" s="13" t="str">
        <x:v>UNRESOLVED</x:v>
      </x:c>
      <x:c r="U37" s="13" t="str"/>
      <x:c r="V37" s="13" t="str"/>
      <x:c r="W37" s="13" t="str"/>
      <x:c r="X37" s="13" t="str">
        <x:f>IF(L37&lt;&gt;"COVERED","HELD — COVERAGE",IF(N37="YES — SENSITIVE","C ACTIONABLE","CHAPTER 5 DEFAULT"))</x:f>
        <x:v>HELD — COVERAGE</x:v>
      </x:c>
      <x:c r="Y37" s="13" t="str">
        <x:f>IF(L37&lt;&gt;"COVERED","HELD — COVERAGE",IF(P37="YES — MANAGED ACCESS","D ACTIONABLE","NO D FIELD"))</x:f>
        <x:v>HELD — COVERAGE</x:v>
      </x:c>
      <x:c r="Z37" s="13" t="str">
        <x:f>IF(L37&lt;&gt;"COVERED","HELD — COVERAGE",IF(OR(R37="PAIRED SYNCHRONIZED",R37="TRILATERAL SYNCHRONIZED"),"E ACTIONABLE","INDEPENDENT"))</x:f>
        <x:v>HELD — COVERAGE</x:v>
      </x:c>
      <x:c r="AA37" s="13" t="str">
        <x:f>IF(L37&lt;&gt;"COVERED","HELD — COVERAGE","WAIT FOR UPSTREAM COMPLETION")</x:f>
        <x:v>HELD — COVERAGE</x:v>
      </x:c>
      <x:c r="AB37" s="13" t="str">
        <x:f>IF(L37&lt;&gt;"COVERED","HELD — COVERAGE",IF(T37="UNRESOLVED","G DECISION REQUIRED",IF(T37="NOT APPLICABLE","G N/A","G ACTIONABLE")))</x:f>
        <x:v>HELD — COVERAGE</x:v>
      </x:c>
      <x:c r="AC37" s="13" t="str">
        <x:f>IF(L37="UNRESOLVED","COVERAGE FIRST",IF(OR(L37="EXCLUDED",L37="OUT OF SCOPE"),"CLOSED BY COVERAGE",IF(AND(L37="COVERED",T37&lt;&gt;"UNRESOLVED"),"PARTIALLY ADOPTED","DECISIONS REMAIN")))</x:f>
        <x:v>COVERAGE FIRST</x:v>
      </x:c>
    </x:row>
    <x:row r="38">
      <x:c r="A38" s="13" t="str">
        <x:v>NAAFTC-HS6-020130</x:v>
      </x:c>
      <x:c r="B38" s="13" t="str">
        <x:v>020130</x:v>
      </x:c>
      <x:c r="C38" s="13" t="str">
        <x:v>02</x:v>
      </x:c>
      <x:c r="D38" s="13" t="str">
        <x:v>TRILATERAL_SPLIT_MERGE</x:v>
      </x:c>
      <x:c r="E38" s="13" t="str">
        <x:v>Pending</x:v>
      </x:c>
      <x:c r="F38" s="13" t="n">
        <x:v>16</x:v>
      </x:c>
      <x:c r="G38" s="13" t="n">
        <x:v>1</x:v>
      </x:c>
      <x:c r="H38" s="13" t="n">
        <x:v>2</x:v>
      </x:c>
      <x:c r="I38" s="13" t="str">
        <x:v>0201300200; 0201300400; 0201300600; 0201301000; 0201303000; 0201305015; +10 more</x:v>
      </x:c>
      <x:c r="J38" s="13" t="str">
        <x:v>0201300100</x:v>
      </x:c>
      <x:c r="K38" s="13" t="str">
        <x:v>02013010; 02013020</x:v>
      </x:c>
      <x:c r="L38" s="13" t="str">
        <x:v>UNRESOLVED</x:v>
      </x:c>
      <x:c r="M38" s="13" t="str"/>
      <x:c r="N38" s="13" t="str">
        <x:v>NO / DEFAULT</x:v>
      </x:c>
      <x:c r="O38" s="13" t="str"/>
      <x:c r="P38" s="13" t="str">
        <x:v>NO / DEFAULT</x:v>
      </x:c>
      <x:c r="Q38" s="13" t="str"/>
      <x:c r="R38" s="13" t="str">
        <x:v>INDEPENDENT / DEFAULT</x:v>
      </x:c>
      <x:c r="S38" s="13" t="str"/>
      <x:c r="T38" s="13" t="str">
        <x:v>UNRESOLVED</x:v>
      </x:c>
      <x:c r="U38" s="13" t="str"/>
      <x:c r="V38" s="13" t="str"/>
      <x:c r="W38" s="13" t="str"/>
      <x:c r="X38" s="13" t="str">
        <x:f>IF(L38&lt;&gt;"COVERED","HELD — COVERAGE",IF(N38="YES — SENSITIVE","C ACTIONABLE","CHAPTER 5 DEFAULT"))</x:f>
        <x:v>HELD — COVERAGE</x:v>
      </x:c>
      <x:c r="Y38" s="13" t="str">
        <x:f>IF(L38&lt;&gt;"COVERED","HELD — COVERAGE",IF(P38="YES — MANAGED ACCESS","D ACTIONABLE","NO D FIELD"))</x:f>
        <x:v>HELD — COVERAGE</x:v>
      </x:c>
      <x:c r="Z38" s="13" t="str">
        <x:f>IF(L38&lt;&gt;"COVERED","HELD — COVERAGE",IF(OR(R38="PAIRED SYNCHRONIZED",R38="TRILATERAL SYNCHRONIZED"),"E ACTIONABLE","INDEPENDENT"))</x:f>
        <x:v>HELD — COVERAGE</x:v>
      </x:c>
      <x:c r="AA38" s="13" t="str">
        <x:f>IF(L38&lt;&gt;"COVERED","HELD — COVERAGE","WAIT FOR UPSTREAM COMPLETION")</x:f>
        <x:v>HELD — COVERAGE</x:v>
      </x:c>
      <x:c r="AB38" s="13" t="str">
        <x:f>IF(L38&lt;&gt;"COVERED","HELD — COVERAGE",IF(T38="UNRESOLVED","G DECISION REQUIRED",IF(T38="NOT APPLICABLE","G N/A","G ACTIONABLE")))</x:f>
        <x:v>HELD — COVERAGE</x:v>
      </x:c>
      <x:c r="AC38" s="13" t="str">
        <x:f>IF(L38="UNRESOLVED","COVERAGE FIRST",IF(OR(L38="EXCLUDED",L38="OUT OF SCOPE"),"CLOSED BY COVERAGE",IF(AND(L38="COVERED",T38&lt;&gt;"UNRESOLVED"),"PARTIALLY ADOPTED","DECISIONS REMAIN")))</x:f>
        <x:v>COVERAGE FIRST</x:v>
      </x:c>
    </x:row>
    <x:row r="39">
      <x:c r="A39" s="13" t="str">
        <x:v>NAAFTC-HS6-020210</x:v>
      </x:c>
      <x:c r="B39" s="13" t="str">
        <x:v>020210</x:v>
      </x:c>
      <x:c r="C39" s="13" t="str">
        <x:v>02</x:v>
      </x:c>
      <x:c r="D39" s="13" t="str">
        <x:v>TRILATERAL_SPLIT_MERGE</x:v>
      </x:c>
      <x:c r="E39" s="13" t="str">
        <x:v>Pending</x:v>
      </x:c>
      <x:c r="F39" s="13" t="n">
        <x:v>6</x:v>
      </x:c>
      <x:c r="G39" s="13" t="n">
        <x:v>1</x:v>
      </x:c>
      <x:c r="H39" s="13" t="n">
        <x:v>2</x:v>
      </x:c>
      <x:c r="I39" s="13" t="str">
        <x:v>0202100510; 0202100590; 0202101010; 0202101090; 0202105010; 0202105090</x:v>
      </x:c>
      <x:c r="J39" s="13" t="str">
        <x:v>0202100100</x:v>
      </x:c>
      <x:c r="K39" s="13" t="str">
        <x:v>02021010; 02021020</x:v>
      </x:c>
      <x:c r="L39" s="13" t="str">
        <x:v>UNRESOLVED</x:v>
      </x:c>
      <x:c r="M39" s="13" t="str"/>
      <x:c r="N39" s="13" t="str">
        <x:v>NO / DEFAULT</x:v>
      </x:c>
      <x:c r="O39" s="13" t="str"/>
      <x:c r="P39" s="13" t="str">
        <x:v>NO / DEFAULT</x:v>
      </x:c>
      <x:c r="Q39" s="13" t="str"/>
      <x:c r="R39" s="13" t="str">
        <x:v>INDEPENDENT / DEFAULT</x:v>
      </x:c>
      <x:c r="S39" s="13" t="str"/>
      <x:c r="T39" s="13" t="str">
        <x:v>UNRESOLVED</x:v>
      </x:c>
      <x:c r="U39" s="13" t="str"/>
      <x:c r="V39" s="13" t="str"/>
      <x:c r="W39" s="13" t="str"/>
      <x:c r="X39" s="13" t="str">
        <x:f>IF(L39&lt;&gt;"COVERED","HELD — COVERAGE",IF(N39="YES — SENSITIVE","C ACTIONABLE","CHAPTER 5 DEFAULT"))</x:f>
        <x:v>HELD — COVERAGE</x:v>
      </x:c>
      <x:c r="Y39" s="13" t="str">
        <x:f>IF(L39&lt;&gt;"COVERED","HELD — COVERAGE",IF(P39="YES — MANAGED ACCESS","D ACTIONABLE","NO D FIELD"))</x:f>
        <x:v>HELD — COVERAGE</x:v>
      </x:c>
      <x:c r="Z39" s="13" t="str">
        <x:f>IF(L39&lt;&gt;"COVERED","HELD — COVERAGE",IF(OR(R39="PAIRED SYNCHRONIZED",R39="TRILATERAL SYNCHRONIZED"),"E ACTIONABLE","INDEPENDENT"))</x:f>
        <x:v>HELD — COVERAGE</x:v>
      </x:c>
      <x:c r="AA39" s="13" t="str">
        <x:f>IF(L39&lt;&gt;"COVERED","HELD — COVERAGE","WAIT FOR UPSTREAM COMPLETION")</x:f>
        <x:v>HELD — COVERAGE</x:v>
      </x:c>
      <x:c r="AB39" s="13" t="str">
        <x:f>IF(L39&lt;&gt;"COVERED","HELD — COVERAGE",IF(T39="UNRESOLVED","G DECISION REQUIRED",IF(T39="NOT APPLICABLE","G N/A","G ACTIONABLE")))</x:f>
        <x:v>HELD — COVERAGE</x:v>
      </x:c>
      <x:c r="AC39" s="13" t="str">
        <x:f>IF(L39="UNRESOLVED","COVERAGE FIRST",IF(OR(L39="EXCLUDED",L39="OUT OF SCOPE"),"CLOSED BY COVERAGE",IF(AND(L39="COVERED",T39&lt;&gt;"UNRESOLVED"),"PARTIALLY ADOPTED","DECISIONS REMAIN")))</x:f>
        <x:v>COVERAGE FIRST</x:v>
      </x:c>
    </x:row>
    <x:row r="40">
      <x:c r="A40" s="13" t="str">
        <x:v>NAAFTC-HS6-020220</x:v>
      </x:c>
      <x:c r="B40" s="13" t="str">
        <x:v>020220</x:v>
      </x:c>
      <x:c r="C40" s="13" t="str">
        <x:v>02</x:v>
      </x:c>
      <x:c r="D40" s="13" t="str">
        <x:v>TRILATERAL_SPLIT_MERGE</x:v>
      </x:c>
      <x:c r="E40" s="13" t="str">
        <x:v>Pending</x:v>
      </x:c>
      <x:c r="F40" s="13" t="n">
        <x:v>10</x:v>
      </x:c>
      <x:c r="G40" s="13" t="n">
        <x:v>1</x:v>
      </x:c>
      <x:c r="H40" s="13" t="n">
        <x:v>2</x:v>
      </x:c>
      <x:c r="I40" s="13" t="str">
        <x:v>0202200200; 0202200400; 0202200600; 0202201000; 0202203000; 0202205025; +4 more</x:v>
      </x:c>
      <x:c r="J40" s="13" t="str">
        <x:v>0202209100</x:v>
      </x:c>
      <x:c r="K40" s="13" t="str">
        <x:v>02022010; 02022020</x:v>
      </x:c>
      <x:c r="L40" s="13" t="str">
        <x:v>UNRESOLVED</x:v>
      </x:c>
      <x:c r="M40" s="13" t="str"/>
      <x:c r="N40" s="13" t="str">
        <x:v>NO / DEFAULT</x:v>
      </x:c>
      <x:c r="O40" s="13" t="str"/>
      <x:c r="P40" s="13" t="str">
        <x:v>NO / DEFAULT</x:v>
      </x:c>
      <x:c r="Q40" s="13" t="str"/>
      <x:c r="R40" s="13" t="str">
        <x:v>INDEPENDENT / DEFAULT</x:v>
      </x:c>
      <x:c r="S40" s="13" t="str"/>
      <x:c r="T40" s="13" t="str">
        <x:v>UNRESOLVED</x:v>
      </x:c>
      <x:c r="U40" s="13" t="str"/>
      <x:c r="V40" s="13" t="str"/>
      <x:c r="W40" s="13" t="str"/>
      <x:c r="X40" s="13" t="str">
        <x:f>IF(L40&lt;&gt;"COVERED","HELD — COVERAGE",IF(N40="YES — SENSITIVE","C ACTIONABLE","CHAPTER 5 DEFAULT"))</x:f>
        <x:v>HELD — COVERAGE</x:v>
      </x:c>
      <x:c r="Y40" s="13" t="str">
        <x:f>IF(L40&lt;&gt;"COVERED","HELD — COVERAGE",IF(P40="YES — MANAGED ACCESS","D ACTIONABLE","NO D FIELD"))</x:f>
        <x:v>HELD — COVERAGE</x:v>
      </x:c>
      <x:c r="Z40" s="13" t="str">
        <x:f>IF(L40&lt;&gt;"COVERED","HELD — COVERAGE",IF(OR(R40="PAIRED SYNCHRONIZED",R40="TRILATERAL SYNCHRONIZED"),"E ACTIONABLE","INDEPENDENT"))</x:f>
        <x:v>HELD — COVERAGE</x:v>
      </x:c>
      <x:c r="AA40" s="13" t="str">
        <x:f>IF(L40&lt;&gt;"COVERED","HELD — COVERAGE","WAIT FOR UPSTREAM COMPLETION")</x:f>
        <x:v>HELD — COVERAGE</x:v>
      </x:c>
      <x:c r="AB40" s="13" t="str">
        <x:f>IF(L40&lt;&gt;"COVERED","HELD — COVERAGE",IF(T40="UNRESOLVED","G DECISION REQUIRED",IF(T40="NOT APPLICABLE","G N/A","G ACTIONABLE")))</x:f>
        <x:v>HELD — COVERAGE</x:v>
      </x:c>
      <x:c r="AC40" s="13" t="str">
        <x:f>IF(L40="UNRESOLVED","COVERAGE FIRST",IF(OR(L40="EXCLUDED",L40="OUT OF SCOPE"),"CLOSED BY COVERAGE",IF(AND(L40="COVERED",T40&lt;&gt;"UNRESOLVED"),"PARTIALLY ADOPTED","DECISIONS REMAIN")))</x:f>
        <x:v>COVERAGE FIRST</x:v>
      </x:c>
    </x:row>
    <x:row r="41">
      <x:c r="A41" s="13" t="str">
        <x:v>NAAFTC-HS6-020230</x:v>
      </x:c>
      <x:c r="B41" s="13" t="str">
        <x:v>020230</x:v>
      </x:c>
      <x:c r="C41" s="13" t="str">
        <x:v>02</x:v>
      </x:c>
      <x:c r="D41" s="13" t="str">
        <x:v>TRILATERAL_SPLIT_MERGE</x:v>
      </x:c>
      <x:c r="E41" s="13" t="str">
        <x:v>Pending</x:v>
      </x:c>
      <x:c r="F41" s="13" t="n">
        <x:v>16</x:v>
      </x:c>
      <x:c r="G41" s="13" t="n">
        <x:v>1</x:v>
      </x:c>
      <x:c r="H41" s="13" t="n">
        <x:v>2</x:v>
      </x:c>
      <x:c r="I41" s="13" t="str">
        <x:v>0202300200; 0202300400; 0202300600; 0202301000; 0202303000; 0202305015; +10 more</x:v>
      </x:c>
      <x:c r="J41" s="13" t="str">
        <x:v>0202300100</x:v>
      </x:c>
      <x:c r="K41" s="13" t="str">
        <x:v>02023010; 02023020</x:v>
      </x:c>
      <x:c r="L41" s="13" t="str">
        <x:v>UNRESOLVED</x:v>
      </x:c>
      <x:c r="M41" s="13" t="str"/>
      <x:c r="N41" s="13" t="str">
        <x:v>NO / DEFAULT</x:v>
      </x:c>
      <x:c r="O41" s="13" t="str"/>
      <x:c r="P41" s="13" t="str">
        <x:v>NO / DEFAULT</x:v>
      </x:c>
      <x:c r="Q41" s="13" t="str"/>
      <x:c r="R41" s="13" t="str">
        <x:v>INDEPENDENT / DEFAULT</x:v>
      </x:c>
      <x:c r="S41" s="13" t="str"/>
      <x:c r="T41" s="13" t="str">
        <x:v>UNRESOLVED</x:v>
      </x:c>
      <x:c r="U41" s="13" t="str"/>
      <x:c r="V41" s="13" t="str"/>
      <x:c r="W41" s="13" t="str"/>
      <x:c r="X41" s="13" t="str">
        <x:f>IF(L41&lt;&gt;"COVERED","HELD — COVERAGE",IF(N41="YES — SENSITIVE","C ACTIONABLE","CHAPTER 5 DEFAULT"))</x:f>
        <x:v>HELD — COVERAGE</x:v>
      </x:c>
      <x:c r="Y41" s="13" t="str">
        <x:f>IF(L41&lt;&gt;"COVERED","HELD — COVERAGE",IF(P41="YES — MANAGED ACCESS","D ACTIONABLE","NO D FIELD"))</x:f>
        <x:v>HELD — COVERAGE</x:v>
      </x:c>
      <x:c r="Z41" s="13" t="str">
        <x:f>IF(L41&lt;&gt;"COVERED","HELD — COVERAGE",IF(OR(R41="PAIRED SYNCHRONIZED",R41="TRILATERAL SYNCHRONIZED"),"E ACTIONABLE","INDEPENDENT"))</x:f>
        <x:v>HELD — COVERAGE</x:v>
      </x:c>
      <x:c r="AA41" s="13" t="str">
        <x:f>IF(L41&lt;&gt;"COVERED","HELD — COVERAGE","WAIT FOR UPSTREAM COMPLETION")</x:f>
        <x:v>HELD — COVERAGE</x:v>
      </x:c>
      <x:c r="AB41" s="13" t="str">
        <x:f>IF(L41&lt;&gt;"COVERED","HELD — COVERAGE",IF(T41="UNRESOLVED","G DECISION REQUIRED",IF(T41="NOT APPLICABLE","G N/A","G ACTIONABLE")))</x:f>
        <x:v>HELD — COVERAGE</x:v>
      </x:c>
      <x:c r="AC41" s="13" t="str">
        <x:f>IF(L41="UNRESOLVED","COVERAGE FIRST",IF(OR(L41="EXCLUDED",L41="OUT OF SCOPE"),"CLOSED BY COVERAGE",IF(AND(L41="COVERED",T41&lt;&gt;"UNRESOLVED"),"PARTIALLY ADOPTED","DECISIONS REMAIN")))</x:f>
        <x:v>COVERAGE FIRST</x:v>
      </x:c>
    </x:row>
    <x:row r="42">
      <x:c r="A42" s="13" t="str">
        <x:v>NAAFTC-HS6-020311</x:v>
      </x:c>
      <x:c r="B42" s="13" t="str">
        <x:v>020311</x:v>
      </x:c>
      <x:c r="C42" s="13" t="str">
        <x:v>02</x:v>
      </x:c>
      <x:c r="D42" s="13" t="str">
        <x:v>TRILATERAL_1_TO_1_TO_1</x:v>
      </x:c>
      <x:c r="E42" s="13" t="str">
        <x:v>Pending</x:v>
      </x:c>
      <x:c r="F42" s="13" t="n">
        <x:v>1</x:v>
      </x:c>
      <x:c r="G42" s="13" t="n">
        <x:v>1</x:v>
      </x:c>
      <x:c r="H42" s="13" t="n">
        <x:v>1</x:v>
      </x:c>
      <x:c r="I42" s="13" t="str">
        <x:v>0203110000</x:v>
      </x:c>
      <x:c r="J42" s="13" t="str">
        <x:v>0203110100</x:v>
      </x:c>
      <x:c r="K42" s="13" t="str">
        <x:v>0203110000</x:v>
      </x:c>
      <x:c r="L42" s="13" t="str">
        <x:v>UNRESOLVED</x:v>
      </x:c>
      <x:c r="M42" s="13" t="str"/>
      <x:c r="N42" s="13" t="str">
        <x:v>NO / DEFAULT</x:v>
      </x:c>
      <x:c r="O42" s="13" t="str"/>
      <x:c r="P42" s="13" t="str">
        <x:v>NO / DEFAULT</x:v>
      </x:c>
      <x:c r="Q42" s="13" t="str"/>
      <x:c r="R42" s="13" t="str">
        <x:v>INDEPENDENT / DEFAULT</x:v>
      </x:c>
      <x:c r="S42" s="13" t="str"/>
      <x:c r="T42" s="13" t="str">
        <x:v>UNRESOLVED</x:v>
      </x:c>
      <x:c r="U42" s="13" t="str"/>
      <x:c r="V42" s="13" t="str"/>
      <x:c r="W42" s="13" t="str"/>
      <x:c r="X42" s="13" t="str">
        <x:f>IF(L42&lt;&gt;"COVERED","HELD — COVERAGE",IF(N42="YES — SENSITIVE","C ACTIONABLE","CHAPTER 5 DEFAULT"))</x:f>
        <x:v>HELD — COVERAGE</x:v>
      </x:c>
      <x:c r="Y42" s="13" t="str">
        <x:f>IF(L42&lt;&gt;"COVERED","HELD — COVERAGE",IF(P42="YES — MANAGED ACCESS","D ACTIONABLE","NO D FIELD"))</x:f>
        <x:v>HELD — COVERAGE</x:v>
      </x:c>
      <x:c r="Z42" s="13" t="str">
        <x:f>IF(L42&lt;&gt;"COVERED","HELD — COVERAGE",IF(OR(R42="PAIRED SYNCHRONIZED",R42="TRILATERAL SYNCHRONIZED"),"E ACTIONABLE","INDEPENDENT"))</x:f>
        <x:v>HELD — COVERAGE</x:v>
      </x:c>
      <x:c r="AA42" s="13" t="str">
        <x:f>IF(L42&lt;&gt;"COVERED","HELD — COVERAGE","WAIT FOR UPSTREAM COMPLETION")</x:f>
        <x:v>HELD — COVERAGE</x:v>
      </x:c>
      <x:c r="AB42" s="13" t="str">
        <x:f>IF(L42&lt;&gt;"COVERED","HELD — COVERAGE",IF(T42="UNRESOLVED","G DECISION REQUIRED",IF(T42="NOT APPLICABLE","G N/A","G ACTIONABLE")))</x:f>
        <x:v>HELD — COVERAGE</x:v>
      </x:c>
      <x:c r="AC42" s="13" t="str">
        <x:f>IF(L42="UNRESOLVED","COVERAGE FIRST",IF(OR(L42="EXCLUDED",L42="OUT OF SCOPE"),"CLOSED BY COVERAGE",IF(AND(L42="COVERED",T42&lt;&gt;"UNRESOLVED"),"PARTIALLY ADOPTED","DECISIONS REMAIN")))</x:f>
        <x:v>COVERAGE FIRST</x:v>
      </x:c>
    </x:row>
    <x:row r="43">
      <x:c r="A43" s="13" t="str">
        <x:v>NAAFTC-HS6-020312</x:v>
      </x:c>
      <x:c r="B43" s="13" t="str">
        <x:v>020312</x:v>
      </x:c>
      <x:c r="C43" s="13" t="str">
        <x:v>02</x:v>
      </x:c>
      <x:c r="D43" s="13" t="str">
        <x:v>TRILATERAL_SPLIT_MERGE</x:v>
      </x:c>
      <x:c r="E43" s="13" t="str">
        <x:v>Pending</x:v>
      </x:c>
      <x:c r="F43" s="13" t="n">
        <x:v>4</x:v>
      </x:c>
      <x:c r="G43" s="13" t="n">
        <x:v>2</x:v>
      </x:c>
      <x:c r="H43" s="13" t="n">
        <x:v>1</x:v>
      </x:c>
      <x:c r="I43" s="13" t="str">
        <x:v>0203121010; 0203121020; 0203129010; 0203129020</x:v>
      </x:c>
      <x:c r="J43" s="13" t="str">
        <x:v>0203120101; 0203120102</x:v>
      </x:c>
      <x:c r="K43" s="13" t="str">
        <x:v>0203120000</x:v>
      </x:c>
      <x:c r="L43" s="13" t="str">
        <x:v>UNRESOLVED</x:v>
      </x:c>
      <x:c r="M43" s="13" t="str"/>
      <x:c r="N43" s="13" t="str">
        <x:v>NO / DEFAULT</x:v>
      </x:c>
      <x:c r="O43" s="13" t="str"/>
      <x:c r="P43" s="13" t="str">
        <x:v>NO / DEFAULT</x:v>
      </x:c>
      <x:c r="Q43" s="13" t="str"/>
      <x:c r="R43" s="13" t="str">
        <x:v>INDEPENDENT / DEFAULT</x:v>
      </x:c>
      <x:c r="S43" s="13" t="str"/>
      <x:c r="T43" s="13" t="str">
        <x:v>UNRESOLVED</x:v>
      </x:c>
      <x:c r="U43" s="13" t="str"/>
      <x:c r="V43" s="13" t="str"/>
      <x:c r="W43" s="13" t="str"/>
      <x:c r="X43" s="13" t="str">
        <x:f>IF(L43&lt;&gt;"COVERED","HELD — COVERAGE",IF(N43="YES — SENSITIVE","C ACTIONABLE","CHAPTER 5 DEFAULT"))</x:f>
        <x:v>HELD — COVERAGE</x:v>
      </x:c>
      <x:c r="Y43" s="13" t="str">
        <x:f>IF(L43&lt;&gt;"COVERED","HELD — COVERAGE",IF(P43="YES — MANAGED ACCESS","D ACTIONABLE","NO D FIELD"))</x:f>
        <x:v>HELD — COVERAGE</x:v>
      </x:c>
      <x:c r="Z43" s="13" t="str">
        <x:f>IF(L43&lt;&gt;"COVERED","HELD — COVERAGE",IF(OR(R43="PAIRED SYNCHRONIZED",R43="TRILATERAL SYNCHRONIZED"),"E ACTIONABLE","INDEPENDENT"))</x:f>
        <x:v>HELD — COVERAGE</x:v>
      </x:c>
      <x:c r="AA43" s="13" t="str">
        <x:f>IF(L43&lt;&gt;"COVERED","HELD — COVERAGE","WAIT FOR UPSTREAM COMPLETION")</x:f>
        <x:v>HELD — COVERAGE</x:v>
      </x:c>
      <x:c r="AB43" s="13" t="str">
        <x:f>IF(L43&lt;&gt;"COVERED","HELD — COVERAGE",IF(T43="UNRESOLVED","G DECISION REQUIRED",IF(T43="NOT APPLICABLE","G N/A","G ACTIONABLE")))</x:f>
        <x:v>HELD — COVERAGE</x:v>
      </x:c>
      <x:c r="AC43" s="13" t="str">
        <x:f>IF(L43="UNRESOLVED","COVERAGE FIRST",IF(OR(L43="EXCLUDED",L43="OUT OF SCOPE"),"CLOSED BY COVERAGE",IF(AND(L43="COVERED",T43&lt;&gt;"UNRESOLVED"),"PARTIALLY ADOPTED","DECISIONS REMAIN")))</x:f>
        <x:v>COVERAGE FIRST</x:v>
      </x:c>
    </x:row>
    <x:row r="44">
      <x:c r="A44" s="13" t="str">
        <x:v>NAAFTC-HS6-020319</x:v>
      </x:c>
      <x:c r="B44" s="13" t="str">
        <x:v>020319</x:v>
      </x:c>
      <x:c r="C44" s="13" t="str">
        <x:v>02</x:v>
      </x:c>
      <x:c r="D44" s="13" t="str">
        <x:v>TRILATERAL_SPLIT_MERGE</x:v>
      </x:c>
      <x:c r="E44" s="13" t="str">
        <x:v>Pending</x:v>
      </x:c>
      <x:c r="F44" s="13" t="n">
        <x:v>4</x:v>
      </x:c>
      <x:c r="G44" s="13" t="n">
        <x:v>1</x:v>
      </x:c>
      <x:c r="H44" s="13" t="n">
        <x:v>1</x:v>
      </x:c>
      <x:c r="I44" s="13" t="str">
        <x:v>0203192010; 0203192090; 0203194010; 0203194090</x:v>
      </x:c>
      <x:c r="J44" s="13" t="str">
        <x:v>0203199900</x:v>
      </x:c>
      <x:c r="K44" s="13" t="str">
        <x:v>02031900</x:v>
      </x:c>
      <x:c r="L44" s="13" t="str">
        <x:v>UNRESOLVED</x:v>
      </x:c>
      <x:c r="M44" s="13" t="str"/>
      <x:c r="N44" s="13" t="str">
        <x:v>NO / DEFAULT</x:v>
      </x:c>
      <x:c r="O44" s="13" t="str"/>
      <x:c r="P44" s="13" t="str">
        <x:v>NO / DEFAULT</x:v>
      </x:c>
      <x:c r="Q44" s="13" t="str"/>
      <x:c r="R44" s="13" t="str">
        <x:v>INDEPENDENT / DEFAULT</x:v>
      </x:c>
      <x:c r="S44" s="13" t="str"/>
      <x:c r="T44" s="13" t="str">
        <x:v>UNRESOLVED</x:v>
      </x:c>
      <x:c r="U44" s="13" t="str"/>
      <x:c r="V44" s="13" t="str"/>
      <x:c r="W44" s="13" t="str"/>
      <x:c r="X44" s="13" t="str">
        <x:f>IF(L44&lt;&gt;"COVERED","HELD — COVERAGE",IF(N44="YES — SENSITIVE","C ACTIONABLE","CHAPTER 5 DEFAULT"))</x:f>
        <x:v>HELD — COVERAGE</x:v>
      </x:c>
      <x:c r="Y44" s="13" t="str">
        <x:f>IF(L44&lt;&gt;"COVERED","HELD — COVERAGE",IF(P44="YES — MANAGED ACCESS","D ACTIONABLE","NO D FIELD"))</x:f>
        <x:v>HELD — COVERAGE</x:v>
      </x:c>
      <x:c r="Z44" s="13" t="str">
        <x:f>IF(L44&lt;&gt;"COVERED","HELD — COVERAGE",IF(OR(R44="PAIRED SYNCHRONIZED",R44="TRILATERAL SYNCHRONIZED"),"E ACTIONABLE","INDEPENDENT"))</x:f>
        <x:v>HELD — COVERAGE</x:v>
      </x:c>
      <x:c r="AA44" s="13" t="str">
        <x:f>IF(L44&lt;&gt;"COVERED","HELD — COVERAGE","WAIT FOR UPSTREAM COMPLETION")</x:f>
        <x:v>HELD — COVERAGE</x:v>
      </x:c>
      <x:c r="AB44" s="13" t="str">
        <x:f>IF(L44&lt;&gt;"COVERED","HELD — COVERAGE",IF(T44="UNRESOLVED","G DECISION REQUIRED",IF(T44="NOT APPLICABLE","G N/A","G ACTIONABLE")))</x:f>
        <x:v>HELD — COVERAGE</x:v>
      </x:c>
      <x:c r="AC44" s="13" t="str">
        <x:f>IF(L44="UNRESOLVED","COVERAGE FIRST",IF(OR(L44="EXCLUDED",L44="OUT OF SCOPE"),"CLOSED BY COVERAGE",IF(AND(L44="COVERED",T44&lt;&gt;"UNRESOLVED"),"PARTIALLY ADOPTED","DECISIONS REMAIN")))</x:f>
        <x:v>COVERAGE FIRST</x:v>
      </x:c>
    </x:row>
    <x:row r="45">
      <x:c r="A45" s="13" t="str">
        <x:v>NAAFTC-HS6-020321</x:v>
      </x:c>
      <x:c r="B45" s="13" t="str">
        <x:v>020321</x:v>
      </x:c>
      <x:c r="C45" s="13" t="str">
        <x:v>02</x:v>
      </x:c>
      <x:c r="D45" s="13" t="str">
        <x:v>TRILATERAL_1_TO_1_TO_1</x:v>
      </x:c>
      <x:c r="E45" s="13" t="str">
        <x:v>Pending</x:v>
      </x:c>
      <x:c r="F45" s="13" t="n">
        <x:v>1</x:v>
      </x:c>
      <x:c r="G45" s="13" t="n">
        <x:v>1</x:v>
      </x:c>
      <x:c r="H45" s="13" t="n">
        <x:v>1</x:v>
      </x:c>
      <x:c r="I45" s="13" t="str">
        <x:v>0203210000</x:v>
      </x:c>
      <x:c r="J45" s="13" t="str">
        <x:v>0203210100</x:v>
      </x:c>
      <x:c r="K45" s="13" t="str">
        <x:v>0203210000</x:v>
      </x:c>
      <x:c r="L45" s="13" t="str">
        <x:v>UNRESOLVED</x:v>
      </x:c>
      <x:c r="M45" s="13" t="str"/>
      <x:c r="N45" s="13" t="str">
        <x:v>NO / DEFAULT</x:v>
      </x:c>
      <x:c r="O45" s="13" t="str"/>
      <x:c r="P45" s="13" t="str">
        <x:v>NO / DEFAULT</x:v>
      </x:c>
      <x:c r="Q45" s="13" t="str"/>
      <x:c r="R45" s="13" t="str">
        <x:v>INDEPENDENT / DEFAULT</x:v>
      </x:c>
      <x:c r="S45" s="13" t="str"/>
      <x:c r="T45" s="13" t="str">
        <x:v>UNRESOLVED</x:v>
      </x:c>
      <x:c r="U45" s="13" t="str"/>
      <x:c r="V45" s="13" t="str"/>
      <x:c r="W45" s="13" t="str"/>
      <x:c r="X45" s="13" t="str">
        <x:f>IF(L45&lt;&gt;"COVERED","HELD — COVERAGE",IF(N45="YES — SENSITIVE","C ACTIONABLE","CHAPTER 5 DEFAULT"))</x:f>
        <x:v>HELD — COVERAGE</x:v>
      </x:c>
      <x:c r="Y45" s="13" t="str">
        <x:f>IF(L45&lt;&gt;"COVERED","HELD — COVERAGE",IF(P45="YES — MANAGED ACCESS","D ACTIONABLE","NO D FIELD"))</x:f>
        <x:v>HELD — COVERAGE</x:v>
      </x:c>
      <x:c r="Z45" s="13" t="str">
        <x:f>IF(L45&lt;&gt;"COVERED","HELD — COVERAGE",IF(OR(R45="PAIRED SYNCHRONIZED",R45="TRILATERAL SYNCHRONIZED"),"E ACTIONABLE","INDEPENDENT"))</x:f>
        <x:v>HELD — COVERAGE</x:v>
      </x:c>
      <x:c r="AA45" s="13" t="str">
        <x:f>IF(L45&lt;&gt;"COVERED","HELD — COVERAGE","WAIT FOR UPSTREAM COMPLETION")</x:f>
        <x:v>HELD — COVERAGE</x:v>
      </x:c>
      <x:c r="AB45" s="13" t="str">
        <x:f>IF(L45&lt;&gt;"COVERED","HELD — COVERAGE",IF(T45="UNRESOLVED","G DECISION REQUIRED",IF(T45="NOT APPLICABLE","G N/A","G ACTIONABLE")))</x:f>
        <x:v>HELD — COVERAGE</x:v>
      </x:c>
      <x:c r="AC45" s="13" t="str">
        <x:f>IF(L45="UNRESOLVED","COVERAGE FIRST",IF(OR(L45="EXCLUDED",L45="OUT OF SCOPE"),"CLOSED BY COVERAGE",IF(AND(L45="COVERED",T45&lt;&gt;"UNRESOLVED"),"PARTIALLY ADOPTED","DECISIONS REMAIN")))</x:f>
        <x:v>COVERAGE FIRST</x:v>
      </x:c>
    </x:row>
    <x:row r="46">
      <x:c r="A46" s="13" t="str">
        <x:v>NAAFTC-HS6-020322</x:v>
      </x:c>
      <x:c r="B46" s="13" t="str">
        <x:v>020322</x:v>
      </x:c>
      <x:c r="C46" s="13" t="str">
        <x:v>02</x:v>
      </x:c>
      <x:c r="D46" s="13" t="str">
        <x:v>TRILATERAL_SPLIT_MERGE</x:v>
      </x:c>
      <x:c r="E46" s="13" t="str">
        <x:v>Pending</x:v>
      </x:c>
      <x:c r="F46" s="13" t="n">
        <x:v>2</x:v>
      </x:c>
      <x:c r="G46" s="13" t="n">
        <x:v>2</x:v>
      </x:c>
      <x:c r="H46" s="13" t="n">
        <x:v>1</x:v>
      </x:c>
      <x:c r="I46" s="13" t="str">
        <x:v>0203221000; 0203229000</x:v>
      </x:c>
      <x:c r="J46" s="13" t="str">
        <x:v>0203220101; 0203220102</x:v>
      </x:c>
      <x:c r="K46" s="13" t="str">
        <x:v>0203220000</x:v>
      </x:c>
      <x:c r="L46" s="13" t="str">
        <x:v>UNRESOLVED</x:v>
      </x:c>
      <x:c r="M46" s="13" t="str"/>
      <x:c r="N46" s="13" t="str">
        <x:v>NO / DEFAULT</x:v>
      </x:c>
      <x:c r="O46" s="13" t="str"/>
      <x:c r="P46" s="13" t="str">
        <x:v>NO / DEFAULT</x:v>
      </x:c>
      <x:c r="Q46" s="13" t="str"/>
      <x:c r="R46" s="13" t="str">
        <x:v>INDEPENDENT / DEFAULT</x:v>
      </x:c>
      <x:c r="S46" s="13" t="str"/>
      <x:c r="T46" s="13" t="str">
        <x:v>UNRESOLVED</x:v>
      </x:c>
      <x:c r="U46" s="13" t="str"/>
      <x:c r="V46" s="13" t="str"/>
      <x:c r="W46" s="13" t="str"/>
      <x:c r="X46" s="13" t="str">
        <x:f>IF(L46&lt;&gt;"COVERED","HELD — COVERAGE",IF(N46="YES — SENSITIVE","C ACTIONABLE","CHAPTER 5 DEFAULT"))</x:f>
        <x:v>HELD — COVERAGE</x:v>
      </x:c>
      <x:c r="Y46" s="13" t="str">
        <x:f>IF(L46&lt;&gt;"COVERED","HELD — COVERAGE",IF(P46="YES — MANAGED ACCESS","D ACTIONABLE","NO D FIELD"))</x:f>
        <x:v>HELD — COVERAGE</x:v>
      </x:c>
      <x:c r="Z46" s="13" t="str">
        <x:f>IF(L46&lt;&gt;"COVERED","HELD — COVERAGE",IF(OR(R46="PAIRED SYNCHRONIZED",R46="TRILATERAL SYNCHRONIZED"),"E ACTIONABLE","INDEPENDENT"))</x:f>
        <x:v>HELD — COVERAGE</x:v>
      </x:c>
      <x:c r="AA46" s="13" t="str">
        <x:f>IF(L46&lt;&gt;"COVERED","HELD — COVERAGE","WAIT FOR UPSTREAM COMPLETION")</x:f>
        <x:v>HELD — COVERAGE</x:v>
      </x:c>
      <x:c r="AB46" s="13" t="str">
        <x:f>IF(L46&lt;&gt;"COVERED","HELD — COVERAGE",IF(T46="UNRESOLVED","G DECISION REQUIRED",IF(T46="NOT APPLICABLE","G N/A","G ACTIONABLE")))</x:f>
        <x:v>HELD — COVERAGE</x:v>
      </x:c>
      <x:c r="AC46" s="13" t="str">
        <x:f>IF(L46="UNRESOLVED","COVERAGE FIRST",IF(OR(L46="EXCLUDED",L46="OUT OF SCOPE"),"CLOSED BY COVERAGE",IF(AND(L46="COVERED",T46&lt;&gt;"UNRESOLVED"),"PARTIALLY ADOPTED","DECISIONS REMAIN")))</x:f>
        <x:v>COVERAGE FIRST</x:v>
      </x:c>
    </x:row>
    <x:row r="47">
      <x:c r="A47" s="13" t="str">
        <x:v>NAAFTC-HS6-020329</x:v>
      </x:c>
      <x:c r="B47" s="13" t="str">
        <x:v>020329</x:v>
      </x:c>
      <x:c r="C47" s="13" t="str">
        <x:v>02</x:v>
      </x:c>
      <x:c r="D47" s="13" t="str">
        <x:v>TRILATERAL_SPLIT_MERGE</x:v>
      </x:c>
      <x:c r="E47" s="13" t="str">
        <x:v>Pending</x:v>
      </x:c>
      <x:c r="F47" s="13" t="n">
        <x:v>2</x:v>
      </x:c>
      <x:c r="G47" s="13" t="n">
        <x:v>1</x:v>
      </x:c>
      <x:c r="H47" s="13" t="n">
        <x:v>1</x:v>
      </x:c>
      <x:c r="I47" s="13" t="str">
        <x:v>0203292000; 0203294000</x:v>
      </x:c>
      <x:c r="J47" s="13" t="str">
        <x:v>0203299900</x:v>
      </x:c>
      <x:c r="K47" s="13" t="str">
        <x:v>02032900</x:v>
      </x:c>
      <x:c r="L47" s="13" t="str">
        <x:v>UNRESOLVED</x:v>
      </x:c>
      <x:c r="M47" s="13" t="str"/>
      <x:c r="N47" s="13" t="str">
        <x:v>NO / DEFAULT</x:v>
      </x:c>
      <x:c r="O47" s="13" t="str"/>
      <x:c r="P47" s="13" t="str">
        <x:v>NO / DEFAULT</x:v>
      </x:c>
      <x:c r="Q47" s="13" t="str"/>
      <x:c r="R47" s="13" t="str">
        <x:v>INDEPENDENT / DEFAULT</x:v>
      </x:c>
      <x:c r="S47" s="13" t="str"/>
      <x:c r="T47" s="13" t="str">
        <x:v>UNRESOLVED</x:v>
      </x:c>
      <x:c r="U47" s="13" t="str"/>
      <x:c r="V47" s="13" t="str"/>
      <x:c r="W47" s="13" t="str"/>
      <x:c r="X47" s="13" t="str">
        <x:f>IF(L47&lt;&gt;"COVERED","HELD — COVERAGE",IF(N47="YES — SENSITIVE","C ACTIONABLE","CHAPTER 5 DEFAULT"))</x:f>
        <x:v>HELD — COVERAGE</x:v>
      </x:c>
      <x:c r="Y47" s="13" t="str">
        <x:f>IF(L47&lt;&gt;"COVERED","HELD — COVERAGE",IF(P47="YES — MANAGED ACCESS","D ACTIONABLE","NO D FIELD"))</x:f>
        <x:v>HELD — COVERAGE</x:v>
      </x:c>
      <x:c r="Z47" s="13" t="str">
        <x:f>IF(L47&lt;&gt;"COVERED","HELD — COVERAGE",IF(OR(R47="PAIRED SYNCHRONIZED",R47="TRILATERAL SYNCHRONIZED"),"E ACTIONABLE","INDEPENDENT"))</x:f>
        <x:v>HELD — COVERAGE</x:v>
      </x:c>
      <x:c r="AA47" s="13" t="str">
        <x:f>IF(L47&lt;&gt;"COVERED","HELD — COVERAGE","WAIT FOR UPSTREAM COMPLETION")</x:f>
        <x:v>HELD — COVERAGE</x:v>
      </x:c>
      <x:c r="AB47" s="13" t="str">
        <x:f>IF(L47&lt;&gt;"COVERED","HELD — COVERAGE",IF(T47="UNRESOLVED","G DECISION REQUIRED",IF(T47="NOT APPLICABLE","G N/A","G ACTIONABLE")))</x:f>
        <x:v>HELD — COVERAGE</x:v>
      </x:c>
      <x:c r="AC47" s="13" t="str">
        <x:f>IF(L47="UNRESOLVED","COVERAGE FIRST",IF(OR(L47="EXCLUDED",L47="OUT OF SCOPE"),"CLOSED BY COVERAGE",IF(AND(L47="COVERED",T47&lt;&gt;"UNRESOLVED"),"PARTIALLY ADOPTED","DECISIONS REMAIN")))</x:f>
        <x:v>COVERAGE FIRST</x:v>
      </x:c>
    </x:row>
    <x:row r="48">
      <x:c r="A48" s="13" t="str">
        <x:v>NAAFTC-HS6-020410</x:v>
      </x:c>
      <x:c r="B48" s="13" t="str">
        <x:v>020410</x:v>
      </x:c>
      <x:c r="C48" s="13" t="str">
        <x:v>02</x:v>
      </x:c>
      <x:c r="D48" s="13" t="str">
        <x:v>TRILATERAL_1_TO_1_TO_1</x:v>
      </x:c>
      <x:c r="E48" s="13" t="str">
        <x:v>Pending</x:v>
      </x:c>
      <x:c r="F48" s="13" t="n">
        <x:v>1</x:v>
      </x:c>
      <x:c r="G48" s="13" t="n">
        <x:v>1</x:v>
      </x:c>
      <x:c r="H48" s="13" t="n">
        <x:v>1</x:v>
      </x:c>
      <x:c r="I48" s="13" t="str">
        <x:v>0204100000</x:v>
      </x:c>
      <x:c r="J48" s="13" t="str">
        <x:v>0204100100</x:v>
      </x:c>
      <x:c r="K48" s="13" t="str">
        <x:v>0204100000</x:v>
      </x:c>
      <x:c r="L48" s="13" t="str">
        <x:v>UNRESOLVED</x:v>
      </x:c>
      <x:c r="M48" s="13" t="str"/>
      <x:c r="N48" s="13" t="str">
        <x:v>NO / DEFAULT</x:v>
      </x:c>
      <x:c r="O48" s="13" t="str"/>
      <x:c r="P48" s="13" t="str">
        <x:v>NO / DEFAULT</x:v>
      </x:c>
      <x:c r="Q48" s="13" t="str"/>
      <x:c r="R48" s="13" t="str">
        <x:v>INDEPENDENT / DEFAULT</x:v>
      </x:c>
      <x:c r="S48" s="13" t="str"/>
      <x:c r="T48" s="13" t="str">
        <x:v>UNRESOLVED</x:v>
      </x:c>
      <x:c r="U48" s="13" t="str"/>
      <x:c r="V48" s="13" t="str"/>
      <x:c r="W48" s="13" t="str"/>
      <x:c r="X48" s="13" t="str">
        <x:f>IF(L48&lt;&gt;"COVERED","HELD — COVERAGE",IF(N48="YES — SENSITIVE","C ACTIONABLE","CHAPTER 5 DEFAULT"))</x:f>
        <x:v>HELD — COVERAGE</x:v>
      </x:c>
      <x:c r="Y48" s="13" t="str">
        <x:f>IF(L48&lt;&gt;"COVERED","HELD — COVERAGE",IF(P48="YES — MANAGED ACCESS","D ACTIONABLE","NO D FIELD"))</x:f>
        <x:v>HELD — COVERAGE</x:v>
      </x:c>
      <x:c r="Z48" s="13" t="str">
        <x:f>IF(L48&lt;&gt;"COVERED","HELD — COVERAGE",IF(OR(R48="PAIRED SYNCHRONIZED",R48="TRILATERAL SYNCHRONIZED"),"E ACTIONABLE","INDEPENDENT"))</x:f>
        <x:v>HELD — COVERAGE</x:v>
      </x:c>
      <x:c r="AA48" s="13" t="str">
        <x:f>IF(L48&lt;&gt;"COVERED","HELD — COVERAGE","WAIT FOR UPSTREAM COMPLETION")</x:f>
        <x:v>HELD — COVERAGE</x:v>
      </x:c>
      <x:c r="AB48" s="13" t="str">
        <x:f>IF(L48&lt;&gt;"COVERED","HELD — COVERAGE",IF(T48="UNRESOLVED","G DECISION REQUIRED",IF(T48="NOT APPLICABLE","G N/A","G ACTIONABLE")))</x:f>
        <x:v>HELD — COVERAGE</x:v>
      </x:c>
      <x:c r="AC48" s="13" t="str">
        <x:f>IF(L48="UNRESOLVED","COVERAGE FIRST",IF(OR(L48="EXCLUDED",L48="OUT OF SCOPE"),"CLOSED BY COVERAGE",IF(AND(L48="COVERED",T48&lt;&gt;"UNRESOLVED"),"PARTIALLY ADOPTED","DECISIONS REMAIN")))</x:f>
        <x:v>COVERAGE FIRST</x:v>
      </x:c>
    </x:row>
    <x:row r="49">
      <x:c r="A49" s="13" t="str">
        <x:v>NAAFTC-HS6-020421</x:v>
      </x:c>
      <x:c r="B49" s="13" t="str">
        <x:v>020421</x:v>
      </x:c>
      <x:c r="C49" s="13" t="str">
        <x:v>02</x:v>
      </x:c>
      <x:c r="D49" s="13" t="str">
        <x:v>TRILATERAL_1_TO_1_TO_1</x:v>
      </x:c>
      <x:c r="E49" s="13" t="str">
        <x:v>Pending</x:v>
      </x:c>
      <x:c r="F49" s="13" t="n">
        <x:v>1</x:v>
      </x:c>
      <x:c r="G49" s="13" t="n">
        <x:v>1</x:v>
      </x:c>
      <x:c r="H49" s="13" t="n">
        <x:v>1</x:v>
      </x:c>
      <x:c r="I49" s="13" t="str">
        <x:v>0204210000</x:v>
      </x:c>
      <x:c r="J49" s="13" t="str">
        <x:v>0204210100</x:v>
      </x:c>
      <x:c r="K49" s="13" t="str">
        <x:v>0204210000</x:v>
      </x:c>
      <x:c r="L49" s="13" t="str">
        <x:v>UNRESOLVED</x:v>
      </x:c>
      <x:c r="M49" s="13" t="str"/>
      <x:c r="N49" s="13" t="str">
        <x:v>NO / DEFAULT</x:v>
      </x:c>
      <x:c r="O49" s="13" t="str"/>
      <x:c r="P49" s="13" t="str">
        <x:v>NO / DEFAULT</x:v>
      </x:c>
      <x:c r="Q49" s="13" t="str"/>
      <x:c r="R49" s="13" t="str">
        <x:v>INDEPENDENT / DEFAULT</x:v>
      </x:c>
      <x:c r="S49" s="13" t="str"/>
      <x:c r="T49" s="13" t="str">
        <x:v>UNRESOLVED</x:v>
      </x:c>
      <x:c r="U49" s="13" t="str"/>
      <x:c r="V49" s="13" t="str"/>
      <x:c r="W49" s="13" t="str"/>
      <x:c r="X49" s="13" t="str">
        <x:f>IF(L49&lt;&gt;"COVERED","HELD — COVERAGE",IF(N49="YES — SENSITIVE","C ACTIONABLE","CHAPTER 5 DEFAULT"))</x:f>
        <x:v>HELD — COVERAGE</x:v>
      </x:c>
      <x:c r="Y49" s="13" t="str">
        <x:f>IF(L49&lt;&gt;"COVERED","HELD — COVERAGE",IF(P49="YES — MANAGED ACCESS","D ACTIONABLE","NO D FIELD"))</x:f>
        <x:v>HELD — COVERAGE</x:v>
      </x:c>
      <x:c r="Z49" s="13" t="str">
        <x:f>IF(L49&lt;&gt;"COVERED","HELD — COVERAGE",IF(OR(R49="PAIRED SYNCHRONIZED",R49="TRILATERAL SYNCHRONIZED"),"E ACTIONABLE","INDEPENDENT"))</x:f>
        <x:v>HELD — COVERAGE</x:v>
      </x:c>
      <x:c r="AA49" s="13" t="str">
        <x:f>IF(L49&lt;&gt;"COVERED","HELD — COVERAGE","WAIT FOR UPSTREAM COMPLETION")</x:f>
        <x:v>HELD — COVERAGE</x:v>
      </x:c>
      <x:c r="AB49" s="13" t="str">
        <x:f>IF(L49&lt;&gt;"COVERED","HELD — COVERAGE",IF(T49="UNRESOLVED","G DECISION REQUIRED",IF(T49="NOT APPLICABLE","G N/A","G ACTIONABLE")))</x:f>
        <x:v>HELD — COVERAGE</x:v>
      </x:c>
      <x:c r="AC49" s="13" t="str">
        <x:f>IF(L49="UNRESOLVED","COVERAGE FIRST",IF(OR(L49="EXCLUDED",L49="OUT OF SCOPE"),"CLOSED BY COVERAGE",IF(AND(L49="COVERED",T49&lt;&gt;"UNRESOLVED"),"PARTIALLY ADOPTED","DECISIONS REMAIN")))</x:f>
        <x:v>COVERAGE FIRST</x:v>
      </x:c>
    </x:row>
    <x:row r="50">
      <x:c r="A50" s="13" t="str">
        <x:v>NAAFTC-HS6-020422</x:v>
      </x:c>
      <x:c r="B50" s="13" t="str">
        <x:v>020422</x:v>
      </x:c>
      <x:c r="C50" s="13" t="str">
        <x:v>02</x:v>
      </x:c>
      <x:c r="D50" s="13" t="str">
        <x:v>TRILATERAL_SPLIT_MERGE</x:v>
      </x:c>
      <x:c r="E50" s="13" t="str">
        <x:v>Pending</x:v>
      </x:c>
      <x:c r="F50" s="13" t="n">
        <x:v>5</x:v>
      </x:c>
      <x:c r="G50" s="13" t="n">
        <x:v>1</x:v>
      </x:c>
      <x:c r="H50" s="13" t="n">
        <x:v>1</x:v>
      </x:c>
      <x:c r="I50" s="13" t="str">
        <x:v>0204222010; 0204222020; 0204222030; 0204222090; 0204224000</x:v>
      </x:c>
      <x:c r="J50" s="13" t="str">
        <x:v>0204229100</x:v>
      </x:c>
      <x:c r="K50" s="13" t="str">
        <x:v>0204220000</x:v>
      </x:c>
      <x:c r="L50" s="13" t="str">
        <x:v>UNRESOLVED</x:v>
      </x:c>
      <x:c r="M50" s="13" t="str"/>
      <x:c r="N50" s="13" t="str">
        <x:v>NO / DEFAULT</x:v>
      </x:c>
      <x:c r="O50" s="13" t="str"/>
      <x:c r="P50" s="13" t="str">
        <x:v>NO / DEFAULT</x:v>
      </x:c>
      <x:c r="Q50" s="13" t="str"/>
      <x:c r="R50" s="13" t="str">
        <x:v>INDEPENDENT / DEFAULT</x:v>
      </x:c>
      <x:c r="S50" s="13" t="str"/>
      <x:c r="T50" s="13" t="str">
        <x:v>UNRESOLVED</x:v>
      </x:c>
      <x:c r="U50" s="13" t="str"/>
      <x:c r="V50" s="13" t="str"/>
      <x:c r="W50" s="13" t="str"/>
      <x:c r="X50" s="13" t="str">
        <x:f>IF(L50&lt;&gt;"COVERED","HELD — COVERAGE",IF(N50="YES — SENSITIVE","C ACTIONABLE","CHAPTER 5 DEFAULT"))</x:f>
        <x:v>HELD — COVERAGE</x:v>
      </x:c>
      <x:c r="Y50" s="13" t="str">
        <x:f>IF(L50&lt;&gt;"COVERED","HELD — COVERAGE",IF(P50="YES — MANAGED ACCESS","D ACTIONABLE","NO D FIELD"))</x:f>
        <x:v>HELD — COVERAGE</x:v>
      </x:c>
      <x:c r="Z50" s="13" t="str">
        <x:f>IF(L50&lt;&gt;"COVERED","HELD — COVERAGE",IF(OR(R50="PAIRED SYNCHRONIZED",R50="TRILATERAL SYNCHRONIZED"),"E ACTIONABLE","INDEPENDENT"))</x:f>
        <x:v>HELD — COVERAGE</x:v>
      </x:c>
      <x:c r="AA50" s="13" t="str">
        <x:f>IF(L50&lt;&gt;"COVERED","HELD — COVERAGE","WAIT FOR UPSTREAM COMPLETION")</x:f>
        <x:v>HELD — COVERAGE</x:v>
      </x:c>
      <x:c r="AB50" s="13" t="str">
        <x:f>IF(L50&lt;&gt;"COVERED","HELD — COVERAGE",IF(T50="UNRESOLVED","G DECISION REQUIRED",IF(T50="NOT APPLICABLE","G N/A","G ACTIONABLE")))</x:f>
        <x:v>HELD — COVERAGE</x:v>
      </x:c>
      <x:c r="AC50" s="13" t="str">
        <x:f>IF(L50="UNRESOLVED","COVERAGE FIRST",IF(OR(L50="EXCLUDED",L50="OUT OF SCOPE"),"CLOSED BY COVERAGE",IF(AND(L50="COVERED",T50&lt;&gt;"UNRESOLVED"),"PARTIALLY ADOPTED","DECISIONS REMAIN")))</x:f>
        <x:v>COVERAGE FIRST</x:v>
      </x:c>
    </x:row>
    <x:row r="51">
      <x:c r="A51" s="13" t="str">
        <x:v>NAAFTC-HS6-020423</x:v>
      </x:c>
      <x:c r="B51" s="13" t="str">
        <x:v>020423</x:v>
      </x:c>
      <x:c r="C51" s="13" t="str">
        <x:v>02</x:v>
      </x:c>
      <x:c r="D51" s="13" t="str">
        <x:v>TRILATERAL_SPLIT_MERGE</x:v>
      </x:c>
      <x:c r="E51" s="13" t="str">
        <x:v>Pending</x:v>
      </x:c>
      <x:c r="F51" s="13" t="n">
        <x:v>2</x:v>
      </x:c>
      <x:c r="G51" s="13" t="n">
        <x:v>1</x:v>
      </x:c>
      <x:c r="H51" s="13" t="n">
        <x:v>1</x:v>
      </x:c>
      <x:c r="I51" s="13" t="str">
        <x:v>0204232000; 0204234000</x:v>
      </x:c>
      <x:c r="J51" s="13" t="str">
        <x:v>0204230100</x:v>
      </x:c>
      <x:c r="K51" s="13" t="str">
        <x:v>0204230000</x:v>
      </x:c>
      <x:c r="L51" s="13" t="str">
        <x:v>UNRESOLVED</x:v>
      </x:c>
      <x:c r="M51" s="13" t="str"/>
      <x:c r="N51" s="13" t="str">
        <x:v>NO / DEFAULT</x:v>
      </x:c>
      <x:c r="O51" s="13" t="str"/>
      <x:c r="P51" s="13" t="str">
        <x:v>NO / DEFAULT</x:v>
      </x:c>
      <x:c r="Q51" s="13" t="str"/>
      <x:c r="R51" s="13" t="str">
        <x:v>INDEPENDENT / DEFAULT</x:v>
      </x:c>
      <x:c r="S51" s="13" t="str"/>
      <x:c r="T51" s="13" t="str">
        <x:v>UNRESOLVED</x:v>
      </x:c>
      <x:c r="U51" s="13" t="str"/>
      <x:c r="V51" s="13" t="str"/>
      <x:c r="W51" s="13" t="str"/>
      <x:c r="X51" s="13" t="str">
        <x:f>IF(L51&lt;&gt;"COVERED","HELD — COVERAGE",IF(N51="YES — SENSITIVE","C ACTIONABLE","CHAPTER 5 DEFAULT"))</x:f>
        <x:v>HELD — COVERAGE</x:v>
      </x:c>
      <x:c r="Y51" s="13" t="str">
        <x:f>IF(L51&lt;&gt;"COVERED","HELD — COVERAGE",IF(P51="YES — MANAGED ACCESS","D ACTIONABLE","NO D FIELD"))</x:f>
        <x:v>HELD — COVERAGE</x:v>
      </x:c>
      <x:c r="Z51" s="13" t="str">
        <x:f>IF(L51&lt;&gt;"COVERED","HELD — COVERAGE",IF(OR(R51="PAIRED SYNCHRONIZED",R51="TRILATERAL SYNCHRONIZED"),"E ACTIONABLE","INDEPENDENT"))</x:f>
        <x:v>HELD — COVERAGE</x:v>
      </x:c>
      <x:c r="AA51" s="13" t="str">
        <x:f>IF(L51&lt;&gt;"COVERED","HELD — COVERAGE","WAIT FOR UPSTREAM COMPLETION")</x:f>
        <x:v>HELD — COVERAGE</x:v>
      </x:c>
      <x:c r="AB51" s="13" t="str">
        <x:f>IF(L51&lt;&gt;"COVERED","HELD — COVERAGE",IF(T51="UNRESOLVED","G DECISION REQUIRED",IF(T51="NOT APPLICABLE","G N/A","G ACTIONABLE")))</x:f>
        <x:v>HELD — COVERAGE</x:v>
      </x:c>
      <x:c r="AC51" s="13" t="str">
        <x:f>IF(L51="UNRESOLVED","COVERAGE FIRST",IF(OR(L51="EXCLUDED",L51="OUT OF SCOPE"),"CLOSED BY COVERAGE",IF(AND(L51="COVERED",T51&lt;&gt;"UNRESOLVED"),"PARTIALLY ADOPTED","DECISIONS REMAIN")))</x:f>
        <x:v>COVERAGE FIRST</x:v>
      </x:c>
    </x:row>
    <x:row r="52">
      <x:c r="A52" s="13" t="str">
        <x:v>NAAFTC-HS6-020430</x:v>
      </x:c>
      <x:c r="B52" s="13" t="str">
        <x:v>020430</x:v>
      </x:c>
      <x:c r="C52" s="13" t="str">
        <x:v>02</x:v>
      </x:c>
      <x:c r="D52" s="13" t="str">
        <x:v>TRILATERAL_1_TO_1_TO_1</x:v>
      </x:c>
      <x:c r="E52" s="13" t="str">
        <x:v>Pending</x:v>
      </x:c>
      <x:c r="F52" s="13" t="n">
        <x:v>1</x:v>
      </x:c>
      <x:c r="G52" s="13" t="n">
        <x:v>1</x:v>
      </x:c>
      <x:c r="H52" s="13" t="n">
        <x:v>1</x:v>
      </x:c>
      <x:c r="I52" s="13" t="str">
        <x:v>0204300000</x:v>
      </x:c>
      <x:c r="J52" s="13" t="str">
        <x:v>0204300100</x:v>
      </x:c>
      <x:c r="K52" s="13" t="str">
        <x:v>0204300000</x:v>
      </x:c>
      <x:c r="L52" s="13" t="str">
        <x:v>UNRESOLVED</x:v>
      </x:c>
      <x:c r="M52" s="13" t="str"/>
      <x:c r="N52" s="13" t="str">
        <x:v>NO / DEFAULT</x:v>
      </x:c>
      <x:c r="O52" s="13" t="str"/>
      <x:c r="P52" s="13" t="str">
        <x:v>NO / DEFAULT</x:v>
      </x:c>
      <x:c r="Q52" s="13" t="str"/>
      <x:c r="R52" s="13" t="str">
        <x:v>INDEPENDENT / DEFAULT</x:v>
      </x:c>
      <x:c r="S52" s="13" t="str"/>
      <x:c r="T52" s="13" t="str">
        <x:v>UNRESOLVED</x:v>
      </x:c>
      <x:c r="U52" s="13" t="str"/>
      <x:c r="V52" s="13" t="str"/>
      <x:c r="W52" s="13" t="str"/>
      <x:c r="X52" s="13" t="str">
        <x:f>IF(L52&lt;&gt;"COVERED","HELD — COVERAGE",IF(N52="YES — SENSITIVE","C ACTIONABLE","CHAPTER 5 DEFAULT"))</x:f>
        <x:v>HELD — COVERAGE</x:v>
      </x:c>
      <x:c r="Y52" s="13" t="str">
        <x:f>IF(L52&lt;&gt;"COVERED","HELD — COVERAGE",IF(P52="YES — MANAGED ACCESS","D ACTIONABLE","NO D FIELD"))</x:f>
        <x:v>HELD — COVERAGE</x:v>
      </x:c>
      <x:c r="Z52" s="13" t="str">
        <x:f>IF(L52&lt;&gt;"COVERED","HELD — COVERAGE",IF(OR(R52="PAIRED SYNCHRONIZED",R52="TRILATERAL SYNCHRONIZED"),"E ACTIONABLE","INDEPENDENT"))</x:f>
        <x:v>HELD — COVERAGE</x:v>
      </x:c>
      <x:c r="AA52" s="13" t="str">
        <x:f>IF(L52&lt;&gt;"COVERED","HELD — COVERAGE","WAIT FOR UPSTREAM COMPLETION")</x:f>
        <x:v>HELD — COVERAGE</x:v>
      </x:c>
      <x:c r="AB52" s="13" t="str">
        <x:f>IF(L52&lt;&gt;"COVERED","HELD — COVERAGE",IF(T52="UNRESOLVED","G DECISION REQUIRED",IF(T52="NOT APPLICABLE","G N/A","G ACTIONABLE")))</x:f>
        <x:v>HELD — COVERAGE</x:v>
      </x:c>
      <x:c r="AC52" s="13" t="str">
        <x:f>IF(L52="UNRESOLVED","COVERAGE FIRST",IF(OR(L52="EXCLUDED",L52="OUT OF SCOPE"),"CLOSED BY COVERAGE",IF(AND(L52="COVERED",T52&lt;&gt;"UNRESOLVED"),"PARTIALLY ADOPTED","DECISIONS REMAIN")))</x:f>
        <x:v>COVERAGE FIRST</x:v>
      </x:c>
    </x:row>
    <x:row r="53">
      <x:c r="A53" s="13" t="str">
        <x:v>NAAFTC-HS6-020441</x:v>
      </x:c>
      <x:c r="B53" s="13" t="str">
        <x:v>020441</x:v>
      </x:c>
      <x:c r="C53" s="13" t="str">
        <x:v>02</x:v>
      </x:c>
      <x:c r="D53" s="13" t="str">
        <x:v>TRILATERAL_1_TO_1_TO_1</x:v>
      </x:c>
      <x:c r="E53" s="13" t="str">
        <x:v>Pending</x:v>
      </x:c>
      <x:c r="F53" s="13" t="n">
        <x:v>1</x:v>
      </x:c>
      <x:c r="G53" s="13" t="n">
        <x:v>1</x:v>
      </x:c>
      <x:c r="H53" s="13" t="n">
        <x:v>1</x:v>
      </x:c>
      <x:c r="I53" s="13" t="str">
        <x:v>0204410000</x:v>
      </x:c>
      <x:c r="J53" s="13" t="str">
        <x:v>0204410100</x:v>
      </x:c>
      <x:c r="K53" s="13" t="str">
        <x:v>0204410000</x:v>
      </x:c>
      <x:c r="L53" s="13" t="str">
        <x:v>UNRESOLVED</x:v>
      </x:c>
      <x:c r="M53" s="13" t="str"/>
      <x:c r="N53" s="13" t="str">
        <x:v>NO / DEFAULT</x:v>
      </x:c>
      <x:c r="O53" s="13" t="str"/>
      <x:c r="P53" s="13" t="str">
        <x:v>NO / DEFAULT</x:v>
      </x:c>
      <x:c r="Q53" s="13" t="str"/>
      <x:c r="R53" s="13" t="str">
        <x:v>INDEPENDENT / DEFAULT</x:v>
      </x:c>
      <x:c r="S53" s="13" t="str"/>
      <x:c r="T53" s="13" t="str">
        <x:v>UNRESOLVED</x:v>
      </x:c>
      <x:c r="U53" s="13" t="str"/>
      <x:c r="V53" s="13" t="str"/>
      <x:c r="W53" s="13" t="str"/>
      <x:c r="X53" s="13" t="str">
        <x:f>IF(L53&lt;&gt;"COVERED","HELD — COVERAGE",IF(N53="YES — SENSITIVE","C ACTIONABLE","CHAPTER 5 DEFAULT"))</x:f>
        <x:v>HELD — COVERAGE</x:v>
      </x:c>
      <x:c r="Y53" s="13" t="str">
        <x:f>IF(L53&lt;&gt;"COVERED","HELD — COVERAGE",IF(P53="YES — MANAGED ACCESS","D ACTIONABLE","NO D FIELD"))</x:f>
        <x:v>HELD — COVERAGE</x:v>
      </x:c>
      <x:c r="Z53" s="13" t="str">
        <x:f>IF(L53&lt;&gt;"COVERED","HELD — COVERAGE",IF(OR(R53="PAIRED SYNCHRONIZED",R53="TRILATERAL SYNCHRONIZED"),"E ACTIONABLE","INDEPENDENT"))</x:f>
        <x:v>HELD — COVERAGE</x:v>
      </x:c>
      <x:c r="AA53" s="13" t="str">
        <x:f>IF(L53&lt;&gt;"COVERED","HELD — COVERAGE","WAIT FOR UPSTREAM COMPLETION")</x:f>
        <x:v>HELD — COVERAGE</x:v>
      </x:c>
      <x:c r="AB53" s="13" t="str">
        <x:f>IF(L53&lt;&gt;"COVERED","HELD — COVERAGE",IF(T53="UNRESOLVED","G DECISION REQUIRED",IF(T53="NOT APPLICABLE","G N/A","G ACTIONABLE")))</x:f>
        <x:v>HELD — COVERAGE</x:v>
      </x:c>
      <x:c r="AC53" s="13" t="str">
        <x:f>IF(L53="UNRESOLVED","COVERAGE FIRST",IF(OR(L53="EXCLUDED",L53="OUT OF SCOPE"),"CLOSED BY COVERAGE",IF(AND(L53="COVERED",T53&lt;&gt;"UNRESOLVED"),"PARTIALLY ADOPTED","DECISIONS REMAIN")))</x:f>
        <x:v>COVERAGE FIRST</x:v>
      </x:c>
    </x:row>
    <x:row r="54">
      <x:c r="A54" s="13" t="str">
        <x:v>NAAFTC-HS6-020442</x:v>
      </x:c>
      <x:c r="B54" s="13" t="str">
        <x:v>020442</x:v>
      </x:c>
      <x:c r="C54" s="13" t="str">
        <x:v>02</x:v>
      </x:c>
      <x:c r="D54" s="13" t="str">
        <x:v>TRILATERAL_SPLIT_MERGE</x:v>
      </x:c>
      <x:c r="E54" s="13" t="str">
        <x:v>Pending</x:v>
      </x:c>
      <x:c r="F54" s="13" t="n">
        <x:v>5</x:v>
      </x:c>
      <x:c r="G54" s="13" t="n">
        <x:v>1</x:v>
      </x:c>
      <x:c r="H54" s="13" t="n">
        <x:v>1</x:v>
      </x:c>
      <x:c r="I54" s="13" t="str">
        <x:v>0204422010; 0204422020; 0204422030; 0204422090; 0204424000</x:v>
      </x:c>
      <x:c r="J54" s="13" t="str">
        <x:v>0204429100</x:v>
      </x:c>
      <x:c r="K54" s="13" t="str">
        <x:v>0204422000</x:v>
      </x:c>
      <x:c r="L54" s="13" t="str">
        <x:v>UNRESOLVED</x:v>
      </x:c>
      <x:c r="M54" s="13" t="str"/>
      <x:c r="N54" s="13" t="str">
        <x:v>NO / DEFAULT</x:v>
      </x:c>
      <x:c r="O54" s="13" t="str"/>
      <x:c r="P54" s="13" t="str">
        <x:v>NO / DEFAULT</x:v>
      </x:c>
      <x:c r="Q54" s="13" t="str"/>
      <x:c r="R54" s="13" t="str">
        <x:v>INDEPENDENT / DEFAULT</x:v>
      </x:c>
      <x:c r="S54" s="13" t="str"/>
      <x:c r="T54" s="13" t="str">
        <x:v>UNRESOLVED</x:v>
      </x:c>
      <x:c r="U54" s="13" t="str"/>
      <x:c r="V54" s="13" t="str"/>
      <x:c r="W54" s="13" t="str"/>
      <x:c r="X54" s="13" t="str">
        <x:f>IF(L54&lt;&gt;"COVERED","HELD — COVERAGE",IF(N54="YES — SENSITIVE","C ACTIONABLE","CHAPTER 5 DEFAULT"))</x:f>
        <x:v>HELD — COVERAGE</x:v>
      </x:c>
      <x:c r="Y54" s="13" t="str">
        <x:f>IF(L54&lt;&gt;"COVERED","HELD — COVERAGE",IF(P54="YES — MANAGED ACCESS","D ACTIONABLE","NO D FIELD"))</x:f>
        <x:v>HELD — COVERAGE</x:v>
      </x:c>
      <x:c r="Z54" s="13" t="str">
        <x:f>IF(L54&lt;&gt;"COVERED","HELD — COVERAGE",IF(OR(R54="PAIRED SYNCHRONIZED",R54="TRILATERAL SYNCHRONIZED"),"E ACTIONABLE","INDEPENDENT"))</x:f>
        <x:v>HELD — COVERAGE</x:v>
      </x:c>
      <x:c r="AA54" s="13" t="str">
        <x:f>IF(L54&lt;&gt;"COVERED","HELD — COVERAGE","WAIT FOR UPSTREAM COMPLETION")</x:f>
        <x:v>HELD — COVERAGE</x:v>
      </x:c>
      <x:c r="AB54" s="13" t="str">
        <x:f>IF(L54&lt;&gt;"COVERED","HELD — COVERAGE",IF(T54="UNRESOLVED","G DECISION REQUIRED",IF(T54="NOT APPLICABLE","G N/A","G ACTIONABLE")))</x:f>
        <x:v>HELD — COVERAGE</x:v>
      </x:c>
      <x:c r="AC54" s="13" t="str">
        <x:f>IF(L54="UNRESOLVED","COVERAGE FIRST",IF(OR(L54="EXCLUDED",L54="OUT OF SCOPE"),"CLOSED BY COVERAGE",IF(AND(L54="COVERED",T54&lt;&gt;"UNRESOLVED"),"PARTIALLY ADOPTED","DECISIONS REMAIN")))</x:f>
        <x:v>COVERAGE FIRST</x:v>
      </x:c>
    </x:row>
    <x:row r="55">
      <x:c r="A55" s="13" t="str">
        <x:v>NAAFTC-HS6-020443</x:v>
      </x:c>
      <x:c r="B55" s="13" t="str">
        <x:v>020443</x:v>
      </x:c>
      <x:c r="C55" s="13" t="str">
        <x:v>02</x:v>
      </x:c>
      <x:c r="D55" s="13" t="str">
        <x:v>TRILATERAL_SPLIT_MERGE</x:v>
      </x:c>
      <x:c r="E55" s="13" t="str">
        <x:v>Pending</x:v>
      </x:c>
      <x:c r="F55" s="13" t="n">
        <x:v>2</x:v>
      </x:c>
      <x:c r="G55" s="13" t="n">
        <x:v>1</x:v>
      </x:c>
      <x:c r="H55" s="13" t="n">
        <x:v>2</x:v>
      </x:c>
      <x:c r="I55" s="13" t="str">
        <x:v>0204432000; 0204434000</x:v>
      </x:c>
      <x:c r="J55" s="13" t="str">
        <x:v>0204430100</x:v>
      </x:c>
      <x:c r="K55" s="13" t="str">
        <x:v>0204431000; 0204432000</x:v>
      </x:c>
      <x:c r="L55" s="13" t="str">
        <x:v>UNRESOLVED</x:v>
      </x:c>
      <x:c r="M55" s="13" t="str"/>
      <x:c r="N55" s="13" t="str">
        <x:v>NO / DEFAULT</x:v>
      </x:c>
      <x:c r="O55" s="13" t="str"/>
      <x:c r="P55" s="13" t="str">
        <x:v>NO / DEFAULT</x:v>
      </x:c>
      <x:c r="Q55" s="13" t="str"/>
      <x:c r="R55" s="13" t="str">
        <x:v>INDEPENDENT / DEFAULT</x:v>
      </x:c>
      <x:c r="S55" s="13" t="str"/>
      <x:c r="T55" s="13" t="str">
        <x:v>UNRESOLVED</x:v>
      </x:c>
      <x:c r="U55" s="13" t="str"/>
      <x:c r="V55" s="13" t="str"/>
      <x:c r="W55" s="13" t="str"/>
      <x:c r="X55" s="13" t="str">
        <x:f>IF(L55&lt;&gt;"COVERED","HELD — COVERAGE",IF(N55="YES — SENSITIVE","C ACTIONABLE","CHAPTER 5 DEFAULT"))</x:f>
        <x:v>HELD — COVERAGE</x:v>
      </x:c>
      <x:c r="Y55" s="13" t="str">
        <x:f>IF(L55&lt;&gt;"COVERED","HELD — COVERAGE",IF(P55="YES — MANAGED ACCESS","D ACTIONABLE","NO D FIELD"))</x:f>
        <x:v>HELD — COVERAGE</x:v>
      </x:c>
      <x:c r="Z55" s="13" t="str">
        <x:f>IF(L55&lt;&gt;"COVERED","HELD — COVERAGE",IF(OR(R55="PAIRED SYNCHRONIZED",R55="TRILATERAL SYNCHRONIZED"),"E ACTIONABLE","INDEPENDENT"))</x:f>
        <x:v>HELD — COVERAGE</x:v>
      </x:c>
      <x:c r="AA55" s="13" t="str">
        <x:f>IF(L55&lt;&gt;"COVERED","HELD — COVERAGE","WAIT FOR UPSTREAM COMPLETION")</x:f>
        <x:v>HELD — COVERAGE</x:v>
      </x:c>
      <x:c r="AB55" s="13" t="str">
        <x:f>IF(L55&lt;&gt;"COVERED","HELD — COVERAGE",IF(T55="UNRESOLVED","G DECISION REQUIRED",IF(T55="NOT APPLICABLE","G N/A","G ACTIONABLE")))</x:f>
        <x:v>HELD — COVERAGE</x:v>
      </x:c>
      <x:c r="AC55" s="13" t="str">
        <x:f>IF(L55="UNRESOLVED","COVERAGE FIRST",IF(OR(L55="EXCLUDED",L55="OUT OF SCOPE"),"CLOSED BY COVERAGE",IF(AND(L55="COVERED",T55&lt;&gt;"UNRESOLVED"),"PARTIALLY ADOPTED","DECISIONS REMAIN")))</x:f>
        <x:v>COVERAGE FIRST</x:v>
      </x:c>
    </x:row>
    <x:row r="56">
      <x:c r="A56" s="13" t="str">
        <x:v>NAAFTC-HS6-020450</x:v>
      </x:c>
      <x:c r="B56" s="13" t="str">
        <x:v>020450</x:v>
      </x:c>
      <x:c r="C56" s="13" t="str">
        <x:v>02</x:v>
      </x:c>
      <x:c r="D56" s="13" t="str">
        <x:v>TRILATERAL_1_TO_1_TO_1</x:v>
      </x:c>
      <x:c r="E56" s="13" t="str">
        <x:v>Pending</x:v>
      </x:c>
      <x:c r="F56" s="13" t="n">
        <x:v>1</x:v>
      </x:c>
      <x:c r="G56" s="13" t="n">
        <x:v>1</x:v>
      </x:c>
      <x:c r="H56" s="13" t="n">
        <x:v>1</x:v>
      </x:c>
      <x:c r="I56" s="13" t="str">
        <x:v>0204500000</x:v>
      </x:c>
      <x:c r="J56" s="13" t="str">
        <x:v>0204500100</x:v>
      </x:c>
      <x:c r="K56" s="13" t="str">
        <x:v>0204500000</x:v>
      </x:c>
      <x:c r="L56" s="13" t="str">
        <x:v>UNRESOLVED</x:v>
      </x:c>
      <x:c r="M56" s="13" t="str"/>
      <x:c r="N56" s="13" t="str">
        <x:v>NO / DEFAULT</x:v>
      </x:c>
      <x:c r="O56" s="13" t="str"/>
      <x:c r="P56" s="13" t="str">
        <x:v>NO / DEFAULT</x:v>
      </x:c>
      <x:c r="Q56" s="13" t="str"/>
      <x:c r="R56" s="13" t="str">
        <x:v>INDEPENDENT / DEFAULT</x:v>
      </x:c>
      <x:c r="S56" s="13" t="str"/>
      <x:c r="T56" s="13" t="str">
        <x:v>UNRESOLVED</x:v>
      </x:c>
      <x:c r="U56" s="13" t="str"/>
      <x:c r="V56" s="13" t="str"/>
      <x:c r="W56" s="13" t="str"/>
      <x:c r="X56" s="13" t="str">
        <x:f>IF(L56&lt;&gt;"COVERED","HELD — COVERAGE",IF(N56="YES — SENSITIVE","C ACTIONABLE","CHAPTER 5 DEFAULT"))</x:f>
        <x:v>HELD — COVERAGE</x:v>
      </x:c>
      <x:c r="Y56" s="13" t="str">
        <x:f>IF(L56&lt;&gt;"COVERED","HELD — COVERAGE",IF(P56="YES — MANAGED ACCESS","D ACTIONABLE","NO D FIELD"))</x:f>
        <x:v>HELD — COVERAGE</x:v>
      </x:c>
      <x:c r="Z56" s="13" t="str">
        <x:f>IF(L56&lt;&gt;"COVERED","HELD — COVERAGE",IF(OR(R56="PAIRED SYNCHRONIZED",R56="TRILATERAL SYNCHRONIZED"),"E ACTIONABLE","INDEPENDENT"))</x:f>
        <x:v>HELD — COVERAGE</x:v>
      </x:c>
      <x:c r="AA56" s="13" t="str">
        <x:f>IF(L56&lt;&gt;"COVERED","HELD — COVERAGE","WAIT FOR UPSTREAM COMPLETION")</x:f>
        <x:v>HELD — COVERAGE</x:v>
      </x:c>
      <x:c r="AB56" s="13" t="str">
        <x:f>IF(L56&lt;&gt;"COVERED","HELD — COVERAGE",IF(T56="UNRESOLVED","G DECISION REQUIRED",IF(T56="NOT APPLICABLE","G N/A","G ACTIONABLE")))</x:f>
        <x:v>HELD — COVERAGE</x:v>
      </x:c>
      <x:c r="AC56" s="13" t="str">
        <x:f>IF(L56="UNRESOLVED","COVERAGE FIRST",IF(OR(L56="EXCLUDED",L56="OUT OF SCOPE"),"CLOSED BY COVERAGE",IF(AND(L56="COVERED",T56&lt;&gt;"UNRESOLVED"),"PARTIALLY ADOPTED","DECISIONS REMAIN")))</x:f>
        <x:v>COVERAGE FIRST</x:v>
      </x:c>
    </x:row>
    <x:row r="57">
      <x:c r="A57" s="13" t="str">
        <x:v>NAAFTC-HS6-020500</x:v>
      </x:c>
      <x:c r="B57" s="13" t="str">
        <x:v>020500</x:v>
      </x:c>
      <x:c r="C57" s="13" t="str">
        <x:v>02</x:v>
      </x:c>
      <x:c r="D57" s="13" t="str">
        <x:v>TRILATERAL_1_TO_1_TO_1</x:v>
      </x:c>
      <x:c r="E57" s="13" t="str">
        <x:v>Pending</x:v>
      </x:c>
      <x:c r="F57" s="13" t="n">
        <x:v>1</x:v>
      </x:c>
      <x:c r="G57" s="13" t="n">
        <x:v>1</x:v>
      </x:c>
      <x:c r="H57" s="13" t="n">
        <x:v>1</x:v>
      </x:c>
      <x:c r="I57" s="13" t="str">
        <x:v>0205000000</x:v>
      </x:c>
      <x:c r="J57" s="13" t="str">
        <x:v>0205000100</x:v>
      </x:c>
      <x:c r="K57" s="13" t="str">
        <x:v>0205000000</x:v>
      </x:c>
      <x:c r="L57" s="13" t="str">
        <x:v>UNRESOLVED</x:v>
      </x:c>
      <x:c r="M57" s="13" t="str"/>
      <x:c r="N57" s="13" t="str">
        <x:v>NO / DEFAULT</x:v>
      </x:c>
      <x:c r="O57" s="13" t="str"/>
      <x:c r="P57" s="13" t="str">
        <x:v>NO / DEFAULT</x:v>
      </x:c>
      <x:c r="Q57" s="13" t="str"/>
      <x:c r="R57" s="13" t="str">
        <x:v>INDEPENDENT / DEFAULT</x:v>
      </x:c>
      <x:c r="S57" s="13" t="str"/>
      <x:c r="T57" s="13" t="str">
        <x:v>UNRESOLVED</x:v>
      </x:c>
      <x:c r="U57" s="13" t="str"/>
      <x:c r="V57" s="13" t="str"/>
      <x:c r="W57" s="13" t="str"/>
      <x:c r="X57" s="13" t="str">
        <x:f>IF(L57&lt;&gt;"COVERED","HELD — COVERAGE",IF(N57="YES — SENSITIVE","C ACTIONABLE","CHAPTER 5 DEFAULT"))</x:f>
        <x:v>HELD — COVERAGE</x:v>
      </x:c>
      <x:c r="Y57" s="13" t="str">
        <x:f>IF(L57&lt;&gt;"COVERED","HELD — COVERAGE",IF(P57="YES — MANAGED ACCESS","D ACTIONABLE","NO D FIELD"))</x:f>
        <x:v>HELD — COVERAGE</x:v>
      </x:c>
      <x:c r="Z57" s="13" t="str">
        <x:f>IF(L57&lt;&gt;"COVERED","HELD — COVERAGE",IF(OR(R57="PAIRED SYNCHRONIZED",R57="TRILATERAL SYNCHRONIZED"),"E ACTIONABLE","INDEPENDENT"))</x:f>
        <x:v>HELD — COVERAGE</x:v>
      </x:c>
      <x:c r="AA57" s="13" t="str">
        <x:f>IF(L57&lt;&gt;"COVERED","HELD — COVERAGE","WAIT FOR UPSTREAM COMPLETION")</x:f>
        <x:v>HELD — COVERAGE</x:v>
      </x:c>
      <x:c r="AB57" s="13" t="str">
        <x:f>IF(L57&lt;&gt;"COVERED","HELD — COVERAGE",IF(T57="UNRESOLVED","G DECISION REQUIRED",IF(T57="NOT APPLICABLE","G N/A","G ACTIONABLE")))</x:f>
        <x:v>HELD — COVERAGE</x:v>
      </x:c>
      <x:c r="AC57" s="13" t="str">
        <x:f>IF(L57="UNRESOLVED","COVERAGE FIRST",IF(OR(L57="EXCLUDED",L57="OUT OF SCOPE"),"CLOSED BY COVERAGE",IF(AND(L57="COVERED",T57&lt;&gt;"UNRESOLVED"),"PARTIALLY ADOPTED","DECISIONS REMAIN")))</x:f>
        <x:v>COVERAGE FIRST</x:v>
      </x:c>
    </x:row>
    <x:row r="58">
      <x:c r="A58" s="13" t="str">
        <x:v>NAAFTC-HS6-020610</x:v>
      </x:c>
      <x:c r="B58" s="13" t="str">
        <x:v>020610</x:v>
      </x:c>
      <x:c r="C58" s="13" t="str">
        <x:v>02</x:v>
      </x:c>
      <x:c r="D58" s="13" t="str">
        <x:v>TRILATERAL_1_TO_1_TO_1</x:v>
      </x:c>
      <x:c r="E58" s="13" t="str">
        <x:v>Pending</x:v>
      </x:c>
      <x:c r="F58" s="13" t="n">
        <x:v>1</x:v>
      </x:c>
      <x:c r="G58" s="13" t="n">
        <x:v>1</x:v>
      </x:c>
      <x:c r="H58" s="13" t="n">
        <x:v>1</x:v>
      </x:c>
      <x:c r="I58" s="13" t="str">
        <x:v>0206100000</x:v>
      </x:c>
      <x:c r="J58" s="13" t="str">
        <x:v>0206100100</x:v>
      </x:c>
      <x:c r="K58" s="13" t="str">
        <x:v>0206100000</x:v>
      </x:c>
      <x:c r="L58" s="13" t="str">
        <x:v>UNRESOLVED</x:v>
      </x:c>
      <x:c r="M58" s="13" t="str"/>
      <x:c r="N58" s="13" t="str">
        <x:v>NO / DEFAULT</x:v>
      </x:c>
      <x:c r="O58" s="13" t="str"/>
      <x:c r="P58" s="13" t="str">
        <x:v>NO / DEFAULT</x:v>
      </x:c>
      <x:c r="Q58" s="13" t="str"/>
      <x:c r="R58" s="13" t="str">
        <x:v>INDEPENDENT / DEFAULT</x:v>
      </x:c>
      <x:c r="S58" s="13" t="str"/>
      <x:c r="T58" s="13" t="str">
        <x:v>UNRESOLVED</x:v>
      </x:c>
      <x:c r="U58" s="13" t="str"/>
      <x:c r="V58" s="13" t="str"/>
      <x:c r="W58" s="13" t="str"/>
      <x:c r="X58" s="13" t="str">
        <x:f>IF(L58&lt;&gt;"COVERED","HELD — COVERAGE",IF(N58="YES — SENSITIVE","C ACTIONABLE","CHAPTER 5 DEFAULT"))</x:f>
        <x:v>HELD — COVERAGE</x:v>
      </x:c>
      <x:c r="Y58" s="13" t="str">
        <x:f>IF(L58&lt;&gt;"COVERED","HELD — COVERAGE",IF(P58="YES — MANAGED ACCESS","D ACTIONABLE","NO D FIELD"))</x:f>
        <x:v>HELD — COVERAGE</x:v>
      </x:c>
      <x:c r="Z58" s="13" t="str">
        <x:f>IF(L58&lt;&gt;"COVERED","HELD — COVERAGE",IF(OR(R58="PAIRED SYNCHRONIZED",R58="TRILATERAL SYNCHRONIZED"),"E ACTIONABLE","INDEPENDENT"))</x:f>
        <x:v>HELD — COVERAGE</x:v>
      </x:c>
      <x:c r="AA58" s="13" t="str">
        <x:f>IF(L58&lt;&gt;"COVERED","HELD — COVERAGE","WAIT FOR UPSTREAM COMPLETION")</x:f>
        <x:v>HELD — COVERAGE</x:v>
      </x:c>
      <x:c r="AB58" s="13" t="str">
        <x:f>IF(L58&lt;&gt;"COVERED","HELD — COVERAGE",IF(T58="UNRESOLVED","G DECISION REQUIRED",IF(T58="NOT APPLICABLE","G N/A","G ACTIONABLE")))</x:f>
        <x:v>HELD — COVERAGE</x:v>
      </x:c>
      <x:c r="AC58" s="13" t="str">
        <x:f>IF(L58="UNRESOLVED","COVERAGE FIRST",IF(OR(L58="EXCLUDED",L58="OUT OF SCOPE"),"CLOSED BY COVERAGE",IF(AND(L58="COVERED",T58&lt;&gt;"UNRESOLVED"),"PARTIALLY ADOPTED","DECISIONS REMAIN")))</x:f>
        <x:v>COVERAGE FIRST</x:v>
      </x:c>
    </x:row>
    <x:row r="59">
      <x:c r="A59" s="13" t="str">
        <x:v>NAAFTC-HS6-020621</x:v>
      </x:c>
      <x:c r="B59" s="13" t="str">
        <x:v>020621</x:v>
      </x:c>
      <x:c r="C59" s="13" t="str">
        <x:v>02</x:v>
      </x:c>
      <x:c r="D59" s="13" t="str">
        <x:v>TRILATERAL_1_TO_1_TO_1</x:v>
      </x:c>
      <x:c r="E59" s="13" t="str">
        <x:v>Pending</x:v>
      </x:c>
      <x:c r="F59" s="13" t="n">
        <x:v>1</x:v>
      </x:c>
      <x:c r="G59" s="13" t="n">
        <x:v>1</x:v>
      </x:c>
      <x:c r="H59" s="13" t="n">
        <x:v>1</x:v>
      </x:c>
      <x:c r="I59" s="13" t="str">
        <x:v>0206210000</x:v>
      </x:c>
      <x:c r="J59" s="13" t="str">
        <x:v>0206210100</x:v>
      </x:c>
      <x:c r="K59" s="13" t="str">
        <x:v>0206210000</x:v>
      </x:c>
      <x:c r="L59" s="13" t="str">
        <x:v>UNRESOLVED</x:v>
      </x:c>
      <x:c r="M59" s="13" t="str"/>
      <x:c r="N59" s="13" t="str">
        <x:v>NO / DEFAULT</x:v>
      </x:c>
      <x:c r="O59" s="13" t="str"/>
      <x:c r="P59" s="13" t="str">
        <x:v>NO / DEFAULT</x:v>
      </x:c>
      <x:c r="Q59" s="13" t="str"/>
      <x:c r="R59" s="13" t="str">
        <x:v>INDEPENDENT / DEFAULT</x:v>
      </x:c>
      <x:c r="S59" s="13" t="str"/>
      <x:c r="T59" s="13" t="str">
        <x:v>UNRESOLVED</x:v>
      </x:c>
      <x:c r="U59" s="13" t="str"/>
      <x:c r="V59" s="13" t="str"/>
      <x:c r="W59" s="13" t="str"/>
      <x:c r="X59" s="13" t="str">
        <x:f>IF(L59&lt;&gt;"COVERED","HELD — COVERAGE",IF(N59="YES — SENSITIVE","C ACTIONABLE","CHAPTER 5 DEFAULT"))</x:f>
        <x:v>HELD — COVERAGE</x:v>
      </x:c>
      <x:c r="Y59" s="13" t="str">
        <x:f>IF(L59&lt;&gt;"COVERED","HELD — COVERAGE",IF(P59="YES — MANAGED ACCESS","D ACTIONABLE","NO D FIELD"))</x:f>
        <x:v>HELD — COVERAGE</x:v>
      </x:c>
      <x:c r="Z59" s="13" t="str">
        <x:f>IF(L59&lt;&gt;"COVERED","HELD — COVERAGE",IF(OR(R59="PAIRED SYNCHRONIZED",R59="TRILATERAL SYNCHRONIZED"),"E ACTIONABLE","INDEPENDENT"))</x:f>
        <x:v>HELD — COVERAGE</x:v>
      </x:c>
      <x:c r="AA59" s="13" t="str">
        <x:f>IF(L59&lt;&gt;"COVERED","HELD — COVERAGE","WAIT FOR UPSTREAM COMPLETION")</x:f>
        <x:v>HELD — COVERAGE</x:v>
      </x:c>
      <x:c r="AB59" s="13" t="str">
        <x:f>IF(L59&lt;&gt;"COVERED","HELD — COVERAGE",IF(T59="UNRESOLVED","G DECISION REQUIRED",IF(T59="NOT APPLICABLE","G N/A","G ACTIONABLE")))</x:f>
        <x:v>HELD — COVERAGE</x:v>
      </x:c>
      <x:c r="AC59" s="13" t="str">
        <x:f>IF(L59="UNRESOLVED","COVERAGE FIRST",IF(OR(L59="EXCLUDED",L59="OUT OF SCOPE"),"CLOSED BY COVERAGE",IF(AND(L59="COVERED",T59&lt;&gt;"UNRESOLVED"),"PARTIALLY ADOPTED","DECISIONS REMAIN")))</x:f>
        <x:v>COVERAGE FIRST</x:v>
      </x:c>
    </x:row>
    <x:row r="60">
      <x:c r="A60" s="13" t="str">
        <x:v>NAAFTC-HS6-020622</x:v>
      </x:c>
      <x:c r="B60" s="13" t="str">
        <x:v>020622</x:v>
      </x:c>
      <x:c r="C60" s="13" t="str">
        <x:v>02</x:v>
      </x:c>
      <x:c r="D60" s="13" t="str">
        <x:v>TRILATERAL_1_TO_1_TO_1</x:v>
      </x:c>
      <x:c r="E60" s="13" t="str">
        <x:v>Pending</x:v>
      </x:c>
      <x:c r="F60" s="13" t="n">
        <x:v>1</x:v>
      </x:c>
      <x:c r="G60" s="13" t="n">
        <x:v>1</x:v>
      </x:c>
      <x:c r="H60" s="13" t="n">
        <x:v>1</x:v>
      </x:c>
      <x:c r="I60" s="13" t="str">
        <x:v>0206220000</x:v>
      </x:c>
      <x:c r="J60" s="13" t="str">
        <x:v>0206220100</x:v>
      </x:c>
      <x:c r="K60" s="13" t="str">
        <x:v>0206220000</x:v>
      </x:c>
      <x:c r="L60" s="13" t="str">
        <x:v>UNRESOLVED</x:v>
      </x:c>
      <x:c r="M60" s="13" t="str"/>
      <x:c r="N60" s="13" t="str">
        <x:v>NO / DEFAULT</x:v>
      </x:c>
      <x:c r="O60" s="13" t="str"/>
      <x:c r="P60" s="13" t="str">
        <x:v>NO / DEFAULT</x:v>
      </x:c>
      <x:c r="Q60" s="13" t="str"/>
      <x:c r="R60" s="13" t="str">
        <x:v>INDEPENDENT / DEFAULT</x:v>
      </x:c>
      <x:c r="S60" s="13" t="str"/>
      <x:c r="T60" s="13" t="str">
        <x:v>UNRESOLVED</x:v>
      </x:c>
      <x:c r="U60" s="13" t="str"/>
      <x:c r="V60" s="13" t="str"/>
      <x:c r="W60" s="13" t="str"/>
      <x:c r="X60" s="13" t="str">
        <x:f>IF(L60&lt;&gt;"COVERED","HELD — COVERAGE",IF(N60="YES — SENSITIVE","C ACTIONABLE","CHAPTER 5 DEFAULT"))</x:f>
        <x:v>HELD — COVERAGE</x:v>
      </x:c>
      <x:c r="Y60" s="13" t="str">
        <x:f>IF(L60&lt;&gt;"COVERED","HELD — COVERAGE",IF(P60="YES — MANAGED ACCESS","D ACTIONABLE","NO D FIELD"))</x:f>
        <x:v>HELD — COVERAGE</x:v>
      </x:c>
      <x:c r="Z60" s="13" t="str">
        <x:f>IF(L60&lt;&gt;"COVERED","HELD — COVERAGE",IF(OR(R60="PAIRED SYNCHRONIZED",R60="TRILATERAL SYNCHRONIZED"),"E ACTIONABLE","INDEPENDENT"))</x:f>
        <x:v>HELD — COVERAGE</x:v>
      </x:c>
      <x:c r="AA60" s="13" t="str">
        <x:f>IF(L60&lt;&gt;"COVERED","HELD — COVERAGE","WAIT FOR UPSTREAM COMPLETION")</x:f>
        <x:v>HELD — COVERAGE</x:v>
      </x:c>
      <x:c r="AB60" s="13" t="str">
        <x:f>IF(L60&lt;&gt;"COVERED","HELD — COVERAGE",IF(T60="UNRESOLVED","G DECISION REQUIRED",IF(T60="NOT APPLICABLE","G N/A","G ACTIONABLE")))</x:f>
        <x:v>HELD — COVERAGE</x:v>
      </x:c>
      <x:c r="AC60" s="13" t="str">
        <x:f>IF(L60="UNRESOLVED","COVERAGE FIRST",IF(OR(L60="EXCLUDED",L60="OUT OF SCOPE"),"CLOSED BY COVERAGE",IF(AND(L60="COVERED",T60&lt;&gt;"UNRESOLVED"),"PARTIALLY ADOPTED","DECISIONS REMAIN")))</x:f>
        <x:v>COVERAGE FIRST</x:v>
      </x:c>
    </x:row>
    <x:row r="61">
      <x:c r="A61" s="13" t="str">
        <x:v>NAAFTC-HS6-020629</x:v>
      </x:c>
      <x:c r="B61" s="13" t="str">
        <x:v>020629</x:v>
      </x:c>
      <x:c r="C61" s="13" t="str">
        <x:v>02</x:v>
      </x:c>
      <x:c r="D61" s="13" t="str">
        <x:v>TRILATERAL_1_TO_1_TO_1</x:v>
      </x:c>
      <x:c r="E61" s="13" t="str">
        <x:v>Pending</x:v>
      </x:c>
      <x:c r="F61" s="13" t="n">
        <x:v>1</x:v>
      </x:c>
      <x:c r="G61" s="13" t="n">
        <x:v>1</x:v>
      </x:c>
      <x:c r="H61" s="13" t="n">
        <x:v>1</x:v>
      </x:c>
      <x:c r="I61" s="13" t="str">
        <x:v>0206290000</x:v>
      </x:c>
      <x:c r="J61" s="13" t="str">
        <x:v>0206299900</x:v>
      </x:c>
      <x:c r="K61" s="13" t="str">
        <x:v>0206290000</x:v>
      </x:c>
      <x:c r="L61" s="13" t="str">
        <x:v>UNRESOLVED</x:v>
      </x:c>
      <x:c r="M61" s="13" t="str"/>
      <x:c r="N61" s="13" t="str">
        <x:v>NO / DEFAULT</x:v>
      </x:c>
      <x:c r="O61" s="13" t="str"/>
      <x:c r="P61" s="13" t="str">
        <x:v>NO / DEFAULT</x:v>
      </x:c>
      <x:c r="Q61" s="13" t="str"/>
      <x:c r="R61" s="13" t="str">
        <x:v>INDEPENDENT / DEFAULT</x:v>
      </x:c>
      <x:c r="S61" s="13" t="str"/>
      <x:c r="T61" s="13" t="str">
        <x:v>UNRESOLVED</x:v>
      </x:c>
      <x:c r="U61" s="13" t="str"/>
      <x:c r="V61" s="13" t="str"/>
      <x:c r="W61" s="13" t="str"/>
      <x:c r="X61" s="13" t="str">
        <x:f>IF(L61&lt;&gt;"COVERED","HELD — COVERAGE",IF(N61="YES — SENSITIVE","C ACTIONABLE","CHAPTER 5 DEFAULT"))</x:f>
        <x:v>HELD — COVERAGE</x:v>
      </x:c>
      <x:c r="Y61" s="13" t="str">
        <x:f>IF(L61&lt;&gt;"COVERED","HELD — COVERAGE",IF(P61="YES — MANAGED ACCESS","D ACTIONABLE","NO D FIELD"))</x:f>
        <x:v>HELD — COVERAGE</x:v>
      </x:c>
      <x:c r="Z61" s="13" t="str">
        <x:f>IF(L61&lt;&gt;"COVERED","HELD — COVERAGE",IF(OR(R61="PAIRED SYNCHRONIZED",R61="TRILATERAL SYNCHRONIZED"),"E ACTIONABLE","INDEPENDENT"))</x:f>
        <x:v>HELD — COVERAGE</x:v>
      </x:c>
      <x:c r="AA61" s="13" t="str">
        <x:f>IF(L61&lt;&gt;"COVERED","HELD — COVERAGE","WAIT FOR UPSTREAM COMPLETION")</x:f>
        <x:v>HELD — COVERAGE</x:v>
      </x:c>
      <x:c r="AB61" s="13" t="str">
        <x:f>IF(L61&lt;&gt;"COVERED","HELD — COVERAGE",IF(T61="UNRESOLVED","G DECISION REQUIRED",IF(T61="NOT APPLICABLE","G N/A","G ACTIONABLE")))</x:f>
        <x:v>HELD — COVERAGE</x:v>
      </x:c>
      <x:c r="AC61" s="13" t="str">
        <x:f>IF(L61="UNRESOLVED","COVERAGE FIRST",IF(OR(L61="EXCLUDED",L61="OUT OF SCOPE"),"CLOSED BY COVERAGE",IF(AND(L61="COVERED",T61&lt;&gt;"UNRESOLVED"),"PARTIALLY ADOPTED","DECISIONS REMAIN")))</x:f>
        <x:v>COVERAGE FIRST</x:v>
      </x:c>
    </x:row>
    <x:row r="62">
      <x:c r="A62" s="13" t="str">
        <x:v>NAAFTC-HS6-020630</x:v>
      </x:c>
      <x:c r="B62" s="13" t="str">
        <x:v>020630</x:v>
      </x:c>
      <x:c r="C62" s="13" t="str">
        <x:v>02</x:v>
      </x:c>
      <x:c r="D62" s="13" t="str">
        <x:v>TRILATERAL_SPLIT_MERGE</x:v>
      </x:c>
      <x:c r="E62" s="13" t="str">
        <x:v>Pending</x:v>
      </x:c>
      <x:c r="F62" s="13" t="n">
        <x:v>1</x:v>
      </x:c>
      <x:c r="G62" s="13" t="n">
        <x:v>2</x:v>
      </x:c>
      <x:c r="H62" s="13" t="n">
        <x:v>1</x:v>
      </x:c>
      <x:c r="I62" s="13" t="str">
        <x:v>0206300000</x:v>
      </x:c>
      <x:c r="J62" s="13" t="str">
        <x:v>0206300100; 0206309900</x:v>
      </x:c>
      <x:c r="K62" s="13" t="str">
        <x:v>0206300000</x:v>
      </x:c>
      <x:c r="L62" s="13" t="str">
        <x:v>UNRESOLVED</x:v>
      </x:c>
      <x:c r="M62" s="13" t="str"/>
      <x:c r="N62" s="13" t="str">
        <x:v>NO / DEFAULT</x:v>
      </x:c>
      <x:c r="O62" s="13" t="str"/>
      <x:c r="P62" s="13" t="str">
        <x:v>NO / DEFAULT</x:v>
      </x:c>
      <x:c r="Q62" s="13" t="str"/>
      <x:c r="R62" s="13" t="str">
        <x:v>INDEPENDENT / DEFAULT</x:v>
      </x:c>
      <x:c r="S62" s="13" t="str"/>
      <x:c r="T62" s="13" t="str">
        <x:v>UNRESOLVED</x:v>
      </x:c>
      <x:c r="U62" s="13" t="str"/>
      <x:c r="V62" s="13" t="str"/>
      <x:c r="W62" s="13" t="str"/>
      <x:c r="X62" s="13" t="str">
        <x:f>IF(L62&lt;&gt;"COVERED","HELD — COVERAGE",IF(N62="YES — SENSITIVE","C ACTIONABLE","CHAPTER 5 DEFAULT"))</x:f>
        <x:v>HELD — COVERAGE</x:v>
      </x:c>
      <x:c r="Y62" s="13" t="str">
        <x:f>IF(L62&lt;&gt;"COVERED","HELD — COVERAGE",IF(P62="YES — MANAGED ACCESS","D ACTIONABLE","NO D FIELD"))</x:f>
        <x:v>HELD — COVERAGE</x:v>
      </x:c>
      <x:c r="Z62" s="13" t="str">
        <x:f>IF(L62&lt;&gt;"COVERED","HELD — COVERAGE",IF(OR(R62="PAIRED SYNCHRONIZED",R62="TRILATERAL SYNCHRONIZED"),"E ACTIONABLE","INDEPENDENT"))</x:f>
        <x:v>HELD — COVERAGE</x:v>
      </x:c>
      <x:c r="AA62" s="13" t="str">
        <x:f>IF(L62&lt;&gt;"COVERED","HELD — COVERAGE","WAIT FOR UPSTREAM COMPLETION")</x:f>
        <x:v>HELD — COVERAGE</x:v>
      </x:c>
      <x:c r="AB62" s="13" t="str">
        <x:f>IF(L62&lt;&gt;"COVERED","HELD — COVERAGE",IF(T62="UNRESOLVED","G DECISION REQUIRED",IF(T62="NOT APPLICABLE","G N/A","G ACTIONABLE")))</x:f>
        <x:v>HELD — COVERAGE</x:v>
      </x:c>
      <x:c r="AC62" s="13" t="str">
        <x:f>IF(L62="UNRESOLVED","COVERAGE FIRST",IF(OR(L62="EXCLUDED",L62="OUT OF SCOPE"),"CLOSED BY COVERAGE",IF(AND(L62="COVERED",T62&lt;&gt;"UNRESOLVED"),"PARTIALLY ADOPTED","DECISIONS REMAIN")))</x:f>
        <x:v>COVERAGE FIRST</x:v>
      </x:c>
    </x:row>
    <x:row r="63">
      <x:c r="A63" s="13" t="str">
        <x:v>NAAFTC-HS6-020641</x:v>
      </x:c>
      <x:c r="B63" s="13" t="str">
        <x:v>020641</x:v>
      </x:c>
      <x:c r="C63" s="13" t="str">
        <x:v>02</x:v>
      </x:c>
      <x:c r="D63" s="13" t="str">
        <x:v>TRILATERAL_1_TO_1_TO_1</x:v>
      </x:c>
      <x:c r="E63" s="13" t="str">
        <x:v>Pending</x:v>
      </x:c>
      <x:c r="F63" s="13" t="n">
        <x:v>1</x:v>
      </x:c>
      <x:c r="G63" s="13" t="n">
        <x:v>1</x:v>
      </x:c>
      <x:c r="H63" s="13" t="n">
        <x:v>1</x:v>
      </x:c>
      <x:c r="I63" s="13" t="str">
        <x:v>0206410000</x:v>
      </x:c>
      <x:c r="J63" s="13" t="str">
        <x:v>0206410100</x:v>
      </x:c>
      <x:c r="K63" s="13" t="str">
        <x:v>0206410000</x:v>
      </x:c>
      <x:c r="L63" s="13" t="str">
        <x:v>UNRESOLVED</x:v>
      </x:c>
      <x:c r="M63" s="13" t="str"/>
      <x:c r="N63" s="13" t="str">
        <x:v>NO / DEFAULT</x:v>
      </x:c>
      <x:c r="O63" s="13" t="str"/>
      <x:c r="P63" s="13" t="str">
        <x:v>NO / DEFAULT</x:v>
      </x:c>
      <x:c r="Q63" s="13" t="str"/>
      <x:c r="R63" s="13" t="str">
        <x:v>INDEPENDENT / DEFAULT</x:v>
      </x:c>
      <x:c r="S63" s="13" t="str"/>
      <x:c r="T63" s="13" t="str">
        <x:v>UNRESOLVED</x:v>
      </x:c>
      <x:c r="U63" s="13" t="str"/>
      <x:c r="V63" s="13" t="str"/>
      <x:c r="W63" s="13" t="str"/>
      <x:c r="X63" s="13" t="str">
        <x:f>IF(L63&lt;&gt;"COVERED","HELD — COVERAGE",IF(N63="YES — SENSITIVE","C ACTIONABLE","CHAPTER 5 DEFAULT"))</x:f>
        <x:v>HELD — COVERAGE</x:v>
      </x:c>
      <x:c r="Y63" s="13" t="str">
        <x:f>IF(L63&lt;&gt;"COVERED","HELD — COVERAGE",IF(P63="YES — MANAGED ACCESS","D ACTIONABLE","NO D FIELD"))</x:f>
        <x:v>HELD — COVERAGE</x:v>
      </x:c>
      <x:c r="Z63" s="13" t="str">
        <x:f>IF(L63&lt;&gt;"COVERED","HELD — COVERAGE",IF(OR(R63="PAIRED SYNCHRONIZED",R63="TRILATERAL SYNCHRONIZED"),"E ACTIONABLE","INDEPENDENT"))</x:f>
        <x:v>HELD — COVERAGE</x:v>
      </x:c>
      <x:c r="AA63" s="13" t="str">
        <x:f>IF(L63&lt;&gt;"COVERED","HELD — COVERAGE","WAIT FOR UPSTREAM COMPLETION")</x:f>
        <x:v>HELD — COVERAGE</x:v>
      </x:c>
      <x:c r="AB63" s="13" t="str">
        <x:f>IF(L63&lt;&gt;"COVERED","HELD — COVERAGE",IF(T63="UNRESOLVED","G DECISION REQUIRED",IF(T63="NOT APPLICABLE","G N/A","G ACTIONABLE")))</x:f>
        <x:v>HELD — COVERAGE</x:v>
      </x:c>
      <x:c r="AC63" s="13" t="str">
        <x:f>IF(L63="UNRESOLVED","COVERAGE FIRST",IF(OR(L63="EXCLUDED",L63="OUT OF SCOPE"),"CLOSED BY COVERAGE",IF(AND(L63="COVERED",T63&lt;&gt;"UNRESOLVED"),"PARTIALLY ADOPTED","DECISIONS REMAIN")))</x:f>
        <x:v>COVERAGE FIRST</x:v>
      </x:c>
    </x:row>
    <x:row r="64">
      <x:c r="A64" s="13" t="str">
        <x:v>NAAFTC-HS6-020649</x:v>
      </x:c>
      <x:c r="B64" s="13" t="str">
        <x:v>020649</x:v>
      </x:c>
      <x:c r="C64" s="13" t="str">
        <x:v>02</x:v>
      </x:c>
      <x:c r="D64" s="13" t="str">
        <x:v>TRILATERAL_SPLIT_MERGE</x:v>
      </x:c>
      <x:c r="E64" s="13" t="str">
        <x:v>Pending</x:v>
      </x:c>
      <x:c r="F64" s="13" t="n">
        <x:v>1</x:v>
      </x:c>
      <x:c r="G64" s="13" t="n">
        <x:v>2</x:v>
      </x:c>
      <x:c r="H64" s="13" t="n">
        <x:v>1</x:v>
      </x:c>
      <x:c r="I64" s="13" t="str">
        <x:v>0206490000</x:v>
      </x:c>
      <x:c r="J64" s="13" t="str">
        <x:v>0206490100; 0206499900</x:v>
      </x:c>
      <x:c r="K64" s="13" t="str">
        <x:v>0206490000</x:v>
      </x:c>
      <x:c r="L64" s="13" t="str">
        <x:v>UNRESOLVED</x:v>
      </x:c>
      <x:c r="M64" s="13" t="str"/>
      <x:c r="N64" s="13" t="str">
        <x:v>NO / DEFAULT</x:v>
      </x:c>
      <x:c r="O64" s="13" t="str"/>
      <x:c r="P64" s="13" t="str">
        <x:v>NO / DEFAULT</x:v>
      </x:c>
      <x:c r="Q64" s="13" t="str"/>
      <x:c r="R64" s="13" t="str">
        <x:v>INDEPENDENT / DEFAULT</x:v>
      </x:c>
      <x:c r="S64" s="13" t="str"/>
      <x:c r="T64" s="13" t="str">
        <x:v>UNRESOLVED</x:v>
      </x:c>
      <x:c r="U64" s="13" t="str"/>
      <x:c r="V64" s="13" t="str"/>
      <x:c r="W64" s="13" t="str"/>
      <x:c r="X64" s="13" t="str">
        <x:f>IF(L64&lt;&gt;"COVERED","HELD — COVERAGE",IF(N64="YES — SENSITIVE","C ACTIONABLE","CHAPTER 5 DEFAULT"))</x:f>
        <x:v>HELD — COVERAGE</x:v>
      </x:c>
      <x:c r="Y64" s="13" t="str">
        <x:f>IF(L64&lt;&gt;"COVERED","HELD — COVERAGE",IF(P64="YES — MANAGED ACCESS","D ACTIONABLE","NO D FIELD"))</x:f>
        <x:v>HELD — COVERAGE</x:v>
      </x:c>
      <x:c r="Z64" s="13" t="str">
        <x:f>IF(L64&lt;&gt;"COVERED","HELD — COVERAGE",IF(OR(R64="PAIRED SYNCHRONIZED",R64="TRILATERAL SYNCHRONIZED"),"E ACTIONABLE","INDEPENDENT"))</x:f>
        <x:v>HELD — COVERAGE</x:v>
      </x:c>
      <x:c r="AA64" s="13" t="str">
        <x:f>IF(L64&lt;&gt;"COVERED","HELD — COVERAGE","WAIT FOR UPSTREAM COMPLETION")</x:f>
        <x:v>HELD — COVERAGE</x:v>
      </x:c>
      <x:c r="AB64" s="13" t="str">
        <x:f>IF(L64&lt;&gt;"COVERED","HELD — COVERAGE",IF(T64="UNRESOLVED","G DECISION REQUIRED",IF(T64="NOT APPLICABLE","G N/A","G ACTIONABLE")))</x:f>
        <x:v>HELD — COVERAGE</x:v>
      </x:c>
      <x:c r="AC64" s="13" t="str">
        <x:f>IF(L64="UNRESOLVED","COVERAGE FIRST",IF(OR(L64="EXCLUDED",L64="OUT OF SCOPE"),"CLOSED BY COVERAGE",IF(AND(L64="COVERED",T64&lt;&gt;"UNRESOLVED"),"PARTIALLY ADOPTED","DECISIONS REMAIN")))</x:f>
        <x:v>COVERAGE FIRST</x:v>
      </x:c>
    </x:row>
    <x:row r="65">
      <x:c r="A65" s="13" t="str">
        <x:v>NAAFTC-HS6-020680</x:v>
      </x:c>
      <x:c r="B65" s="13" t="str">
        <x:v>020680</x:v>
      </x:c>
      <x:c r="C65" s="13" t="str">
        <x:v>02</x:v>
      </x:c>
      <x:c r="D65" s="13" t="str">
        <x:v>TRILATERAL_1_TO_1_TO_1</x:v>
      </x:c>
      <x:c r="E65" s="13" t="str">
        <x:v>Pending</x:v>
      </x:c>
      <x:c r="F65" s="13" t="n">
        <x:v>1</x:v>
      </x:c>
      <x:c r="G65" s="13" t="n">
        <x:v>1</x:v>
      </x:c>
      <x:c r="H65" s="13" t="n">
        <x:v>1</x:v>
      </x:c>
      <x:c r="I65" s="13" t="str">
        <x:v>0206800000</x:v>
      </x:c>
      <x:c r="J65" s="13" t="str">
        <x:v>0206809100</x:v>
      </x:c>
      <x:c r="K65" s="13" t="str">
        <x:v>0206800000</x:v>
      </x:c>
      <x:c r="L65" s="13" t="str">
        <x:v>UNRESOLVED</x:v>
      </x:c>
      <x:c r="M65" s="13" t="str"/>
      <x:c r="N65" s="13" t="str">
        <x:v>NO / DEFAULT</x:v>
      </x:c>
      <x:c r="O65" s="13" t="str"/>
      <x:c r="P65" s="13" t="str">
        <x:v>NO / DEFAULT</x:v>
      </x:c>
      <x:c r="Q65" s="13" t="str"/>
      <x:c r="R65" s="13" t="str">
        <x:v>INDEPENDENT / DEFAULT</x:v>
      </x:c>
      <x:c r="S65" s="13" t="str"/>
      <x:c r="T65" s="13" t="str">
        <x:v>UNRESOLVED</x:v>
      </x:c>
      <x:c r="U65" s="13" t="str"/>
      <x:c r="V65" s="13" t="str"/>
      <x:c r="W65" s="13" t="str"/>
      <x:c r="X65" s="13" t="str">
        <x:f>IF(L65&lt;&gt;"COVERED","HELD — COVERAGE",IF(N65="YES — SENSITIVE","C ACTIONABLE","CHAPTER 5 DEFAULT"))</x:f>
        <x:v>HELD — COVERAGE</x:v>
      </x:c>
      <x:c r="Y65" s="13" t="str">
        <x:f>IF(L65&lt;&gt;"COVERED","HELD — COVERAGE",IF(P65="YES — MANAGED ACCESS","D ACTIONABLE","NO D FIELD"))</x:f>
        <x:v>HELD — COVERAGE</x:v>
      </x:c>
      <x:c r="Z65" s="13" t="str">
        <x:f>IF(L65&lt;&gt;"COVERED","HELD — COVERAGE",IF(OR(R65="PAIRED SYNCHRONIZED",R65="TRILATERAL SYNCHRONIZED"),"E ACTIONABLE","INDEPENDENT"))</x:f>
        <x:v>HELD — COVERAGE</x:v>
      </x:c>
      <x:c r="AA65" s="13" t="str">
        <x:f>IF(L65&lt;&gt;"COVERED","HELD — COVERAGE","WAIT FOR UPSTREAM COMPLETION")</x:f>
        <x:v>HELD — COVERAGE</x:v>
      </x:c>
      <x:c r="AB65" s="13" t="str">
        <x:f>IF(L65&lt;&gt;"COVERED","HELD — COVERAGE",IF(T65="UNRESOLVED","G DECISION REQUIRED",IF(T65="NOT APPLICABLE","G N/A","G ACTIONABLE")))</x:f>
        <x:v>HELD — COVERAGE</x:v>
      </x:c>
      <x:c r="AC65" s="13" t="str">
        <x:f>IF(L65="UNRESOLVED","COVERAGE FIRST",IF(OR(L65="EXCLUDED",L65="OUT OF SCOPE"),"CLOSED BY COVERAGE",IF(AND(L65="COVERED",T65&lt;&gt;"UNRESOLVED"),"PARTIALLY ADOPTED","DECISIONS REMAIN")))</x:f>
        <x:v>COVERAGE FIRST</x:v>
      </x:c>
    </x:row>
    <x:row r="66">
      <x:c r="A66" s="13" t="str">
        <x:v>NAAFTC-HS6-020690</x:v>
      </x:c>
      <x:c r="B66" s="13" t="str">
        <x:v>020690</x:v>
      </x:c>
      <x:c r="C66" s="13" t="str">
        <x:v>02</x:v>
      </x:c>
      <x:c r="D66" s="13" t="str">
        <x:v>TRILATERAL_SPLIT_MERGE</x:v>
      </x:c>
      <x:c r="E66" s="13" t="str">
        <x:v>Pending</x:v>
      </x:c>
      <x:c r="F66" s="13" t="n">
        <x:v>2</x:v>
      </x:c>
      <x:c r="G66" s="13" t="n">
        <x:v>1</x:v>
      </x:c>
      <x:c r="H66" s="13" t="n">
        <x:v>1</x:v>
      </x:c>
      <x:c r="I66" s="13" t="str">
        <x:v>0206900020; 0206900040</x:v>
      </x:c>
      <x:c r="J66" s="13" t="str">
        <x:v>0206909100</x:v>
      </x:c>
      <x:c r="K66" s="13" t="str">
        <x:v>0206900000</x:v>
      </x:c>
      <x:c r="L66" s="13" t="str">
        <x:v>UNRESOLVED</x:v>
      </x:c>
      <x:c r="M66" s="13" t="str"/>
      <x:c r="N66" s="13" t="str">
        <x:v>NO / DEFAULT</x:v>
      </x:c>
      <x:c r="O66" s="13" t="str"/>
      <x:c r="P66" s="13" t="str">
        <x:v>NO / DEFAULT</x:v>
      </x:c>
      <x:c r="Q66" s="13" t="str"/>
      <x:c r="R66" s="13" t="str">
        <x:v>INDEPENDENT / DEFAULT</x:v>
      </x:c>
      <x:c r="S66" s="13" t="str"/>
      <x:c r="T66" s="13" t="str">
        <x:v>UNRESOLVED</x:v>
      </x:c>
      <x:c r="U66" s="13" t="str"/>
      <x:c r="V66" s="13" t="str"/>
      <x:c r="W66" s="13" t="str"/>
      <x:c r="X66" s="13" t="str">
        <x:f>IF(L66&lt;&gt;"COVERED","HELD — COVERAGE",IF(N66="YES — SENSITIVE","C ACTIONABLE","CHAPTER 5 DEFAULT"))</x:f>
        <x:v>HELD — COVERAGE</x:v>
      </x:c>
      <x:c r="Y66" s="13" t="str">
        <x:f>IF(L66&lt;&gt;"COVERED","HELD — COVERAGE",IF(P66="YES — MANAGED ACCESS","D ACTIONABLE","NO D FIELD"))</x:f>
        <x:v>HELD — COVERAGE</x:v>
      </x:c>
      <x:c r="Z66" s="13" t="str">
        <x:f>IF(L66&lt;&gt;"COVERED","HELD — COVERAGE",IF(OR(R66="PAIRED SYNCHRONIZED",R66="TRILATERAL SYNCHRONIZED"),"E ACTIONABLE","INDEPENDENT"))</x:f>
        <x:v>HELD — COVERAGE</x:v>
      </x:c>
      <x:c r="AA66" s="13" t="str">
        <x:f>IF(L66&lt;&gt;"COVERED","HELD — COVERAGE","WAIT FOR UPSTREAM COMPLETION")</x:f>
        <x:v>HELD — COVERAGE</x:v>
      </x:c>
      <x:c r="AB66" s="13" t="str">
        <x:f>IF(L66&lt;&gt;"COVERED","HELD — COVERAGE",IF(T66="UNRESOLVED","G DECISION REQUIRED",IF(T66="NOT APPLICABLE","G N/A","G ACTIONABLE")))</x:f>
        <x:v>HELD — COVERAGE</x:v>
      </x:c>
      <x:c r="AC66" s="13" t="str">
        <x:f>IF(L66="UNRESOLVED","COVERAGE FIRST",IF(OR(L66="EXCLUDED",L66="OUT OF SCOPE"),"CLOSED BY COVERAGE",IF(AND(L66="COVERED",T66&lt;&gt;"UNRESOLVED"),"PARTIALLY ADOPTED","DECISIONS REMAIN")))</x:f>
        <x:v>COVERAGE FIRST</x:v>
      </x:c>
    </x:row>
    <x:row r="67">
      <x:c r="A67" s="13" t="str">
        <x:v>NAAFTC-HS6-020711</x:v>
      </x:c>
      <x:c r="B67" s="13" t="str">
        <x:v>020711</x:v>
      </x:c>
      <x:c r="C67" s="13" t="str">
        <x:v>02</x:v>
      </x:c>
      <x:c r="D67" s="13" t="str">
        <x:v>TRILATERAL_SPLIT_MERGE</x:v>
      </x:c>
      <x:c r="E67" s="13" t="str">
        <x:v>Pending</x:v>
      </x:c>
      <x:c r="F67" s="13" t="n">
        <x:v>2</x:v>
      </x:c>
      <x:c r="G67" s="13" t="n">
        <x:v>1</x:v>
      </x:c>
      <x:c r="H67" s="13" t="n">
        <x:v>3</x:v>
      </x:c>
      <x:c r="I67" s="13" t="str">
        <x:v>0207110020; 0207110040</x:v>
      </x:c>
      <x:c r="J67" s="13" t="str">
        <x:v>0207110100</x:v>
      </x:c>
      <x:c r="K67" s="13" t="str">
        <x:v>0207111000; 0207119100; 0207119200</x:v>
      </x:c>
      <x:c r="L67" s="13" t="str">
        <x:v>UNRESOLVED</x:v>
      </x:c>
      <x:c r="M67" s="13" t="str"/>
      <x:c r="N67" s="13" t="str">
        <x:v>NO / DEFAULT</x:v>
      </x:c>
      <x:c r="O67" s="13" t="str"/>
      <x:c r="P67" s="13" t="str">
        <x:v>NO / DEFAULT</x:v>
      </x:c>
      <x:c r="Q67" s="13" t="str"/>
      <x:c r="R67" s="13" t="str">
        <x:v>INDEPENDENT / DEFAULT</x:v>
      </x:c>
      <x:c r="S67" s="13" t="str"/>
      <x:c r="T67" s="13" t="str">
        <x:v>UNRESOLVED</x:v>
      </x:c>
      <x:c r="U67" s="13" t="str"/>
      <x:c r="V67" s="13" t="str"/>
      <x:c r="W67" s="13" t="str"/>
      <x:c r="X67" s="13" t="str">
        <x:f>IF(L67&lt;&gt;"COVERED","HELD — COVERAGE",IF(N67="YES — SENSITIVE","C ACTIONABLE","CHAPTER 5 DEFAULT"))</x:f>
        <x:v>HELD — COVERAGE</x:v>
      </x:c>
      <x:c r="Y67" s="13" t="str">
        <x:f>IF(L67&lt;&gt;"COVERED","HELD — COVERAGE",IF(P67="YES — MANAGED ACCESS","D ACTIONABLE","NO D FIELD"))</x:f>
        <x:v>HELD — COVERAGE</x:v>
      </x:c>
      <x:c r="Z67" s="13" t="str">
        <x:f>IF(L67&lt;&gt;"COVERED","HELD — COVERAGE",IF(OR(R67="PAIRED SYNCHRONIZED",R67="TRILATERAL SYNCHRONIZED"),"E ACTIONABLE","INDEPENDENT"))</x:f>
        <x:v>HELD — COVERAGE</x:v>
      </x:c>
      <x:c r="AA67" s="13" t="str">
        <x:f>IF(L67&lt;&gt;"COVERED","HELD — COVERAGE","WAIT FOR UPSTREAM COMPLETION")</x:f>
        <x:v>HELD — COVERAGE</x:v>
      </x:c>
      <x:c r="AB67" s="13" t="str">
        <x:f>IF(L67&lt;&gt;"COVERED","HELD — COVERAGE",IF(T67="UNRESOLVED","G DECISION REQUIRED",IF(T67="NOT APPLICABLE","G N/A","G ACTIONABLE")))</x:f>
        <x:v>HELD — COVERAGE</x:v>
      </x:c>
      <x:c r="AC67" s="13" t="str">
        <x:f>IF(L67="UNRESOLVED","COVERAGE FIRST",IF(OR(L67="EXCLUDED",L67="OUT OF SCOPE"),"CLOSED BY COVERAGE",IF(AND(L67="COVERED",T67&lt;&gt;"UNRESOLVED"),"PARTIALLY ADOPTED","DECISIONS REMAIN")))</x:f>
        <x:v>COVERAGE FIRST</x:v>
      </x:c>
    </x:row>
    <x:row r="68">
      <x:c r="A68" s="13" t="str">
        <x:v>NAAFTC-HS6-020712</x:v>
      </x:c>
      <x:c r="B68" s="13" t="str">
        <x:v>020712</x:v>
      </x:c>
      <x:c r="C68" s="13" t="str">
        <x:v>02</x:v>
      </x:c>
      <x:c r="D68" s="13" t="str">
        <x:v>TRILATERAL_SPLIT_MERGE</x:v>
      </x:c>
      <x:c r="E68" s="13" t="str">
        <x:v>Pending</x:v>
      </x:c>
      <x:c r="F68" s="13" t="n">
        <x:v>2</x:v>
      </x:c>
      <x:c r="G68" s="13" t="n">
        <x:v>1</x:v>
      </x:c>
      <x:c r="H68" s="13" t="n">
        <x:v>3</x:v>
      </x:c>
      <x:c r="I68" s="13" t="str">
        <x:v>0207120020; 0207120040</x:v>
      </x:c>
      <x:c r="J68" s="13" t="str">
        <x:v>0207120100</x:v>
      </x:c>
      <x:c r="K68" s="13" t="str">
        <x:v>0207121000; 0207129100; 0207129200</x:v>
      </x:c>
      <x:c r="L68" s="13" t="str">
        <x:v>UNRESOLVED</x:v>
      </x:c>
      <x:c r="M68" s="13" t="str"/>
      <x:c r="N68" s="13" t="str">
        <x:v>NO / DEFAULT</x:v>
      </x:c>
      <x:c r="O68" s="13" t="str"/>
      <x:c r="P68" s="13" t="str">
        <x:v>NO / DEFAULT</x:v>
      </x:c>
      <x:c r="Q68" s="13" t="str"/>
      <x:c r="R68" s="13" t="str">
        <x:v>INDEPENDENT / DEFAULT</x:v>
      </x:c>
      <x:c r="S68" s="13" t="str"/>
      <x:c r="T68" s="13" t="str">
        <x:v>UNRESOLVED</x:v>
      </x:c>
      <x:c r="U68" s="13" t="str"/>
      <x:c r="V68" s="13" t="str"/>
      <x:c r="W68" s="13" t="str"/>
      <x:c r="X68" s="13" t="str">
        <x:f>IF(L68&lt;&gt;"COVERED","HELD — COVERAGE",IF(N68="YES — SENSITIVE","C ACTIONABLE","CHAPTER 5 DEFAULT"))</x:f>
        <x:v>HELD — COVERAGE</x:v>
      </x:c>
      <x:c r="Y68" s="13" t="str">
        <x:f>IF(L68&lt;&gt;"COVERED","HELD — COVERAGE",IF(P68="YES — MANAGED ACCESS","D ACTIONABLE","NO D FIELD"))</x:f>
        <x:v>HELD — COVERAGE</x:v>
      </x:c>
      <x:c r="Z68" s="13" t="str">
        <x:f>IF(L68&lt;&gt;"COVERED","HELD — COVERAGE",IF(OR(R68="PAIRED SYNCHRONIZED",R68="TRILATERAL SYNCHRONIZED"),"E ACTIONABLE","INDEPENDENT"))</x:f>
        <x:v>HELD — COVERAGE</x:v>
      </x:c>
      <x:c r="AA68" s="13" t="str">
        <x:f>IF(L68&lt;&gt;"COVERED","HELD — COVERAGE","WAIT FOR UPSTREAM COMPLETION")</x:f>
        <x:v>HELD — COVERAGE</x:v>
      </x:c>
      <x:c r="AB68" s="13" t="str">
        <x:f>IF(L68&lt;&gt;"COVERED","HELD — COVERAGE",IF(T68="UNRESOLVED","G DECISION REQUIRED",IF(T68="NOT APPLICABLE","G N/A","G ACTIONABLE")))</x:f>
        <x:v>HELD — COVERAGE</x:v>
      </x:c>
      <x:c r="AC68" s="13" t="str">
        <x:f>IF(L68="UNRESOLVED","COVERAGE FIRST",IF(OR(L68="EXCLUDED",L68="OUT OF SCOPE"),"CLOSED BY COVERAGE",IF(AND(L68="COVERED",T68&lt;&gt;"UNRESOLVED"),"PARTIALLY ADOPTED","DECISIONS REMAIN")))</x:f>
        <x:v>COVERAGE FIRST</x:v>
      </x:c>
    </x:row>
    <x:row r="69">
      <x:c r="A69" s="13" t="str">
        <x:v>NAAFTC-HS6-020713</x:v>
      </x:c>
      <x:c r="B69" s="13" t="str">
        <x:v>020713</x:v>
      </x:c>
      <x:c r="C69" s="13" t="str">
        <x:v>02</x:v>
      </x:c>
      <x:c r="D69" s="13" t="str">
        <x:v>TRILATERAL_SPLIT_MERGE</x:v>
      </x:c>
      <x:c r="E69" s="13" t="str">
        <x:v>Pending</x:v>
      </x:c>
      <x:c r="F69" s="13" t="n">
        <x:v>1</x:v>
      </x:c>
      <x:c r="G69" s="13" t="n">
        <x:v>7</x:v>
      </x:c>
      <x:c r="H69" s="13" t="n">
        <x:v>2</x:v>
      </x:c>
      <x:c r="I69" s="13" t="str">
        <x:v>0207130000</x:v>
      </x:c>
      <x:c r="J69" s="13" t="str">
        <x:v>0207130401; 0207130402; 0207130403; 0207130404; 0207130405; 0207130406; +1 more</x:v>
      </x:c>
      <x:c r="K69" s="13" t="str">
        <x:v>0207131000; 0207139100</x:v>
      </x:c>
      <x:c r="L69" s="13" t="str">
        <x:v>UNRESOLVED</x:v>
      </x:c>
      <x:c r="M69" s="13" t="str"/>
      <x:c r="N69" s="13" t="str">
        <x:v>NO / DEFAULT</x:v>
      </x:c>
      <x:c r="O69" s="13" t="str"/>
      <x:c r="P69" s="13" t="str">
        <x:v>NO / DEFAULT</x:v>
      </x:c>
      <x:c r="Q69" s="13" t="str"/>
      <x:c r="R69" s="13" t="str">
        <x:v>INDEPENDENT / DEFAULT</x:v>
      </x:c>
      <x:c r="S69" s="13" t="str"/>
      <x:c r="T69" s="13" t="str">
        <x:v>UNRESOLVED</x:v>
      </x:c>
      <x:c r="U69" s="13" t="str"/>
      <x:c r="V69" s="13" t="str"/>
      <x:c r="W69" s="13" t="str"/>
      <x:c r="X69" s="13" t="str">
        <x:f>IF(L69&lt;&gt;"COVERED","HELD — COVERAGE",IF(N69="YES — SENSITIVE","C ACTIONABLE","CHAPTER 5 DEFAULT"))</x:f>
        <x:v>HELD — COVERAGE</x:v>
      </x:c>
      <x:c r="Y69" s="13" t="str">
        <x:f>IF(L69&lt;&gt;"COVERED","HELD — COVERAGE",IF(P69="YES — MANAGED ACCESS","D ACTIONABLE","NO D FIELD"))</x:f>
        <x:v>HELD — COVERAGE</x:v>
      </x:c>
      <x:c r="Z69" s="13" t="str">
        <x:f>IF(L69&lt;&gt;"COVERED","HELD — COVERAGE",IF(OR(R69="PAIRED SYNCHRONIZED",R69="TRILATERAL SYNCHRONIZED"),"E ACTIONABLE","INDEPENDENT"))</x:f>
        <x:v>HELD — COVERAGE</x:v>
      </x:c>
      <x:c r="AA69" s="13" t="str">
        <x:f>IF(L69&lt;&gt;"COVERED","HELD — COVERAGE","WAIT FOR UPSTREAM COMPLETION")</x:f>
        <x:v>HELD — COVERAGE</x:v>
      </x:c>
      <x:c r="AB69" s="13" t="str">
        <x:f>IF(L69&lt;&gt;"COVERED","HELD — COVERAGE",IF(T69="UNRESOLVED","G DECISION REQUIRED",IF(T69="NOT APPLICABLE","G N/A","G ACTIONABLE")))</x:f>
        <x:v>HELD — COVERAGE</x:v>
      </x:c>
      <x:c r="AC69" s="13" t="str">
        <x:f>IF(L69="UNRESOLVED","COVERAGE FIRST",IF(OR(L69="EXCLUDED",L69="OUT OF SCOPE"),"CLOSED BY COVERAGE",IF(AND(L69="COVERED",T69&lt;&gt;"UNRESOLVED"),"PARTIALLY ADOPTED","DECISIONS REMAIN")))</x:f>
        <x:v>COVERAGE FIRST</x:v>
      </x:c>
    </x:row>
    <x:row r="70">
      <x:c r="A70" s="13" t="str">
        <x:v>NAAFTC-HS6-020714</x:v>
      </x:c>
      <x:c r="B70" s="13" t="str">
        <x:v>020714</x:v>
      </x:c>
      <x:c r="C70" s="13" t="str">
        <x:v>02</x:v>
      </x:c>
      <x:c r="D70" s="13" t="str">
        <x:v>TRILATERAL_SPLIT_MERGE</x:v>
      </x:c>
      <x:c r="E70" s="13" t="str">
        <x:v>Pending</x:v>
      </x:c>
      <x:c r="F70" s="13" t="n">
        <x:v>2</x:v>
      </x:c>
      <x:c r="G70" s="13" t="n">
        <x:v>7</x:v>
      </x:c>
      <x:c r="H70" s="13" t="n">
        <x:v>1</x:v>
      </x:c>
      <x:c r="I70" s="13" t="str">
        <x:v>0207140020; 0207140040</x:v>
      </x:c>
      <x:c r="J70" s="13" t="str">
        <x:v>0207140200; 0207149901; 0207149902; 0207149903; 0207149904; 0207149905; +1 more</x:v>
      </x:c>
      <x:c r="K70" s="13" t="str">
        <x:v>0207149300</x:v>
      </x:c>
      <x:c r="L70" s="13" t="str">
        <x:v>UNRESOLVED</x:v>
      </x:c>
      <x:c r="M70" s="13" t="str"/>
      <x:c r="N70" s="13" t="str">
        <x:v>NO / DEFAULT</x:v>
      </x:c>
      <x:c r="O70" s="13" t="str"/>
      <x:c r="P70" s="13" t="str">
        <x:v>NO / DEFAULT</x:v>
      </x:c>
      <x:c r="Q70" s="13" t="str"/>
      <x:c r="R70" s="13" t="str">
        <x:v>INDEPENDENT / DEFAULT</x:v>
      </x:c>
      <x:c r="S70" s="13" t="str"/>
      <x:c r="T70" s="13" t="str">
        <x:v>UNRESOLVED</x:v>
      </x:c>
      <x:c r="U70" s="13" t="str"/>
      <x:c r="V70" s="13" t="str"/>
      <x:c r="W70" s="13" t="str"/>
      <x:c r="X70" s="13" t="str">
        <x:f>IF(L70&lt;&gt;"COVERED","HELD — COVERAGE",IF(N70="YES — SENSITIVE","C ACTIONABLE","CHAPTER 5 DEFAULT"))</x:f>
        <x:v>HELD — COVERAGE</x:v>
      </x:c>
      <x:c r="Y70" s="13" t="str">
        <x:f>IF(L70&lt;&gt;"COVERED","HELD — COVERAGE",IF(P70="YES — MANAGED ACCESS","D ACTIONABLE","NO D FIELD"))</x:f>
        <x:v>HELD — COVERAGE</x:v>
      </x:c>
      <x:c r="Z70" s="13" t="str">
        <x:f>IF(L70&lt;&gt;"COVERED","HELD — COVERAGE",IF(OR(R70="PAIRED SYNCHRONIZED",R70="TRILATERAL SYNCHRONIZED"),"E ACTIONABLE","INDEPENDENT"))</x:f>
        <x:v>HELD — COVERAGE</x:v>
      </x:c>
      <x:c r="AA70" s="13" t="str">
        <x:f>IF(L70&lt;&gt;"COVERED","HELD — COVERAGE","WAIT FOR UPSTREAM COMPLETION")</x:f>
        <x:v>HELD — COVERAGE</x:v>
      </x:c>
      <x:c r="AB70" s="13" t="str">
        <x:f>IF(L70&lt;&gt;"COVERED","HELD — COVERAGE",IF(T70="UNRESOLVED","G DECISION REQUIRED",IF(T70="NOT APPLICABLE","G N/A","G ACTIONABLE")))</x:f>
        <x:v>HELD — COVERAGE</x:v>
      </x:c>
      <x:c r="AC70" s="13" t="str">
        <x:f>IF(L70="UNRESOLVED","COVERAGE FIRST",IF(OR(L70="EXCLUDED",L70="OUT OF SCOPE"),"CLOSED BY COVERAGE",IF(AND(L70="COVERED",T70&lt;&gt;"UNRESOLVED"),"PARTIALLY ADOPTED","DECISIONS REMAIN")))</x:f>
        <x:v>COVERAGE FIRST</x:v>
      </x:c>
    </x:row>
    <x:row r="71">
      <x:c r="A71" s="13" t="str">
        <x:v>NAAFTC-HS6-020724</x:v>
      </x:c>
      <x:c r="B71" s="13" t="str">
        <x:v>020724</x:v>
      </x:c>
      <x:c r="C71" s="13" t="str">
        <x:v>02</x:v>
      </x:c>
      <x:c r="D71" s="13" t="str">
        <x:v>TRILATERAL_SPLIT_MERGE</x:v>
      </x:c>
      <x:c r="E71" s="13" t="str">
        <x:v>Pending</x:v>
      </x:c>
      <x:c r="F71" s="13" t="n">
        <x:v>1</x:v>
      </x:c>
      <x:c r="G71" s="13" t="n">
        <x:v>1</x:v>
      </x:c>
      <x:c r="H71" s="13" t="n">
        <x:v>4</x:v>
      </x:c>
      <x:c r="I71" s="13" t="str">
        <x:v>0207240000</x:v>
      </x:c>
      <x:c r="J71" s="13" t="str">
        <x:v>0207240100</x:v>
      </x:c>
      <x:c r="K71" s="13" t="str">
        <x:v>0207241100; 0207241200; 0207249100; 0207249200</x:v>
      </x:c>
      <x:c r="L71" s="13" t="str">
        <x:v>UNRESOLVED</x:v>
      </x:c>
      <x:c r="M71" s="13" t="str"/>
      <x:c r="N71" s="13" t="str">
        <x:v>NO / DEFAULT</x:v>
      </x:c>
      <x:c r="O71" s="13" t="str"/>
      <x:c r="P71" s="13" t="str">
        <x:v>NO / DEFAULT</x:v>
      </x:c>
      <x:c r="Q71" s="13" t="str"/>
      <x:c r="R71" s="13" t="str">
        <x:v>INDEPENDENT / DEFAULT</x:v>
      </x:c>
      <x:c r="S71" s="13" t="str"/>
      <x:c r="T71" s="13" t="str">
        <x:v>UNRESOLVED</x:v>
      </x:c>
      <x:c r="U71" s="13" t="str"/>
      <x:c r="V71" s="13" t="str"/>
      <x:c r="W71" s="13" t="str"/>
      <x:c r="X71" s="13" t="str">
        <x:f>IF(L71&lt;&gt;"COVERED","HELD — COVERAGE",IF(N71="YES — SENSITIVE","C ACTIONABLE","CHAPTER 5 DEFAULT"))</x:f>
        <x:v>HELD — COVERAGE</x:v>
      </x:c>
      <x:c r="Y71" s="13" t="str">
        <x:f>IF(L71&lt;&gt;"COVERED","HELD — COVERAGE",IF(P71="YES — MANAGED ACCESS","D ACTIONABLE","NO D FIELD"))</x:f>
        <x:v>HELD — COVERAGE</x:v>
      </x:c>
      <x:c r="Z71" s="13" t="str">
        <x:f>IF(L71&lt;&gt;"COVERED","HELD — COVERAGE",IF(OR(R71="PAIRED SYNCHRONIZED",R71="TRILATERAL SYNCHRONIZED"),"E ACTIONABLE","INDEPENDENT"))</x:f>
        <x:v>HELD — COVERAGE</x:v>
      </x:c>
      <x:c r="AA71" s="13" t="str">
        <x:f>IF(L71&lt;&gt;"COVERED","HELD — COVERAGE","WAIT FOR UPSTREAM COMPLETION")</x:f>
        <x:v>HELD — COVERAGE</x:v>
      </x:c>
      <x:c r="AB71" s="13" t="str">
        <x:f>IF(L71&lt;&gt;"COVERED","HELD — COVERAGE",IF(T71="UNRESOLVED","G DECISION REQUIRED",IF(T71="NOT APPLICABLE","G N/A","G ACTIONABLE")))</x:f>
        <x:v>HELD — COVERAGE</x:v>
      </x:c>
      <x:c r="AC71" s="13" t="str">
        <x:f>IF(L71="UNRESOLVED","COVERAGE FIRST",IF(OR(L71="EXCLUDED",L71="OUT OF SCOPE"),"CLOSED BY COVERAGE",IF(AND(L71="COVERED",T71&lt;&gt;"UNRESOLVED"),"PARTIALLY ADOPTED","DECISIONS REMAIN")))</x:f>
        <x:v>COVERAGE FIRST</x:v>
      </x:c>
    </x:row>
    <x:row r="72">
      <x:c r="A72" s="13" t="str">
        <x:v>NAAFTC-HS6-020725</x:v>
      </x:c>
      <x:c r="B72" s="13" t="str">
        <x:v>020725</x:v>
      </x:c>
      <x:c r="C72" s="13" t="str">
        <x:v>02</x:v>
      </x:c>
      <x:c r="D72" s="13" t="str">
        <x:v>TRILATERAL_SPLIT_MERGE</x:v>
      </x:c>
      <x:c r="E72" s="13" t="str">
        <x:v>Pending</x:v>
      </x:c>
      <x:c r="F72" s="13" t="n">
        <x:v>2</x:v>
      </x:c>
      <x:c r="G72" s="13" t="n">
        <x:v>1</x:v>
      </x:c>
      <x:c r="H72" s="13" t="n">
        <x:v>3</x:v>
      </x:c>
      <x:c r="I72" s="13" t="str">
        <x:v>0207252000; 0207254000</x:v>
      </x:c>
      <x:c r="J72" s="13" t="str">
        <x:v>0207250100</x:v>
      </x:c>
      <x:c r="K72" s="13" t="str">
        <x:v>0207251100; 0207251200; 0207259100</x:v>
      </x:c>
      <x:c r="L72" s="13" t="str">
        <x:v>UNRESOLVED</x:v>
      </x:c>
      <x:c r="M72" s="13" t="str"/>
      <x:c r="N72" s="13" t="str">
        <x:v>NO / DEFAULT</x:v>
      </x:c>
      <x:c r="O72" s="13" t="str"/>
      <x:c r="P72" s="13" t="str">
        <x:v>NO / DEFAULT</x:v>
      </x:c>
      <x:c r="Q72" s="13" t="str"/>
      <x:c r="R72" s="13" t="str">
        <x:v>INDEPENDENT / DEFAULT</x:v>
      </x:c>
      <x:c r="S72" s="13" t="str"/>
      <x:c r="T72" s="13" t="str">
        <x:v>UNRESOLVED</x:v>
      </x:c>
      <x:c r="U72" s="13" t="str"/>
      <x:c r="V72" s="13" t="str"/>
      <x:c r="W72" s="13" t="str"/>
      <x:c r="X72" s="13" t="str">
        <x:f>IF(L72&lt;&gt;"COVERED","HELD — COVERAGE",IF(N72="YES — SENSITIVE","C ACTIONABLE","CHAPTER 5 DEFAULT"))</x:f>
        <x:v>HELD — COVERAGE</x:v>
      </x:c>
      <x:c r="Y72" s="13" t="str">
        <x:f>IF(L72&lt;&gt;"COVERED","HELD — COVERAGE",IF(P72="YES — MANAGED ACCESS","D ACTIONABLE","NO D FIELD"))</x:f>
        <x:v>HELD — COVERAGE</x:v>
      </x:c>
      <x:c r="Z72" s="13" t="str">
        <x:f>IF(L72&lt;&gt;"COVERED","HELD — COVERAGE",IF(OR(R72="PAIRED SYNCHRONIZED",R72="TRILATERAL SYNCHRONIZED"),"E ACTIONABLE","INDEPENDENT"))</x:f>
        <x:v>HELD — COVERAGE</x:v>
      </x:c>
      <x:c r="AA72" s="13" t="str">
        <x:f>IF(L72&lt;&gt;"COVERED","HELD — COVERAGE","WAIT FOR UPSTREAM COMPLETION")</x:f>
        <x:v>HELD — COVERAGE</x:v>
      </x:c>
      <x:c r="AB72" s="13" t="str">
        <x:f>IF(L72&lt;&gt;"COVERED","HELD — COVERAGE",IF(T72="UNRESOLVED","G DECISION REQUIRED",IF(T72="NOT APPLICABLE","G N/A","G ACTIONABLE")))</x:f>
        <x:v>HELD — COVERAGE</x:v>
      </x:c>
      <x:c r="AC72" s="13" t="str">
        <x:f>IF(L72="UNRESOLVED","COVERAGE FIRST",IF(OR(L72="EXCLUDED",L72="OUT OF SCOPE"),"CLOSED BY COVERAGE",IF(AND(L72="COVERED",T72&lt;&gt;"UNRESOLVED"),"PARTIALLY ADOPTED","DECISIONS REMAIN")))</x:f>
        <x:v>COVERAGE FIRST</x:v>
      </x:c>
    </x:row>
    <x:row r="73">
      <x:c r="A73" s="13" t="str">
        <x:v>NAAFTC-HS6-020726</x:v>
      </x:c>
      <x:c r="B73" s="13" t="str">
        <x:v>020726</x:v>
      </x:c>
      <x:c r="C73" s="13" t="str">
        <x:v>02</x:v>
      </x:c>
      <x:c r="D73" s="13" t="str">
        <x:v>TRILATERAL_SPLIT_MERGE</x:v>
      </x:c>
      <x:c r="E73" s="13" t="str">
        <x:v>Pending</x:v>
      </x:c>
      <x:c r="F73" s="13" t="n">
        <x:v>1</x:v>
      </x:c>
      <x:c r="G73" s="13" t="n">
        <x:v>2</x:v>
      </x:c>
      <x:c r="H73" s="13" t="n">
        <x:v>3</x:v>
      </x:c>
      <x:c r="I73" s="13" t="str">
        <x:v>0207260000</x:v>
      </x:c>
      <x:c r="J73" s="13" t="str">
        <x:v>0207260301; 0207260399</x:v>
      </x:c>
      <x:c r="K73" s="13" t="str">
        <x:v>0207261000; 0207262000; 0207263000</x:v>
      </x:c>
      <x:c r="L73" s="13" t="str">
        <x:v>UNRESOLVED</x:v>
      </x:c>
      <x:c r="M73" s="13" t="str"/>
      <x:c r="N73" s="13" t="str">
        <x:v>NO / DEFAULT</x:v>
      </x:c>
      <x:c r="O73" s="13" t="str"/>
      <x:c r="P73" s="13" t="str">
        <x:v>NO / DEFAULT</x:v>
      </x:c>
      <x:c r="Q73" s="13" t="str"/>
      <x:c r="R73" s="13" t="str">
        <x:v>INDEPENDENT / DEFAULT</x:v>
      </x:c>
      <x:c r="S73" s="13" t="str"/>
      <x:c r="T73" s="13" t="str">
        <x:v>UNRESOLVED</x:v>
      </x:c>
      <x:c r="U73" s="13" t="str"/>
      <x:c r="V73" s="13" t="str"/>
      <x:c r="W73" s="13" t="str"/>
      <x:c r="X73" s="13" t="str">
        <x:f>IF(L73&lt;&gt;"COVERED","HELD — COVERAGE",IF(N73="YES — SENSITIVE","C ACTIONABLE","CHAPTER 5 DEFAULT"))</x:f>
        <x:v>HELD — COVERAGE</x:v>
      </x:c>
      <x:c r="Y73" s="13" t="str">
        <x:f>IF(L73&lt;&gt;"COVERED","HELD — COVERAGE",IF(P73="YES — MANAGED ACCESS","D ACTIONABLE","NO D FIELD"))</x:f>
        <x:v>HELD — COVERAGE</x:v>
      </x:c>
      <x:c r="Z73" s="13" t="str">
        <x:f>IF(L73&lt;&gt;"COVERED","HELD — COVERAGE",IF(OR(R73="PAIRED SYNCHRONIZED",R73="TRILATERAL SYNCHRONIZED"),"E ACTIONABLE","INDEPENDENT"))</x:f>
        <x:v>HELD — COVERAGE</x:v>
      </x:c>
      <x:c r="AA73" s="13" t="str">
        <x:f>IF(L73&lt;&gt;"COVERED","HELD — COVERAGE","WAIT FOR UPSTREAM COMPLETION")</x:f>
        <x:v>HELD — COVERAGE</x:v>
      </x:c>
      <x:c r="AB73" s="13" t="str">
        <x:f>IF(L73&lt;&gt;"COVERED","HELD — COVERAGE",IF(T73="UNRESOLVED","G DECISION REQUIRED",IF(T73="NOT APPLICABLE","G N/A","G ACTIONABLE")))</x:f>
        <x:v>HELD — COVERAGE</x:v>
      </x:c>
      <x:c r="AC73" s="13" t="str">
        <x:f>IF(L73="UNRESOLVED","COVERAGE FIRST",IF(OR(L73="EXCLUDED",L73="OUT OF SCOPE"),"CLOSED BY COVERAGE",IF(AND(L73="COVERED",T73&lt;&gt;"UNRESOLVED"),"PARTIALLY ADOPTED","DECISIONS REMAIN")))</x:f>
        <x:v>COVERAGE FIRST</x:v>
      </x:c>
    </x:row>
    <x:row r="74">
      <x:c r="A74" s="13" t="str">
        <x:v>NAAFTC-HS6-020727</x:v>
      </x:c>
      <x:c r="B74" s="13" t="str">
        <x:v>020727</x:v>
      </x:c>
      <x:c r="C74" s="13" t="str">
        <x:v>02</x:v>
      </x:c>
      <x:c r="D74" s="13" t="str">
        <x:v>TRILATERAL_SPLIT_MERGE</x:v>
      </x:c>
      <x:c r="E74" s="13" t="str">
        <x:v>Pending</x:v>
      </x:c>
      <x:c r="F74" s="13" t="n">
        <x:v>2</x:v>
      </x:c>
      <x:c r="G74" s="13" t="n">
        <x:v>3</x:v>
      </x:c>
      <x:c r="H74" s="13" t="n">
        <x:v>5</x:v>
      </x:c>
      <x:c r="I74" s="13" t="str">
        <x:v>0207270020; 0207270040</x:v>
      </x:c>
      <x:c r="J74" s="13" t="str">
        <x:v>0207270200; 0207279901; 0207279999</x:v>
      </x:c>
      <x:c r="K74" s="13" t="str">
        <x:v>0207271100; 0207271200; 0207279100; 0207279200; 0207279300</x:v>
      </x:c>
      <x:c r="L74" s="13" t="str">
        <x:v>UNRESOLVED</x:v>
      </x:c>
      <x:c r="M74" s="13" t="str"/>
      <x:c r="N74" s="13" t="str">
        <x:v>NO / DEFAULT</x:v>
      </x:c>
      <x:c r="O74" s="13" t="str"/>
      <x:c r="P74" s="13" t="str">
        <x:v>NO / DEFAULT</x:v>
      </x:c>
      <x:c r="Q74" s="13" t="str"/>
      <x:c r="R74" s="13" t="str">
        <x:v>INDEPENDENT / DEFAULT</x:v>
      </x:c>
      <x:c r="S74" s="13" t="str"/>
      <x:c r="T74" s="13" t="str">
        <x:v>UNRESOLVED</x:v>
      </x:c>
      <x:c r="U74" s="13" t="str"/>
      <x:c r="V74" s="13" t="str"/>
      <x:c r="W74" s="13" t="str"/>
      <x:c r="X74" s="13" t="str">
        <x:f>IF(L74&lt;&gt;"COVERED","HELD — COVERAGE",IF(N74="YES — SENSITIVE","C ACTIONABLE","CHAPTER 5 DEFAULT"))</x:f>
        <x:v>HELD — COVERAGE</x:v>
      </x:c>
      <x:c r="Y74" s="13" t="str">
        <x:f>IF(L74&lt;&gt;"COVERED","HELD — COVERAGE",IF(P74="YES — MANAGED ACCESS","D ACTIONABLE","NO D FIELD"))</x:f>
        <x:v>HELD — COVERAGE</x:v>
      </x:c>
      <x:c r="Z74" s="13" t="str">
        <x:f>IF(L74&lt;&gt;"COVERED","HELD — COVERAGE",IF(OR(R74="PAIRED SYNCHRONIZED",R74="TRILATERAL SYNCHRONIZED"),"E ACTIONABLE","INDEPENDENT"))</x:f>
        <x:v>HELD — COVERAGE</x:v>
      </x:c>
      <x:c r="AA74" s="13" t="str">
        <x:f>IF(L74&lt;&gt;"COVERED","HELD — COVERAGE","WAIT FOR UPSTREAM COMPLETION")</x:f>
        <x:v>HELD — COVERAGE</x:v>
      </x:c>
      <x:c r="AB74" s="13" t="str">
        <x:f>IF(L74&lt;&gt;"COVERED","HELD — COVERAGE",IF(T74="UNRESOLVED","G DECISION REQUIRED",IF(T74="NOT APPLICABLE","G N/A","G ACTIONABLE")))</x:f>
        <x:v>HELD — COVERAGE</x:v>
      </x:c>
      <x:c r="AC74" s="13" t="str">
        <x:f>IF(L74="UNRESOLVED","COVERAGE FIRST",IF(OR(L74="EXCLUDED",L74="OUT OF SCOPE"),"CLOSED BY COVERAGE",IF(AND(L74="COVERED",T74&lt;&gt;"UNRESOLVED"),"PARTIALLY ADOPTED","DECISIONS REMAIN")))</x:f>
        <x:v>COVERAGE FIRST</x:v>
      </x:c>
    </x:row>
    <x:row r="75">
      <x:c r="A75" s="13" t="str">
        <x:v>NAAFTC-HS6-020741</x:v>
      </x:c>
      <x:c r="B75" s="13" t="str">
        <x:v>020741</x:v>
      </x:c>
      <x:c r="C75" s="13" t="str">
        <x:v>02</x:v>
      </x:c>
      <x:c r="D75" s="13" t="str">
        <x:v>TRILATERAL_1_TO_1_TO_1</x:v>
      </x:c>
      <x:c r="E75" s="13" t="str">
        <x:v>Pending</x:v>
      </x:c>
      <x:c r="F75" s="13" t="n">
        <x:v>1</x:v>
      </x:c>
      <x:c r="G75" s="13" t="n">
        <x:v>1</x:v>
      </x:c>
      <x:c r="H75" s="13" t="n">
        <x:v>1</x:v>
      </x:c>
      <x:c r="I75" s="13" t="str">
        <x:v>0207410000</x:v>
      </x:c>
      <x:c r="J75" s="13" t="str">
        <x:v>0207410100</x:v>
      </x:c>
      <x:c r="K75" s="13" t="str">
        <x:v>0207410000</x:v>
      </x:c>
      <x:c r="L75" s="13" t="str">
        <x:v>UNRESOLVED</x:v>
      </x:c>
      <x:c r="M75" s="13" t="str"/>
      <x:c r="N75" s="13" t="str">
        <x:v>NO / DEFAULT</x:v>
      </x:c>
      <x:c r="O75" s="13" t="str"/>
      <x:c r="P75" s="13" t="str">
        <x:v>NO / DEFAULT</x:v>
      </x:c>
      <x:c r="Q75" s="13" t="str"/>
      <x:c r="R75" s="13" t="str">
        <x:v>INDEPENDENT / DEFAULT</x:v>
      </x:c>
      <x:c r="S75" s="13" t="str"/>
      <x:c r="T75" s="13" t="str">
        <x:v>UNRESOLVED</x:v>
      </x:c>
      <x:c r="U75" s="13" t="str"/>
      <x:c r="V75" s="13" t="str"/>
      <x:c r="W75" s="13" t="str"/>
      <x:c r="X75" s="13" t="str">
        <x:f>IF(L75&lt;&gt;"COVERED","HELD — COVERAGE",IF(N75="YES — SENSITIVE","C ACTIONABLE","CHAPTER 5 DEFAULT"))</x:f>
        <x:v>HELD — COVERAGE</x:v>
      </x:c>
      <x:c r="Y75" s="13" t="str">
        <x:f>IF(L75&lt;&gt;"COVERED","HELD — COVERAGE",IF(P75="YES — MANAGED ACCESS","D ACTIONABLE","NO D FIELD"))</x:f>
        <x:v>HELD — COVERAGE</x:v>
      </x:c>
      <x:c r="Z75" s="13" t="str">
        <x:f>IF(L75&lt;&gt;"COVERED","HELD — COVERAGE",IF(OR(R75="PAIRED SYNCHRONIZED",R75="TRILATERAL SYNCHRONIZED"),"E ACTIONABLE","INDEPENDENT"))</x:f>
        <x:v>HELD — COVERAGE</x:v>
      </x:c>
      <x:c r="AA75" s="13" t="str">
        <x:f>IF(L75&lt;&gt;"COVERED","HELD — COVERAGE","WAIT FOR UPSTREAM COMPLETION")</x:f>
        <x:v>HELD — COVERAGE</x:v>
      </x:c>
      <x:c r="AB75" s="13" t="str">
        <x:f>IF(L75&lt;&gt;"COVERED","HELD — COVERAGE",IF(T75="UNRESOLVED","G DECISION REQUIRED",IF(T75="NOT APPLICABLE","G N/A","G ACTIONABLE")))</x:f>
        <x:v>HELD — COVERAGE</x:v>
      </x:c>
      <x:c r="AC75" s="13" t="str">
        <x:f>IF(L75="UNRESOLVED","COVERAGE FIRST",IF(OR(L75="EXCLUDED",L75="OUT OF SCOPE"),"CLOSED BY COVERAGE",IF(AND(L75="COVERED",T75&lt;&gt;"UNRESOLVED"),"PARTIALLY ADOPTED","DECISIONS REMAIN")))</x:f>
        <x:v>COVERAGE FIRST</x:v>
      </x:c>
    </x:row>
    <x:row r="76">
      <x:c r="A76" s="13" t="str">
        <x:v>NAAFTC-HS6-020742</x:v>
      </x:c>
      <x:c r="B76" s="13" t="str">
        <x:v>020742</x:v>
      </x:c>
      <x:c r="C76" s="13" t="str">
        <x:v>02</x:v>
      </x:c>
      <x:c r="D76" s="13" t="str">
        <x:v>TRILATERAL_1_TO_1_TO_1</x:v>
      </x:c>
      <x:c r="E76" s="13" t="str">
        <x:v>Pending</x:v>
      </x:c>
      <x:c r="F76" s="13" t="n">
        <x:v>1</x:v>
      </x:c>
      <x:c r="G76" s="13" t="n">
        <x:v>1</x:v>
      </x:c>
      <x:c r="H76" s="13" t="n">
        <x:v>1</x:v>
      </x:c>
      <x:c r="I76" s="13" t="str">
        <x:v>0207420000</x:v>
      </x:c>
      <x:c r="J76" s="13" t="str">
        <x:v>0207420100</x:v>
      </x:c>
      <x:c r="K76" s="13" t="str">
        <x:v>0207420000</x:v>
      </x:c>
      <x:c r="L76" s="13" t="str">
        <x:v>UNRESOLVED</x:v>
      </x:c>
      <x:c r="M76" s="13" t="str"/>
      <x:c r="N76" s="13" t="str">
        <x:v>NO / DEFAULT</x:v>
      </x:c>
      <x:c r="O76" s="13" t="str"/>
      <x:c r="P76" s="13" t="str">
        <x:v>NO / DEFAULT</x:v>
      </x:c>
      <x:c r="Q76" s="13" t="str"/>
      <x:c r="R76" s="13" t="str">
        <x:v>INDEPENDENT / DEFAULT</x:v>
      </x:c>
      <x:c r="S76" s="13" t="str"/>
      <x:c r="T76" s="13" t="str">
        <x:v>UNRESOLVED</x:v>
      </x:c>
      <x:c r="U76" s="13" t="str"/>
      <x:c r="V76" s="13" t="str"/>
      <x:c r="W76" s="13" t="str"/>
      <x:c r="X76" s="13" t="str">
        <x:f>IF(L76&lt;&gt;"COVERED","HELD — COVERAGE",IF(N76="YES — SENSITIVE","C ACTIONABLE","CHAPTER 5 DEFAULT"))</x:f>
        <x:v>HELD — COVERAGE</x:v>
      </x:c>
      <x:c r="Y76" s="13" t="str">
        <x:f>IF(L76&lt;&gt;"COVERED","HELD — COVERAGE",IF(P76="YES — MANAGED ACCESS","D ACTIONABLE","NO D FIELD"))</x:f>
        <x:v>HELD — COVERAGE</x:v>
      </x:c>
      <x:c r="Z76" s="13" t="str">
        <x:f>IF(L76&lt;&gt;"COVERED","HELD — COVERAGE",IF(OR(R76="PAIRED SYNCHRONIZED",R76="TRILATERAL SYNCHRONIZED"),"E ACTIONABLE","INDEPENDENT"))</x:f>
        <x:v>HELD — COVERAGE</x:v>
      </x:c>
      <x:c r="AA76" s="13" t="str">
        <x:f>IF(L76&lt;&gt;"COVERED","HELD — COVERAGE","WAIT FOR UPSTREAM COMPLETION")</x:f>
        <x:v>HELD — COVERAGE</x:v>
      </x:c>
      <x:c r="AB76" s="13" t="str">
        <x:f>IF(L76&lt;&gt;"COVERED","HELD — COVERAGE",IF(T76="UNRESOLVED","G DECISION REQUIRED",IF(T76="NOT APPLICABLE","G N/A","G ACTIONABLE")))</x:f>
        <x:v>HELD — COVERAGE</x:v>
      </x:c>
      <x:c r="AC76" s="13" t="str">
        <x:f>IF(L76="UNRESOLVED","COVERAGE FIRST",IF(OR(L76="EXCLUDED",L76="OUT OF SCOPE"),"CLOSED BY COVERAGE",IF(AND(L76="COVERED",T76&lt;&gt;"UNRESOLVED"),"PARTIALLY ADOPTED","DECISIONS REMAIN")))</x:f>
        <x:v>COVERAGE FIRST</x:v>
      </x:c>
    </x:row>
    <x:row r="77">
      <x:c r="A77" s="13" t="str">
        <x:v>NAAFTC-HS6-020743</x:v>
      </x:c>
      <x:c r="B77" s="13" t="str">
        <x:v>020743</x:v>
      </x:c>
      <x:c r="C77" s="13" t="str">
        <x:v>02</x:v>
      </x:c>
      <x:c r="D77" s="13" t="str">
        <x:v>TRILATERAL_1_TO_1_TO_1</x:v>
      </x:c>
      <x:c r="E77" s="13" t="str">
        <x:v>Pending</x:v>
      </x:c>
      <x:c r="F77" s="13" t="n">
        <x:v>1</x:v>
      </x:c>
      <x:c r="G77" s="13" t="n">
        <x:v>1</x:v>
      </x:c>
      <x:c r="H77" s="13" t="n">
        <x:v>1</x:v>
      </x:c>
      <x:c r="I77" s="13" t="str">
        <x:v>0207430000</x:v>
      </x:c>
      <x:c r="J77" s="13" t="str">
        <x:v>0207430100</x:v>
      </x:c>
      <x:c r="K77" s="13" t="str">
        <x:v>0207430000</x:v>
      </x:c>
      <x:c r="L77" s="13" t="str">
        <x:v>UNRESOLVED</x:v>
      </x:c>
      <x:c r="M77" s="13" t="str"/>
      <x:c r="N77" s="13" t="str">
        <x:v>NO / DEFAULT</x:v>
      </x:c>
      <x:c r="O77" s="13" t="str"/>
      <x:c r="P77" s="13" t="str">
        <x:v>NO / DEFAULT</x:v>
      </x:c>
      <x:c r="Q77" s="13" t="str"/>
      <x:c r="R77" s="13" t="str">
        <x:v>INDEPENDENT / DEFAULT</x:v>
      </x:c>
      <x:c r="S77" s="13" t="str"/>
      <x:c r="T77" s="13" t="str">
        <x:v>UNRESOLVED</x:v>
      </x:c>
      <x:c r="U77" s="13" t="str"/>
      <x:c r="V77" s="13" t="str"/>
      <x:c r="W77" s="13" t="str"/>
      <x:c r="X77" s="13" t="str">
        <x:f>IF(L77&lt;&gt;"COVERED","HELD — COVERAGE",IF(N77="YES — SENSITIVE","C ACTIONABLE","CHAPTER 5 DEFAULT"))</x:f>
        <x:v>HELD — COVERAGE</x:v>
      </x:c>
      <x:c r="Y77" s="13" t="str">
        <x:f>IF(L77&lt;&gt;"COVERED","HELD — COVERAGE",IF(P77="YES — MANAGED ACCESS","D ACTIONABLE","NO D FIELD"))</x:f>
        <x:v>HELD — COVERAGE</x:v>
      </x:c>
      <x:c r="Z77" s="13" t="str">
        <x:f>IF(L77&lt;&gt;"COVERED","HELD — COVERAGE",IF(OR(R77="PAIRED SYNCHRONIZED",R77="TRILATERAL SYNCHRONIZED"),"E ACTIONABLE","INDEPENDENT"))</x:f>
        <x:v>HELD — COVERAGE</x:v>
      </x:c>
      <x:c r="AA77" s="13" t="str">
        <x:f>IF(L77&lt;&gt;"COVERED","HELD — COVERAGE","WAIT FOR UPSTREAM COMPLETION")</x:f>
        <x:v>HELD — COVERAGE</x:v>
      </x:c>
      <x:c r="AB77" s="13" t="str">
        <x:f>IF(L77&lt;&gt;"COVERED","HELD — COVERAGE",IF(T77="UNRESOLVED","G DECISION REQUIRED",IF(T77="NOT APPLICABLE","G N/A","G ACTIONABLE")))</x:f>
        <x:v>HELD — COVERAGE</x:v>
      </x:c>
      <x:c r="AC77" s="13" t="str">
        <x:f>IF(L77="UNRESOLVED","COVERAGE FIRST",IF(OR(L77="EXCLUDED",L77="OUT OF SCOPE"),"CLOSED BY COVERAGE",IF(AND(L77="COVERED",T77&lt;&gt;"UNRESOLVED"),"PARTIALLY ADOPTED","DECISIONS REMAIN")))</x:f>
        <x:v>COVERAGE FIRST</x:v>
      </x:c>
    </x:row>
    <x:row r="78">
      <x:c r="A78" s="13" t="str">
        <x:v>NAAFTC-HS6-020744</x:v>
      </x:c>
      <x:c r="B78" s="13" t="str">
        <x:v>020744</x:v>
      </x:c>
      <x:c r="C78" s="13" t="str">
        <x:v>02</x:v>
      </x:c>
      <x:c r="D78" s="13" t="str">
        <x:v>TRILATERAL_1_TO_1_TO_1</x:v>
      </x:c>
      <x:c r="E78" s="13" t="str">
        <x:v>Pending</x:v>
      </x:c>
      <x:c r="F78" s="13" t="n">
        <x:v>1</x:v>
      </x:c>
      <x:c r="G78" s="13" t="n">
        <x:v>1</x:v>
      </x:c>
      <x:c r="H78" s="13" t="n">
        <x:v>1</x:v>
      </x:c>
      <x:c r="I78" s="13" t="str">
        <x:v>0207440000</x:v>
      </x:c>
      <x:c r="J78" s="13" t="str">
        <x:v>0207449100</x:v>
      </x:c>
      <x:c r="K78" s="13" t="str">
        <x:v>0207440000</x:v>
      </x:c>
      <x:c r="L78" s="13" t="str">
        <x:v>UNRESOLVED</x:v>
      </x:c>
      <x:c r="M78" s="13" t="str"/>
      <x:c r="N78" s="13" t="str">
        <x:v>NO / DEFAULT</x:v>
      </x:c>
      <x:c r="O78" s="13" t="str"/>
      <x:c r="P78" s="13" t="str">
        <x:v>NO / DEFAULT</x:v>
      </x:c>
      <x:c r="Q78" s="13" t="str"/>
      <x:c r="R78" s="13" t="str">
        <x:v>INDEPENDENT / DEFAULT</x:v>
      </x:c>
      <x:c r="S78" s="13" t="str"/>
      <x:c r="T78" s="13" t="str">
        <x:v>UNRESOLVED</x:v>
      </x:c>
      <x:c r="U78" s="13" t="str"/>
      <x:c r="V78" s="13" t="str"/>
      <x:c r="W78" s="13" t="str"/>
      <x:c r="X78" s="13" t="str">
        <x:f>IF(L78&lt;&gt;"COVERED","HELD — COVERAGE",IF(N78="YES — SENSITIVE","C ACTIONABLE","CHAPTER 5 DEFAULT"))</x:f>
        <x:v>HELD — COVERAGE</x:v>
      </x:c>
      <x:c r="Y78" s="13" t="str">
        <x:f>IF(L78&lt;&gt;"COVERED","HELD — COVERAGE",IF(P78="YES — MANAGED ACCESS","D ACTIONABLE","NO D FIELD"))</x:f>
        <x:v>HELD — COVERAGE</x:v>
      </x:c>
      <x:c r="Z78" s="13" t="str">
        <x:f>IF(L78&lt;&gt;"COVERED","HELD — COVERAGE",IF(OR(R78="PAIRED SYNCHRONIZED",R78="TRILATERAL SYNCHRONIZED"),"E ACTIONABLE","INDEPENDENT"))</x:f>
        <x:v>HELD — COVERAGE</x:v>
      </x:c>
      <x:c r="AA78" s="13" t="str">
        <x:f>IF(L78&lt;&gt;"COVERED","HELD — COVERAGE","WAIT FOR UPSTREAM COMPLETION")</x:f>
        <x:v>HELD — COVERAGE</x:v>
      </x:c>
      <x:c r="AB78" s="13" t="str">
        <x:f>IF(L78&lt;&gt;"COVERED","HELD — COVERAGE",IF(T78="UNRESOLVED","G DECISION REQUIRED",IF(T78="NOT APPLICABLE","G N/A","G ACTIONABLE")))</x:f>
        <x:v>HELD — COVERAGE</x:v>
      </x:c>
      <x:c r="AC78" s="13" t="str">
        <x:f>IF(L78="UNRESOLVED","COVERAGE FIRST",IF(OR(L78="EXCLUDED",L78="OUT OF SCOPE"),"CLOSED BY COVERAGE",IF(AND(L78="COVERED",T78&lt;&gt;"UNRESOLVED"),"PARTIALLY ADOPTED","DECISIONS REMAIN")))</x:f>
        <x:v>COVERAGE FIRST</x:v>
      </x:c>
    </x:row>
    <x:row r="79">
      <x:c r="A79" s="13" t="str">
        <x:v>NAAFTC-HS6-020745</x:v>
      </x:c>
      <x:c r="B79" s="13" t="str">
        <x:v>020745</x:v>
      </x:c>
      <x:c r="C79" s="13" t="str">
        <x:v>02</x:v>
      </x:c>
      <x:c r="D79" s="13" t="str">
        <x:v>TRILATERAL_SPLIT_MERGE</x:v>
      </x:c>
      <x:c r="E79" s="13" t="str">
        <x:v>Pending</x:v>
      </x:c>
      <x:c r="F79" s="13" t="n">
        <x:v>2</x:v>
      </x:c>
      <x:c r="G79" s="13" t="n">
        <x:v>2</x:v>
      </x:c>
      <x:c r="H79" s="13" t="n">
        <x:v>2</x:v>
      </x:c>
      <x:c r="I79" s="13" t="str">
        <x:v>0207450020; 0207450040</x:v>
      </x:c>
      <x:c r="J79" s="13" t="str">
        <x:v>0207450100; 0207459900</x:v>
      </x:c>
      <x:c r="K79" s="13" t="str">
        <x:v>0207451000; 0207459000</x:v>
      </x:c>
      <x:c r="L79" s="13" t="str">
        <x:v>UNRESOLVED</x:v>
      </x:c>
      <x:c r="M79" s="13" t="str"/>
      <x:c r="N79" s="13" t="str">
        <x:v>NO / DEFAULT</x:v>
      </x:c>
      <x:c r="O79" s="13" t="str"/>
      <x:c r="P79" s="13" t="str">
        <x:v>NO / DEFAULT</x:v>
      </x:c>
      <x:c r="Q79" s="13" t="str"/>
      <x:c r="R79" s="13" t="str">
        <x:v>INDEPENDENT / DEFAULT</x:v>
      </x:c>
      <x:c r="S79" s="13" t="str"/>
      <x:c r="T79" s="13" t="str">
        <x:v>UNRESOLVED</x:v>
      </x:c>
      <x:c r="U79" s="13" t="str"/>
      <x:c r="V79" s="13" t="str"/>
      <x:c r="W79" s="13" t="str"/>
      <x:c r="X79" s="13" t="str">
        <x:f>IF(L79&lt;&gt;"COVERED","HELD — COVERAGE",IF(N79="YES — SENSITIVE","C ACTIONABLE","CHAPTER 5 DEFAULT"))</x:f>
        <x:v>HELD — COVERAGE</x:v>
      </x:c>
      <x:c r="Y79" s="13" t="str">
        <x:f>IF(L79&lt;&gt;"COVERED","HELD — COVERAGE",IF(P79="YES — MANAGED ACCESS","D ACTIONABLE","NO D FIELD"))</x:f>
        <x:v>HELD — COVERAGE</x:v>
      </x:c>
      <x:c r="Z79" s="13" t="str">
        <x:f>IF(L79&lt;&gt;"COVERED","HELD — COVERAGE",IF(OR(R79="PAIRED SYNCHRONIZED",R79="TRILATERAL SYNCHRONIZED"),"E ACTIONABLE","INDEPENDENT"))</x:f>
        <x:v>HELD — COVERAGE</x:v>
      </x:c>
      <x:c r="AA79" s="13" t="str">
        <x:f>IF(L79&lt;&gt;"COVERED","HELD — COVERAGE","WAIT FOR UPSTREAM COMPLETION")</x:f>
        <x:v>HELD — COVERAGE</x:v>
      </x:c>
      <x:c r="AB79" s="13" t="str">
        <x:f>IF(L79&lt;&gt;"COVERED","HELD — COVERAGE",IF(T79="UNRESOLVED","G DECISION REQUIRED",IF(T79="NOT APPLICABLE","G N/A","G ACTIONABLE")))</x:f>
        <x:v>HELD — COVERAGE</x:v>
      </x:c>
      <x:c r="AC79" s="13" t="str">
        <x:f>IF(L79="UNRESOLVED","COVERAGE FIRST",IF(OR(L79="EXCLUDED",L79="OUT OF SCOPE"),"CLOSED BY COVERAGE",IF(AND(L79="COVERED",T79&lt;&gt;"UNRESOLVED"),"PARTIALLY ADOPTED","DECISIONS REMAIN")))</x:f>
        <x:v>COVERAGE FIRST</x:v>
      </x:c>
    </x:row>
    <x:row r="80">
      <x:c r="A80" s="13" t="str">
        <x:v>NAAFTC-HS6-020751</x:v>
      </x:c>
      <x:c r="B80" s="13" t="str">
        <x:v>020751</x:v>
      </x:c>
      <x:c r="C80" s="13" t="str">
        <x:v>02</x:v>
      </x:c>
      <x:c r="D80" s="13" t="str">
        <x:v>TRILATERAL_1_TO_1_TO_1</x:v>
      </x:c>
      <x:c r="E80" s="13" t="str">
        <x:v>Pending</x:v>
      </x:c>
      <x:c r="F80" s="13" t="n">
        <x:v>1</x:v>
      </x:c>
      <x:c r="G80" s="13" t="n">
        <x:v>1</x:v>
      </x:c>
      <x:c r="H80" s="13" t="n">
        <x:v>1</x:v>
      </x:c>
      <x:c r="I80" s="13" t="str">
        <x:v>0207510000</x:v>
      </x:c>
      <x:c r="J80" s="13" t="str">
        <x:v>0207510100</x:v>
      </x:c>
      <x:c r="K80" s="13" t="str">
        <x:v>0207510000</x:v>
      </x:c>
      <x:c r="L80" s="13" t="str">
        <x:v>UNRESOLVED</x:v>
      </x:c>
      <x:c r="M80" s="13" t="str"/>
      <x:c r="N80" s="13" t="str">
        <x:v>NO / DEFAULT</x:v>
      </x:c>
      <x:c r="O80" s="13" t="str"/>
      <x:c r="P80" s="13" t="str">
        <x:v>NO / DEFAULT</x:v>
      </x:c>
      <x:c r="Q80" s="13" t="str"/>
      <x:c r="R80" s="13" t="str">
        <x:v>INDEPENDENT / DEFAULT</x:v>
      </x:c>
      <x:c r="S80" s="13" t="str"/>
      <x:c r="T80" s="13" t="str">
        <x:v>UNRESOLVED</x:v>
      </x:c>
      <x:c r="U80" s="13" t="str"/>
      <x:c r="V80" s="13" t="str"/>
      <x:c r="W80" s="13" t="str"/>
      <x:c r="X80" s="13" t="str">
        <x:f>IF(L80&lt;&gt;"COVERED","HELD — COVERAGE",IF(N80="YES — SENSITIVE","C ACTIONABLE","CHAPTER 5 DEFAULT"))</x:f>
        <x:v>HELD — COVERAGE</x:v>
      </x:c>
      <x:c r="Y80" s="13" t="str">
        <x:f>IF(L80&lt;&gt;"COVERED","HELD — COVERAGE",IF(P80="YES — MANAGED ACCESS","D ACTIONABLE","NO D FIELD"))</x:f>
        <x:v>HELD — COVERAGE</x:v>
      </x:c>
      <x:c r="Z80" s="13" t="str">
        <x:f>IF(L80&lt;&gt;"COVERED","HELD — COVERAGE",IF(OR(R80="PAIRED SYNCHRONIZED",R80="TRILATERAL SYNCHRONIZED"),"E ACTIONABLE","INDEPENDENT"))</x:f>
        <x:v>HELD — COVERAGE</x:v>
      </x:c>
      <x:c r="AA80" s="13" t="str">
        <x:f>IF(L80&lt;&gt;"COVERED","HELD — COVERAGE","WAIT FOR UPSTREAM COMPLETION")</x:f>
        <x:v>HELD — COVERAGE</x:v>
      </x:c>
      <x:c r="AB80" s="13" t="str">
        <x:f>IF(L80&lt;&gt;"COVERED","HELD — COVERAGE",IF(T80="UNRESOLVED","G DECISION REQUIRED",IF(T80="NOT APPLICABLE","G N/A","G ACTIONABLE")))</x:f>
        <x:v>HELD — COVERAGE</x:v>
      </x:c>
      <x:c r="AC80" s="13" t="str">
        <x:f>IF(L80="UNRESOLVED","COVERAGE FIRST",IF(OR(L80="EXCLUDED",L80="OUT OF SCOPE"),"CLOSED BY COVERAGE",IF(AND(L80="COVERED",T80&lt;&gt;"UNRESOLVED"),"PARTIALLY ADOPTED","DECISIONS REMAIN")))</x:f>
        <x:v>COVERAGE FIRST</x:v>
      </x:c>
    </x:row>
    <x:row r="81">
      <x:c r="A81" s="13" t="str">
        <x:v>NAAFTC-HS6-020752</x:v>
      </x:c>
      <x:c r="B81" s="13" t="str">
        <x:v>020752</x:v>
      </x:c>
      <x:c r="C81" s="13" t="str">
        <x:v>02</x:v>
      </x:c>
      <x:c r="D81" s="13" t="str">
        <x:v>TRILATERAL_1_TO_1_TO_1</x:v>
      </x:c>
      <x:c r="E81" s="13" t="str">
        <x:v>Pending</x:v>
      </x:c>
      <x:c r="F81" s="13" t="n">
        <x:v>1</x:v>
      </x:c>
      <x:c r="G81" s="13" t="n">
        <x:v>1</x:v>
      </x:c>
      <x:c r="H81" s="13" t="n">
        <x:v>1</x:v>
      </x:c>
      <x:c r="I81" s="13" t="str">
        <x:v>0207520000</x:v>
      </x:c>
      <x:c r="J81" s="13" t="str">
        <x:v>0207520100</x:v>
      </x:c>
      <x:c r="K81" s="13" t="str">
        <x:v>0207520000</x:v>
      </x:c>
      <x:c r="L81" s="13" t="str">
        <x:v>UNRESOLVED</x:v>
      </x:c>
      <x:c r="M81" s="13" t="str"/>
      <x:c r="N81" s="13" t="str">
        <x:v>NO / DEFAULT</x:v>
      </x:c>
      <x:c r="O81" s="13" t="str"/>
      <x:c r="P81" s="13" t="str">
        <x:v>NO / DEFAULT</x:v>
      </x:c>
      <x:c r="Q81" s="13" t="str"/>
      <x:c r="R81" s="13" t="str">
        <x:v>INDEPENDENT / DEFAULT</x:v>
      </x:c>
      <x:c r="S81" s="13" t="str"/>
      <x:c r="T81" s="13" t="str">
        <x:v>UNRESOLVED</x:v>
      </x:c>
      <x:c r="U81" s="13" t="str"/>
      <x:c r="V81" s="13" t="str"/>
      <x:c r="W81" s="13" t="str"/>
      <x:c r="X81" s="13" t="str">
        <x:f>IF(L81&lt;&gt;"COVERED","HELD — COVERAGE",IF(N81="YES — SENSITIVE","C ACTIONABLE","CHAPTER 5 DEFAULT"))</x:f>
        <x:v>HELD — COVERAGE</x:v>
      </x:c>
      <x:c r="Y81" s="13" t="str">
        <x:f>IF(L81&lt;&gt;"COVERED","HELD — COVERAGE",IF(P81="YES — MANAGED ACCESS","D ACTIONABLE","NO D FIELD"))</x:f>
        <x:v>HELD — COVERAGE</x:v>
      </x:c>
      <x:c r="Z81" s="13" t="str">
        <x:f>IF(L81&lt;&gt;"COVERED","HELD — COVERAGE",IF(OR(R81="PAIRED SYNCHRONIZED",R81="TRILATERAL SYNCHRONIZED"),"E ACTIONABLE","INDEPENDENT"))</x:f>
        <x:v>HELD — COVERAGE</x:v>
      </x:c>
      <x:c r="AA81" s="13" t="str">
        <x:f>IF(L81&lt;&gt;"COVERED","HELD — COVERAGE","WAIT FOR UPSTREAM COMPLETION")</x:f>
        <x:v>HELD — COVERAGE</x:v>
      </x:c>
      <x:c r="AB81" s="13" t="str">
        <x:f>IF(L81&lt;&gt;"COVERED","HELD — COVERAGE",IF(T81="UNRESOLVED","G DECISION REQUIRED",IF(T81="NOT APPLICABLE","G N/A","G ACTIONABLE")))</x:f>
        <x:v>HELD — COVERAGE</x:v>
      </x:c>
      <x:c r="AC81" s="13" t="str">
        <x:f>IF(L81="UNRESOLVED","COVERAGE FIRST",IF(OR(L81="EXCLUDED",L81="OUT OF SCOPE"),"CLOSED BY COVERAGE",IF(AND(L81="COVERED",T81&lt;&gt;"UNRESOLVED"),"PARTIALLY ADOPTED","DECISIONS REMAIN")))</x:f>
        <x:v>COVERAGE FIRST</x:v>
      </x:c>
    </x:row>
    <x:row r="82">
      <x:c r="A82" s="13" t="str">
        <x:v>NAAFTC-HS6-020753</x:v>
      </x:c>
      <x:c r="B82" s="13" t="str">
        <x:v>020753</x:v>
      </x:c>
      <x:c r="C82" s="13" t="str">
        <x:v>02</x:v>
      </x:c>
      <x:c r="D82" s="13" t="str">
        <x:v>TRILATERAL_1_TO_1_TO_1</x:v>
      </x:c>
      <x:c r="E82" s="13" t="str">
        <x:v>Pending</x:v>
      </x:c>
      <x:c r="F82" s="13" t="n">
        <x:v>1</x:v>
      </x:c>
      <x:c r="G82" s="13" t="n">
        <x:v>1</x:v>
      </x:c>
      <x:c r="H82" s="13" t="n">
        <x:v>1</x:v>
      </x:c>
      <x:c r="I82" s="13" t="str">
        <x:v>0207530000</x:v>
      </x:c>
      <x:c r="J82" s="13" t="str">
        <x:v>0207530100</x:v>
      </x:c>
      <x:c r="K82" s="13" t="str">
        <x:v>0207530000</x:v>
      </x:c>
      <x:c r="L82" s="13" t="str">
        <x:v>UNRESOLVED</x:v>
      </x:c>
      <x:c r="M82" s="13" t="str"/>
      <x:c r="N82" s="13" t="str">
        <x:v>NO / DEFAULT</x:v>
      </x:c>
      <x:c r="O82" s="13" t="str"/>
      <x:c r="P82" s="13" t="str">
        <x:v>NO / DEFAULT</x:v>
      </x:c>
      <x:c r="Q82" s="13" t="str"/>
      <x:c r="R82" s="13" t="str">
        <x:v>INDEPENDENT / DEFAULT</x:v>
      </x:c>
      <x:c r="S82" s="13" t="str"/>
      <x:c r="T82" s="13" t="str">
        <x:v>UNRESOLVED</x:v>
      </x:c>
      <x:c r="U82" s="13" t="str"/>
      <x:c r="V82" s="13" t="str"/>
      <x:c r="W82" s="13" t="str"/>
      <x:c r="X82" s="13" t="str">
        <x:f>IF(L82&lt;&gt;"COVERED","HELD — COVERAGE",IF(N82="YES — SENSITIVE","C ACTIONABLE","CHAPTER 5 DEFAULT"))</x:f>
        <x:v>HELD — COVERAGE</x:v>
      </x:c>
      <x:c r="Y82" s="13" t="str">
        <x:f>IF(L82&lt;&gt;"COVERED","HELD — COVERAGE",IF(P82="YES — MANAGED ACCESS","D ACTIONABLE","NO D FIELD"))</x:f>
        <x:v>HELD — COVERAGE</x:v>
      </x:c>
      <x:c r="Z82" s="13" t="str">
        <x:f>IF(L82&lt;&gt;"COVERED","HELD — COVERAGE",IF(OR(R82="PAIRED SYNCHRONIZED",R82="TRILATERAL SYNCHRONIZED"),"E ACTIONABLE","INDEPENDENT"))</x:f>
        <x:v>HELD — COVERAGE</x:v>
      </x:c>
      <x:c r="AA82" s="13" t="str">
        <x:f>IF(L82&lt;&gt;"COVERED","HELD — COVERAGE","WAIT FOR UPSTREAM COMPLETION")</x:f>
        <x:v>HELD — COVERAGE</x:v>
      </x:c>
      <x:c r="AB82" s="13" t="str">
        <x:f>IF(L82&lt;&gt;"COVERED","HELD — COVERAGE",IF(T82="UNRESOLVED","G DECISION REQUIRED",IF(T82="NOT APPLICABLE","G N/A","G ACTIONABLE")))</x:f>
        <x:v>HELD — COVERAGE</x:v>
      </x:c>
      <x:c r="AC82" s="13" t="str">
        <x:f>IF(L82="UNRESOLVED","COVERAGE FIRST",IF(OR(L82="EXCLUDED",L82="OUT OF SCOPE"),"CLOSED BY COVERAGE",IF(AND(L82="COVERED",T82&lt;&gt;"UNRESOLVED"),"PARTIALLY ADOPTED","DECISIONS REMAIN")))</x:f>
        <x:v>COVERAGE FIRST</x:v>
      </x:c>
    </x:row>
    <x:row r="83">
      <x:c r="A83" s="13" t="str">
        <x:v>NAAFTC-HS6-020754</x:v>
      </x:c>
      <x:c r="B83" s="13" t="str">
        <x:v>020754</x:v>
      </x:c>
      <x:c r="C83" s="13" t="str">
        <x:v>02</x:v>
      </x:c>
      <x:c r="D83" s="13" t="str">
        <x:v>TRILATERAL_1_TO_1_TO_1</x:v>
      </x:c>
      <x:c r="E83" s="13" t="str">
        <x:v>Pending</x:v>
      </x:c>
      <x:c r="F83" s="13" t="n">
        <x:v>1</x:v>
      </x:c>
      <x:c r="G83" s="13" t="n">
        <x:v>1</x:v>
      </x:c>
      <x:c r="H83" s="13" t="n">
        <x:v>1</x:v>
      </x:c>
      <x:c r="I83" s="13" t="str">
        <x:v>0207540000</x:v>
      </x:c>
      <x:c r="J83" s="13" t="str">
        <x:v>0207549100</x:v>
      </x:c>
      <x:c r="K83" s="13" t="str">
        <x:v>0207540000</x:v>
      </x:c>
      <x:c r="L83" s="13" t="str">
        <x:v>UNRESOLVED</x:v>
      </x:c>
      <x:c r="M83" s="13" t="str"/>
      <x:c r="N83" s="13" t="str">
        <x:v>NO / DEFAULT</x:v>
      </x:c>
      <x:c r="O83" s="13" t="str"/>
      <x:c r="P83" s="13" t="str">
        <x:v>NO / DEFAULT</x:v>
      </x:c>
      <x:c r="Q83" s="13" t="str"/>
      <x:c r="R83" s="13" t="str">
        <x:v>INDEPENDENT / DEFAULT</x:v>
      </x:c>
      <x:c r="S83" s="13" t="str"/>
      <x:c r="T83" s="13" t="str">
        <x:v>UNRESOLVED</x:v>
      </x:c>
      <x:c r="U83" s="13" t="str"/>
      <x:c r="V83" s="13" t="str"/>
      <x:c r="W83" s="13" t="str"/>
      <x:c r="X83" s="13" t="str">
        <x:f>IF(L83&lt;&gt;"COVERED","HELD — COVERAGE",IF(N83="YES — SENSITIVE","C ACTIONABLE","CHAPTER 5 DEFAULT"))</x:f>
        <x:v>HELD — COVERAGE</x:v>
      </x:c>
      <x:c r="Y83" s="13" t="str">
        <x:f>IF(L83&lt;&gt;"COVERED","HELD — COVERAGE",IF(P83="YES — MANAGED ACCESS","D ACTIONABLE","NO D FIELD"))</x:f>
        <x:v>HELD — COVERAGE</x:v>
      </x:c>
      <x:c r="Z83" s="13" t="str">
        <x:f>IF(L83&lt;&gt;"COVERED","HELD — COVERAGE",IF(OR(R83="PAIRED SYNCHRONIZED",R83="TRILATERAL SYNCHRONIZED"),"E ACTIONABLE","INDEPENDENT"))</x:f>
        <x:v>HELD — COVERAGE</x:v>
      </x:c>
      <x:c r="AA83" s="13" t="str">
        <x:f>IF(L83&lt;&gt;"COVERED","HELD — COVERAGE","WAIT FOR UPSTREAM COMPLETION")</x:f>
        <x:v>HELD — COVERAGE</x:v>
      </x:c>
      <x:c r="AB83" s="13" t="str">
        <x:f>IF(L83&lt;&gt;"COVERED","HELD — COVERAGE",IF(T83="UNRESOLVED","G DECISION REQUIRED",IF(T83="NOT APPLICABLE","G N/A","G ACTIONABLE")))</x:f>
        <x:v>HELD — COVERAGE</x:v>
      </x:c>
      <x:c r="AC83" s="13" t="str">
        <x:f>IF(L83="UNRESOLVED","COVERAGE FIRST",IF(OR(L83="EXCLUDED",L83="OUT OF SCOPE"),"CLOSED BY COVERAGE",IF(AND(L83="COVERED",T83&lt;&gt;"UNRESOLVED"),"PARTIALLY ADOPTED","DECISIONS REMAIN")))</x:f>
        <x:v>COVERAGE FIRST</x:v>
      </x:c>
    </x:row>
    <x:row r="84">
      <x:c r="A84" s="13" t="str">
        <x:v>NAAFTC-HS6-020755</x:v>
      </x:c>
      <x:c r="B84" s="13" t="str">
        <x:v>020755</x:v>
      </x:c>
      <x:c r="C84" s="13" t="str">
        <x:v>02</x:v>
      </x:c>
      <x:c r="D84" s="13" t="str">
        <x:v>TRILATERAL_SPLIT_MERGE</x:v>
      </x:c>
      <x:c r="E84" s="13" t="str">
        <x:v>Pending</x:v>
      </x:c>
      <x:c r="F84" s="13" t="n">
        <x:v>2</x:v>
      </x:c>
      <x:c r="G84" s="13" t="n">
        <x:v>2</x:v>
      </x:c>
      <x:c r="H84" s="13" t="n">
        <x:v>2</x:v>
      </x:c>
      <x:c r="I84" s="13" t="str">
        <x:v>0207550020; 0207550040</x:v>
      </x:c>
      <x:c r="J84" s="13" t="str">
        <x:v>0207550100; 0207559900</x:v>
      </x:c>
      <x:c r="K84" s="13" t="str">
        <x:v>0207551000; 0207559000</x:v>
      </x:c>
      <x:c r="L84" s="13" t="str">
        <x:v>UNRESOLVED</x:v>
      </x:c>
      <x:c r="M84" s="13" t="str"/>
      <x:c r="N84" s="13" t="str">
        <x:v>NO / DEFAULT</x:v>
      </x:c>
      <x:c r="O84" s="13" t="str"/>
      <x:c r="P84" s="13" t="str">
        <x:v>NO / DEFAULT</x:v>
      </x:c>
      <x:c r="Q84" s="13" t="str"/>
      <x:c r="R84" s="13" t="str">
        <x:v>INDEPENDENT / DEFAULT</x:v>
      </x:c>
      <x:c r="S84" s="13" t="str"/>
      <x:c r="T84" s="13" t="str">
        <x:v>UNRESOLVED</x:v>
      </x:c>
      <x:c r="U84" s="13" t="str"/>
      <x:c r="V84" s="13" t="str"/>
      <x:c r="W84" s="13" t="str"/>
      <x:c r="X84" s="13" t="str">
        <x:f>IF(L84&lt;&gt;"COVERED","HELD — COVERAGE",IF(N84="YES — SENSITIVE","C ACTIONABLE","CHAPTER 5 DEFAULT"))</x:f>
        <x:v>HELD — COVERAGE</x:v>
      </x:c>
      <x:c r="Y84" s="13" t="str">
        <x:f>IF(L84&lt;&gt;"COVERED","HELD — COVERAGE",IF(P84="YES — MANAGED ACCESS","D ACTIONABLE","NO D FIELD"))</x:f>
        <x:v>HELD — COVERAGE</x:v>
      </x:c>
      <x:c r="Z84" s="13" t="str">
        <x:f>IF(L84&lt;&gt;"COVERED","HELD — COVERAGE",IF(OR(R84="PAIRED SYNCHRONIZED",R84="TRILATERAL SYNCHRONIZED"),"E ACTIONABLE","INDEPENDENT"))</x:f>
        <x:v>HELD — COVERAGE</x:v>
      </x:c>
      <x:c r="AA84" s="13" t="str">
        <x:f>IF(L84&lt;&gt;"COVERED","HELD — COVERAGE","WAIT FOR UPSTREAM COMPLETION")</x:f>
        <x:v>HELD — COVERAGE</x:v>
      </x:c>
      <x:c r="AB84" s="13" t="str">
        <x:f>IF(L84&lt;&gt;"COVERED","HELD — COVERAGE",IF(T84="UNRESOLVED","G DECISION REQUIRED",IF(T84="NOT APPLICABLE","G N/A","G ACTIONABLE")))</x:f>
        <x:v>HELD — COVERAGE</x:v>
      </x:c>
      <x:c r="AC84" s="13" t="str">
        <x:f>IF(L84="UNRESOLVED","COVERAGE FIRST",IF(OR(L84="EXCLUDED",L84="OUT OF SCOPE"),"CLOSED BY COVERAGE",IF(AND(L84="COVERED",T84&lt;&gt;"UNRESOLVED"),"PARTIALLY ADOPTED","DECISIONS REMAIN")))</x:f>
        <x:v>COVERAGE FIRST</x:v>
      </x:c>
    </x:row>
    <x:row r="85">
      <x:c r="A85" s="13" t="str">
        <x:v>NAAFTC-HS6-020760</x:v>
      </x:c>
      <x:c r="B85" s="13" t="str">
        <x:v>020760</x:v>
      </x:c>
      <x:c r="C85" s="13" t="str">
        <x:v>02</x:v>
      </x:c>
      <x:c r="D85" s="13" t="str">
        <x:v>TRILATERAL_SPLIT_MERGE</x:v>
      </x:c>
      <x:c r="E85" s="13" t="str">
        <x:v>Pending</x:v>
      </x:c>
      <x:c r="F85" s="13" t="n">
        <x:v>6</x:v>
      </x:c>
      <x:c r="G85" s="13" t="n">
        <x:v>1</x:v>
      </x:c>
      <x:c r="H85" s="13" t="n">
        <x:v>3</x:v>
      </x:c>
      <x:c r="I85" s="13" t="str">
        <x:v>0207601000; 0207602000; 0207603000; 0207604000; 0207606020; 0207606040</x:v>
      </x:c>
      <x:c r="J85" s="13" t="str">
        <x:v>0207600300</x:v>
      </x:c>
      <x:c r="K85" s="13" t="str">
        <x:v>0207602000; 0207609100; 0207609900</x:v>
      </x:c>
      <x:c r="L85" s="13" t="str">
        <x:v>UNRESOLVED</x:v>
      </x:c>
      <x:c r="M85" s="13" t="str"/>
      <x:c r="N85" s="13" t="str">
        <x:v>NO / DEFAULT</x:v>
      </x:c>
      <x:c r="O85" s="13" t="str"/>
      <x:c r="P85" s="13" t="str">
        <x:v>NO / DEFAULT</x:v>
      </x:c>
      <x:c r="Q85" s="13" t="str"/>
      <x:c r="R85" s="13" t="str">
        <x:v>INDEPENDENT / DEFAULT</x:v>
      </x:c>
      <x:c r="S85" s="13" t="str"/>
      <x:c r="T85" s="13" t="str">
        <x:v>UNRESOLVED</x:v>
      </x:c>
      <x:c r="U85" s="13" t="str"/>
      <x:c r="V85" s="13" t="str"/>
      <x:c r="W85" s="13" t="str"/>
      <x:c r="X85" s="13" t="str">
        <x:f>IF(L85&lt;&gt;"COVERED","HELD — COVERAGE",IF(N85="YES — SENSITIVE","C ACTIONABLE","CHAPTER 5 DEFAULT"))</x:f>
        <x:v>HELD — COVERAGE</x:v>
      </x:c>
      <x:c r="Y85" s="13" t="str">
        <x:f>IF(L85&lt;&gt;"COVERED","HELD — COVERAGE",IF(P85="YES — MANAGED ACCESS","D ACTIONABLE","NO D FIELD"))</x:f>
        <x:v>HELD — COVERAGE</x:v>
      </x:c>
      <x:c r="Z85" s="13" t="str">
        <x:f>IF(L85&lt;&gt;"COVERED","HELD — COVERAGE",IF(OR(R85="PAIRED SYNCHRONIZED",R85="TRILATERAL SYNCHRONIZED"),"E ACTIONABLE","INDEPENDENT"))</x:f>
        <x:v>HELD — COVERAGE</x:v>
      </x:c>
      <x:c r="AA85" s="13" t="str">
        <x:f>IF(L85&lt;&gt;"COVERED","HELD — COVERAGE","WAIT FOR UPSTREAM COMPLETION")</x:f>
        <x:v>HELD — COVERAGE</x:v>
      </x:c>
      <x:c r="AB85" s="13" t="str">
        <x:f>IF(L85&lt;&gt;"COVERED","HELD — COVERAGE",IF(T85="UNRESOLVED","G DECISION REQUIRED",IF(T85="NOT APPLICABLE","G N/A","G ACTIONABLE")))</x:f>
        <x:v>HELD — COVERAGE</x:v>
      </x:c>
      <x:c r="AC85" s="13" t="str">
        <x:f>IF(L85="UNRESOLVED","COVERAGE FIRST",IF(OR(L85="EXCLUDED",L85="OUT OF SCOPE"),"CLOSED BY COVERAGE",IF(AND(L85="COVERED",T85&lt;&gt;"UNRESOLVED"),"PARTIALLY ADOPTED","DECISIONS REMAIN")))</x:f>
        <x:v>COVERAGE FIRST</x:v>
      </x:c>
    </x:row>
    <x:row r="86">
      <x:c r="A86" s="13" t="str">
        <x:v>NAAFTC-HS6-020810</x:v>
      </x:c>
      <x:c r="B86" s="13" t="str">
        <x:v>020810</x:v>
      </x:c>
      <x:c r="C86" s="13" t="str">
        <x:v>02</x:v>
      </x:c>
      <x:c r="D86" s="13" t="str">
        <x:v>TRILATERAL_1_TO_1_TO_1</x:v>
      </x:c>
      <x:c r="E86" s="13" t="str">
        <x:v>Pending</x:v>
      </x:c>
      <x:c r="F86" s="13" t="n">
        <x:v>1</x:v>
      </x:c>
      <x:c r="G86" s="13" t="n">
        <x:v>1</x:v>
      </x:c>
      <x:c r="H86" s="13" t="n">
        <x:v>1</x:v>
      </x:c>
      <x:c r="I86" s="13" t="str">
        <x:v>0208100000</x:v>
      </x:c>
      <x:c r="J86" s="13" t="str">
        <x:v>0208100100</x:v>
      </x:c>
      <x:c r="K86" s="13" t="str">
        <x:v>0208100000</x:v>
      </x:c>
      <x:c r="L86" s="13" t="str">
        <x:v>UNRESOLVED</x:v>
      </x:c>
      <x:c r="M86" s="13" t="str"/>
      <x:c r="N86" s="13" t="str">
        <x:v>NO / DEFAULT</x:v>
      </x:c>
      <x:c r="O86" s="13" t="str"/>
      <x:c r="P86" s="13" t="str">
        <x:v>NO / DEFAULT</x:v>
      </x:c>
      <x:c r="Q86" s="13" t="str"/>
      <x:c r="R86" s="13" t="str">
        <x:v>INDEPENDENT / DEFAULT</x:v>
      </x:c>
      <x:c r="S86" s="13" t="str"/>
      <x:c r="T86" s="13" t="str">
        <x:v>UNRESOLVED</x:v>
      </x:c>
      <x:c r="U86" s="13" t="str"/>
      <x:c r="V86" s="13" t="str"/>
      <x:c r="W86" s="13" t="str"/>
      <x:c r="X86" s="13" t="str">
        <x:f>IF(L86&lt;&gt;"COVERED","HELD — COVERAGE",IF(N86="YES — SENSITIVE","C ACTIONABLE","CHAPTER 5 DEFAULT"))</x:f>
        <x:v>HELD — COVERAGE</x:v>
      </x:c>
      <x:c r="Y86" s="13" t="str">
        <x:f>IF(L86&lt;&gt;"COVERED","HELD — COVERAGE",IF(P86="YES — MANAGED ACCESS","D ACTIONABLE","NO D FIELD"))</x:f>
        <x:v>HELD — COVERAGE</x:v>
      </x:c>
      <x:c r="Z86" s="13" t="str">
        <x:f>IF(L86&lt;&gt;"COVERED","HELD — COVERAGE",IF(OR(R86="PAIRED SYNCHRONIZED",R86="TRILATERAL SYNCHRONIZED"),"E ACTIONABLE","INDEPENDENT"))</x:f>
        <x:v>HELD — COVERAGE</x:v>
      </x:c>
      <x:c r="AA86" s="13" t="str">
        <x:f>IF(L86&lt;&gt;"COVERED","HELD — COVERAGE","WAIT FOR UPSTREAM COMPLETION")</x:f>
        <x:v>HELD — COVERAGE</x:v>
      </x:c>
      <x:c r="AB86" s="13" t="str">
        <x:f>IF(L86&lt;&gt;"COVERED","HELD — COVERAGE",IF(T86="UNRESOLVED","G DECISION REQUIRED",IF(T86="NOT APPLICABLE","G N/A","G ACTIONABLE")))</x:f>
        <x:v>HELD — COVERAGE</x:v>
      </x:c>
      <x:c r="AC86" s="13" t="str">
        <x:f>IF(L86="UNRESOLVED","COVERAGE FIRST",IF(OR(L86="EXCLUDED",L86="OUT OF SCOPE"),"CLOSED BY COVERAGE",IF(AND(L86="COVERED",T86&lt;&gt;"UNRESOLVED"),"PARTIALLY ADOPTED","DECISIONS REMAIN")))</x:f>
        <x:v>COVERAGE FIRST</x:v>
      </x:c>
    </x:row>
    <x:row r="87">
      <x:c r="A87" s="13" t="str">
        <x:v>NAAFTC-HS6-020830</x:v>
      </x:c>
      <x:c r="B87" s="13" t="str">
        <x:v>020830</x:v>
      </x:c>
      <x:c r="C87" s="13" t="str">
        <x:v>02</x:v>
      </x:c>
      <x:c r="D87" s="13" t="str">
        <x:v>TRILATERAL_1_TO_1_TO_1</x:v>
      </x:c>
      <x:c r="E87" s="13" t="str">
        <x:v>Pending</x:v>
      </x:c>
      <x:c r="F87" s="13" t="n">
        <x:v>1</x:v>
      </x:c>
      <x:c r="G87" s="13" t="n">
        <x:v>1</x:v>
      </x:c>
      <x:c r="H87" s="13" t="n">
        <x:v>1</x:v>
      </x:c>
      <x:c r="I87" s="13" t="str">
        <x:v>0208300000</x:v>
      </x:c>
      <x:c r="J87" s="13" t="str">
        <x:v>0208300100</x:v>
      </x:c>
      <x:c r="K87" s="13" t="str">
        <x:v>0208300000</x:v>
      </x:c>
      <x:c r="L87" s="13" t="str">
        <x:v>UNRESOLVED</x:v>
      </x:c>
      <x:c r="M87" s="13" t="str"/>
      <x:c r="N87" s="13" t="str">
        <x:v>NO / DEFAULT</x:v>
      </x:c>
      <x:c r="O87" s="13" t="str"/>
      <x:c r="P87" s="13" t="str">
        <x:v>NO / DEFAULT</x:v>
      </x:c>
      <x:c r="Q87" s="13" t="str"/>
      <x:c r="R87" s="13" t="str">
        <x:v>INDEPENDENT / DEFAULT</x:v>
      </x:c>
      <x:c r="S87" s="13" t="str"/>
      <x:c r="T87" s="13" t="str">
        <x:v>UNRESOLVED</x:v>
      </x:c>
      <x:c r="U87" s="13" t="str"/>
      <x:c r="V87" s="13" t="str"/>
      <x:c r="W87" s="13" t="str"/>
      <x:c r="X87" s="13" t="str">
        <x:f>IF(L87&lt;&gt;"COVERED","HELD — COVERAGE",IF(N87="YES — SENSITIVE","C ACTIONABLE","CHAPTER 5 DEFAULT"))</x:f>
        <x:v>HELD — COVERAGE</x:v>
      </x:c>
      <x:c r="Y87" s="13" t="str">
        <x:f>IF(L87&lt;&gt;"COVERED","HELD — COVERAGE",IF(P87="YES — MANAGED ACCESS","D ACTIONABLE","NO D FIELD"))</x:f>
        <x:v>HELD — COVERAGE</x:v>
      </x:c>
      <x:c r="Z87" s="13" t="str">
        <x:f>IF(L87&lt;&gt;"COVERED","HELD — COVERAGE",IF(OR(R87="PAIRED SYNCHRONIZED",R87="TRILATERAL SYNCHRONIZED"),"E ACTIONABLE","INDEPENDENT"))</x:f>
        <x:v>HELD — COVERAGE</x:v>
      </x:c>
      <x:c r="AA87" s="13" t="str">
        <x:f>IF(L87&lt;&gt;"COVERED","HELD — COVERAGE","WAIT FOR UPSTREAM COMPLETION")</x:f>
        <x:v>HELD — COVERAGE</x:v>
      </x:c>
      <x:c r="AB87" s="13" t="str">
        <x:f>IF(L87&lt;&gt;"COVERED","HELD — COVERAGE",IF(T87="UNRESOLVED","G DECISION REQUIRED",IF(T87="NOT APPLICABLE","G N/A","G ACTIONABLE")))</x:f>
        <x:v>HELD — COVERAGE</x:v>
      </x:c>
      <x:c r="AC87" s="13" t="str">
        <x:f>IF(L87="UNRESOLVED","COVERAGE FIRST",IF(OR(L87="EXCLUDED",L87="OUT OF SCOPE"),"CLOSED BY COVERAGE",IF(AND(L87="COVERED",T87&lt;&gt;"UNRESOLVED"),"PARTIALLY ADOPTED","DECISIONS REMAIN")))</x:f>
        <x:v>COVERAGE FIRST</x:v>
      </x:c>
    </x:row>
    <x:row r="88">
      <x:c r="A88" s="13" t="str">
        <x:v>NAAFTC-HS6-020840</x:v>
      </x:c>
      <x:c r="B88" s="13" t="str">
        <x:v>020840</x:v>
      </x:c>
      <x:c r="C88" s="13" t="str">
        <x:v>02</x:v>
      </x:c>
      <x:c r="D88" s="13" t="str">
        <x:v>TRILATERAL_1_TO_1_TO_1</x:v>
      </x:c>
      <x:c r="E88" s="13" t="str">
        <x:v>Pending</x:v>
      </x:c>
      <x:c r="F88" s="13" t="n">
        <x:v>1</x:v>
      </x:c>
      <x:c r="G88" s="13" t="n">
        <x:v>1</x:v>
      </x:c>
      <x:c r="H88" s="13" t="n">
        <x:v>1</x:v>
      </x:c>
      <x:c r="I88" s="13" t="str">
        <x:v>0208400100</x:v>
      </x:c>
      <x:c r="J88" s="13" t="str">
        <x:v>0208400100</x:v>
      </x:c>
      <x:c r="K88" s="13" t="str">
        <x:v>0208401000</x:v>
      </x:c>
      <x:c r="L88" s="13" t="str">
        <x:v>UNRESOLVED</x:v>
      </x:c>
      <x:c r="M88" s="13" t="str"/>
      <x:c r="N88" s="13" t="str">
        <x:v>NO / DEFAULT</x:v>
      </x:c>
      <x:c r="O88" s="13" t="str"/>
      <x:c r="P88" s="13" t="str">
        <x:v>NO / DEFAULT</x:v>
      </x:c>
      <x:c r="Q88" s="13" t="str"/>
      <x:c r="R88" s="13" t="str">
        <x:v>INDEPENDENT / DEFAULT</x:v>
      </x:c>
      <x:c r="S88" s="13" t="str"/>
      <x:c r="T88" s="13" t="str">
        <x:v>UNRESOLVED</x:v>
      </x:c>
      <x:c r="U88" s="13" t="str"/>
      <x:c r="V88" s="13" t="str"/>
      <x:c r="W88" s="13" t="str"/>
      <x:c r="X88" s="13" t="str">
        <x:f>IF(L88&lt;&gt;"COVERED","HELD — COVERAGE",IF(N88="YES — SENSITIVE","C ACTIONABLE","CHAPTER 5 DEFAULT"))</x:f>
        <x:v>HELD — COVERAGE</x:v>
      </x:c>
      <x:c r="Y88" s="13" t="str">
        <x:f>IF(L88&lt;&gt;"COVERED","HELD — COVERAGE",IF(P88="YES — MANAGED ACCESS","D ACTIONABLE","NO D FIELD"))</x:f>
        <x:v>HELD — COVERAGE</x:v>
      </x:c>
      <x:c r="Z88" s="13" t="str">
        <x:f>IF(L88&lt;&gt;"COVERED","HELD — COVERAGE",IF(OR(R88="PAIRED SYNCHRONIZED",R88="TRILATERAL SYNCHRONIZED"),"E ACTIONABLE","INDEPENDENT"))</x:f>
        <x:v>HELD — COVERAGE</x:v>
      </x:c>
      <x:c r="AA88" s="13" t="str">
        <x:f>IF(L88&lt;&gt;"COVERED","HELD — COVERAGE","WAIT FOR UPSTREAM COMPLETION")</x:f>
        <x:v>HELD — COVERAGE</x:v>
      </x:c>
      <x:c r="AB88" s="13" t="str">
        <x:f>IF(L88&lt;&gt;"COVERED","HELD — COVERAGE",IF(T88="UNRESOLVED","G DECISION REQUIRED",IF(T88="NOT APPLICABLE","G N/A","G ACTIONABLE")))</x:f>
        <x:v>HELD — COVERAGE</x:v>
      </x:c>
      <x:c r="AC88" s="13" t="str">
        <x:f>IF(L88="UNRESOLVED","COVERAGE FIRST",IF(OR(L88="EXCLUDED",L88="OUT OF SCOPE"),"CLOSED BY COVERAGE",IF(AND(L88="COVERED",T88&lt;&gt;"UNRESOLVED"),"PARTIALLY ADOPTED","DECISIONS REMAIN")))</x:f>
        <x:v>COVERAGE FIRST</x:v>
      </x:c>
    </x:row>
    <x:row r="89">
      <x:c r="A89" s="13" t="str">
        <x:v>NAAFTC-HS6-020850</x:v>
      </x:c>
      <x:c r="B89" s="13" t="str">
        <x:v>020850</x:v>
      </x:c>
      <x:c r="C89" s="13" t="str">
        <x:v>02</x:v>
      </x:c>
      <x:c r="D89" s="13" t="str">
        <x:v>TRILATERAL_1_TO_1_TO_1</x:v>
      </x:c>
      <x:c r="E89" s="13" t="str">
        <x:v>Pending</x:v>
      </x:c>
      <x:c r="F89" s="13" t="n">
        <x:v>1</x:v>
      </x:c>
      <x:c r="G89" s="13" t="n">
        <x:v>1</x:v>
      </x:c>
      <x:c r="H89" s="13" t="n">
        <x:v>1</x:v>
      </x:c>
      <x:c r="I89" s="13" t="str">
        <x:v>0208500000</x:v>
      </x:c>
      <x:c r="J89" s="13" t="str">
        <x:v>0208500100</x:v>
      </x:c>
      <x:c r="K89" s="13" t="str">
        <x:v>0208500000</x:v>
      </x:c>
      <x:c r="L89" s="13" t="str">
        <x:v>UNRESOLVED</x:v>
      </x:c>
      <x:c r="M89" s="13" t="str"/>
      <x:c r="N89" s="13" t="str">
        <x:v>NO / DEFAULT</x:v>
      </x:c>
      <x:c r="O89" s="13" t="str"/>
      <x:c r="P89" s="13" t="str">
        <x:v>NO / DEFAULT</x:v>
      </x:c>
      <x:c r="Q89" s="13" t="str"/>
      <x:c r="R89" s="13" t="str">
        <x:v>INDEPENDENT / DEFAULT</x:v>
      </x:c>
      <x:c r="S89" s="13" t="str"/>
      <x:c r="T89" s="13" t="str">
        <x:v>UNRESOLVED</x:v>
      </x:c>
      <x:c r="U89" s="13" t="str"/>
      <x:c r="V89" s="13" t="str"/>
      <x:c r="W89" s="13" t="str"/>
      <x:c r="X89" s="13" t="str">
        <x:f>IF(L89&lt;&gt;"COVERED","HELD — COVERAGE",IF(N89="YES — SENSITIVE","C ACTIONABLE","CHAPTER 5 DEFAULT"))</x:f>
        <x:v>HELD — COVERAGE</x:v>
      </x:c>
      <x:c r="Y89" s="13" t="str">
        <x:f>IF(L89&lt;&gt;"COVERED","HELD — COVERAGE",IF(P89="YES — MANAGED ACCESS","D ACTIONABLE","NO D FIELD"))</x:f>
        <x:v>HELD — COVERAGE</x:v>
      </x:c>
      <x:c r="Z89" s="13" t="str">
        <x:f>IF(L89&lt;&gt;"COVERED","HELD — COVERAGE",IF(OR(R89="PAIRED SYNCHRONIZED",R89="TRILATERAL SYNCHRONIZED"),"E ACTIONABLE","INDEPENDENT"))</x:f>
        <x:v>HELD — COVERAGE</x:v>
      </x:c>
      <x:c r="AA89" s="13" t="str">
        <x:f>IF(L89&lt;&gt;"COVERED","HELD — COVERAGE","WAIT FOR UPSTREAM COMPLETION")</x:f>
        <x:v>HELD — COVERAGE</x:v>
      </x:c>
      <x:c r="AB89" s="13" t="str">
        <x:f>IF(L89&lt;&gt;"COVERED","HELD — COVERAGE",IF(T89="UNRESOLVED","G DECISION REQUIRED",IF(T89="NOT APPLICABLE","G N/A","G ACTIONABLE")))</x:f>
        <x:v>HELD — COVERAGE</x:v>
      </x:c>
      <x:c r="AC89" s="13" t="str">
        <x:f>IF(L89="UNRESOLVED","COVERAGE FIRST",IF(OR(L89="EXCLUDED",L89="OUT OF SCOPE"),"CLOSED BY COVERAGE",IF(AND(L89="COVERED",T89&lt;&gt;"UNRESOLVED"),"PARTIALLY ADOPTED","DECISIONS REMAIN")))</x:f>
        <x:v>COVERAGE FIRST</x:v>
      </x:c>
    </x:row>
    <x:row r="90">
      <x:c r="A90" s="13" t="str">
        <x:v>NAAFTC-HS6-020860</x:v>
      </x:c>
      <x:c r="B90" s="13" t="str">
        <x:v>020860</x:v>
      </x:c>
      <x:c r="C90" s="13" t="str">
        <x:v>02</x:v>
      </x:c>
      <x:c r="D90" s="13" t="str">
        <x:v>TRILATERAL_1_TO_1_TO_1</x:v>
      </x:c>
      <x:c r="E90" s="13" t="str">
        <x:v>Pending</x:v>
      </x:c>
      <x:c r="F90" s="13" t="n">
        <x:v>1</x:v>
      </x:c>
      <x:c r="G90" s="13" t="n">
        <x:v>1</x:v>
      </x:c>
      <x:c r="H90" s="13" t="n">
        <x:v>1</x:v>
      </x:c>
      <x:c r="I90" s="13" t="str">
        <x:v>0208600000</x:v>
      </x:c>
      <x:c r="J90" s="13" t="str">
        <x:v>0208600100</x:v>
      </x:c>
      <x:c r="K90" s="13" t="str">
        <x:v>0208600000</x:v>
      </x:c>
      <x:c r="L90" s="13" t="str">
        <x:v>UNRESOLVED</x:v>
      </x:c>
      <x:c r="M90" s="13" t="str"/>
      <x:c r="N90" s="13" t="str">
        <x:v>NO / DEFAULT</x:v>
      </x:c>
      <x:c r="O90" s="13" t="str"/>
      <x:c r="P90" s="13" t="str">
        <x:v>NO / DEFAULT</x:v>
      </x:c>
      <x:c r="Q90" s="13" t="str"/>
      <x:c r="R90" s="13" t="str">
        <x:v>INDEPENDENT / DEFAULT</x:v>
      </x:c>
      <x:c r="S90" s="13" t="str"/>
      <x:c r="T90" s="13" t="str">
        <x:v>UNRESOLVED</x:v>
      </x:c>
      <x:c r="U90" s="13" t="str"/>
      <x:c r="V90" s="13" t="str"/>
      <x:c r="W90" s="13" t="str"/>
      <x:c r="X90" s="13" t="str">
        <x:f>IF(L90&lt;&gt;"COVERED","HELD — COVERAGE",IF(N90="YES — SENSITIVE","C ACTIONABLE","CHAPTER 5 DEFAULT"))</x:f>
        <x:v>HELD — COVERAGE</x:v>
      </x:c>
      <x:c r="Y90" s="13" t="str">
        <x:f>IF(L90&lt;&gt;"COVERED","HELD — COVERAGE",IF(P90="YES — MANAGED ACCESS","D ACTIONABLE","NO D FIELD"))</x:f>
        <x:v>HELD — COVERAGE</x:v>
      </x:c>
      <x:c r="Z90" s="13" t="str">
        <x:f>IF(L90&lt;&gt;"COVERED","HELD — COVERAGE",IF(OR(R90="PAIRED SYNCHRONIZED",R90="TRILATERAL SYNCHRONIZED"),"E ACTIONABLE","INDEPENDENT"))</x:f>
        <x:v>HELD — COVERAGE</x:v>
      </x:c>
      <x:c r="AA90" s="13" t="str">
        <x:f>IF(L90&lt;&gt;"COVERED","HELD — COVERAGE","WAIT FOR UPSTREAM COMPLETION")</x:f>
        <x:v>HELD — COVERAGE</x:v>
      </x:c>
      <x:c r="AB90" s="13" t="str">
        <x:f>IF(L90&lt;&gt;"COVERED","HELD — COVERAGE",IF(T90="UNRESOLVED","G DECISION REQUIRED",IF(T90="NOT APPLICABLE","G N/A","G ACTIONABLE")))</x:f>
        <x:v>HELD — COVERAGE</x:v>
      </x:c>
      <x:c r="AC90" s="13" t="str">
        <x:f>IF(L90="UNRESOLVED","COVERAGE FIRST",IF(OR(L90="EXCLUDED",L90="OUT OF SCOPE"),"CLOSED BY COVERAGE",IF(AND(L90="COVERED",T90&lt;&gt;"UNRESOLVED"),"PARTIALLY ADOPTED","DECISIONS REMAIN")))</x:f>
        <x:v>COVERAGE FIRST</x:v>
      </x:c>
    </x:row>
    <x:row r="91">
      <x:c r="A91" s="13" t="str">
        <x:v>NAAFTC-HS6-020890</x:v>
      </x:c>
      <x:c r="B91" s="13" t="str">
        <x:v>020890</x:v>
      </x:c>
      <x:c r="C91" s="13" t="str">
        <x:v>02</x:v>
      </x:c>
      <x:c r="D91" s="13" t="str">
        <x:v>TRILATERAL_SPLIT_MERGE</x:v>
      </x:c>
      <x:c r="E91" s="13" t="str">
        <x:v>Pending</x:v>
      </x:c>
      <x:c r="F91" s="13" t="n">
        <x:v>4</x:v>
      </x:c>
      <x:c r="G91" s="13" t="n">
        <x:v>1</x:v>
      </x:c>
      <x:c r="H91" s="13" t="n">
        <x:v>1</x:v>
      </x:c>
      <x:c r="I91" s="13" t="str">
        <x:v>0208902000; 0208902500; 0208903000; 0208909100</x:v>
      </x:c>
      <x:c r="J91" s="13" t="str">
        <x:v>0208909900</x:v>
      </x:c>
      <x:c r="K91" s="13" t="str">
        <x:v>02089000</x:v>
      </x:c>
      <x:c r="L91" s="13" t="str">
        <x:v>UNRESOLVED</x:v>
      </x:c>
      <x:c r="M91" s="13" t="str"/>
      <x:c r="N91" s="13" t="str">
        <x:v>NO / DEFAULT</x:v>
      </x:c>
      <x:c r="O91" s="13" t="str"/>
      <x:c r="P91" s="13" t="str">
        <x:v>NO / DEFAULT</x:v>
      </x:c>
      <x:c r="Q91" s="13" t="str"/>
      <x:c r="R91" s="13" t="str">
        <x:v>INDEPENDENT / DEFAULT</x:v>
      </x:c>
      <x:c r="S91" s="13" t="str"/>
      <x:c r="T91" s="13" t="str">
        <x:v>UNRESOLVED</x:v>
      </x:c>
      <x:c r="U91" s="13" t="str"/>
      <x:c r="V91" s="13" t="str"/>
      <x:c r="W91" s="13" t="str"/>
      <x:c r="X91" s="13" t="str">
        <x:f>IF(L91&lt;&gt;"COVERED","HELD — COVERAGE",IF(N91="YES — SENSITIVE","C ACTIONABLE","CHAPTER 5 DEFAULT"))</x:f>
        <x:v>HELD — COVERAGE</x:v>
      </x:c>
      <x:c r="Y91" s="13" t="str">
        <x:f>IF(L91&lt;&gt;"COVERED","HELD — COVERAGE",IF(P91="YES — MANAGED ACCESS","D ACTIONABLE","NO D FIELD"))</x:f>
        <x:v>HELD — COVERAGE</x:v>
      </x:c>
      <x:c r="Z91" s="13" t="str">
        <x:f>IF(L91&lt;&gt;"COVERED","HELD — COVERAGE",IF(OR(R91="PAIRED SYNCHRONIZED",R91="TRILATERAL SYNCHRONIZED"),"E ACTIONABLE","INDEPENDENT"))</x:f>
        <x:v>HELD — COVERAGE</x:v>
      </x:c>
      <x:c r="AA91" s="13" t="str">
        <x:f>IF(L91&lt;&gt;"COVERED","HELD — COVERAGE","WAIT FOR UPSTREAM COMPLETION")</x:f>
        <x:v>HELD — COVERAGE</x:v>
      </x:c>
      <x:c r="AB91" s="13" t="str">
        <x:f>IF(L91&lt;&gt;"COVERED","HELD — COVERAGE",IF(T91="UNRESOLVED","G DECISION REQUIRED",IF(T91="NOT APPLICABLE","G N/A","G ACTIONABLE")))</x:f>
        <x:v>HELD — COVERAGE</x:v>
      </x:c>
      <x:c r="AC91" s="13" t="str">
        <x:f>IF(L91="UNRESOLVED","COVERAGE FIRST",IF(OR(L91="EXCLUDED",L91="OUT OF SCOPE"),"CLOSED BY COVERAGE",IF(AND(L91="COVERED",T91&lt;&gt;"UNRESOLVED"),"PARTIALLY ADOPTED","DECISIONS REMAIN")))</x:f>
        <x:v>COVERAGE FIRST</x:v>
      </x:c>
    </x:row>
    <x:row r="92">
      <x:c r="A92" s="13" t="str">
        <x:v>NAAFTC-HS6-020910</x:v>
      </x:c>
      <x:c r="B92" s="13" t="str">
        <x:v>020910</x:v>
      </x:c>
      <x:c r="C92" s="13" t="str">
        <x:v>02</x:v>
      </x:c>
      <x:c r="D92" s="13" t="str">
        <x:v>TRILATERAL_1_TO_1_TO_1</x:v>
      </x:c>
      <x:c r="E92" s="13" t="str">
        <x:v>Pending</x:v>
      </x:c>
      <x:c r="F92" s="13" t="n">
        <x:v>1</x:v>
      </x:c>
      <x:c r="G92" s="13" t="n">
        <x:v>1</x:v>
      </x:c>
      <x:c r="H92" s="13" t="n">
        <x:v>1</x:v>
      </x:c>
      <x:c r="I92" s="13" t="str">
        <x:v>0209100000</x:v>
      </x:c>
      <x:c r="J92" s="13" t="str">
        <x:v>0209100100</x:v>
      </x:c>
      <x:c r="K92" s="13" t="str">
        <x:v>0209100000</x:v>
      </x:c>
      <x:c r="L92" s="13" t="str">
        <x:v>UNRESOLVED</x:v>
      </x:c>
      <x:c r="M92" s="13" t="str"/>
      <x:c r="N92" s="13" t="str">
        <x:v>NO / DEFAULT</x:v>
      </x:c>
      <x:c r="O92" s="13" t="str"/>
      <x:c r="P92" s="13" t="str">
        <x:v>NO / DEFAULT</x:v>
      </x:c>
      <x:c r="Q92" s="13" t="str"/>
      <x:c r="R92" s="13" t="str">
        <x:v>INDEPENDENT / DEFAULT</x:v>
      </x:c>
      <x:c r="S92" s="13" t="str"/>
      <x:c r="T92" s="13" t="str">
        <x:v>UNRESOLVED</x:v>
      </x:c>
      <x:c r="U92" s="13" t="str"/>
      <x:c r="V92" s="13" t="str"/>
      <x:c r="W92" s="13" t="str"/>
      <x:c r="X92" s="13" t="str">
        <x:f>IF(L92&lt;&gt;"COVERED","HELD — COVERAGE",IF(N92="YES — SENSITIVE","C ACTIONABLE","CHAPTER 5 DEFAULT"))</x:f>
        <x:v>HELD — COVERAGE</x:v>
      </x:c>
      <x:c r="Y92" s="13" t="str">
        <x:f>IF(L92&lt;&gt;"COVERED","HELD — COVERAGE",IF(P92="YES — MANAGED ACCESS","D ACTIONABLE","NO D FIELD"))</x:f>
        <x:v>HELD — COVERAGE</x:v>
      </x:c>
      <x:c r="Z92" s="13" t="str">
        <x:f>IF(L92&lt;&gt;"COVERED","HELD — COVERAGE",IF(OR(R92="PAIRED SYNCHRONIZED",R92="TRILATERAL SYNCHRONIZED"),"E ACTIONABLE","INDEPENDENT"))</x:f>
        <x:v>HELD — COVERAGE</x:v>
      </x:c>
      <x:c r="AA92" s="13" t="str">
        <x:f>IF(L92&lt;&gt;"COVERED","HELD — COVERAGE","WAIT FOR UPSTREAM COMPLETION")</x:f>
        <x:v>HELD — COVERAGE</x:v>
      </x:c>
      <x:c r="AB92" s="13" t="str">
        <x:f>IF(L92&lt;&gt;"COVERED","HELD — COVERAGE",IF(T92="UNRESOLVED","G DECISION REQUIRED",IF(T92="NOT APPLICABLE","G N/A","G ACTIONABLE")))</x:f>
        <x:v>HELD — COVERAGE</x:v>
      </x:c>
      <x:c r="AC92" s="13" t="str">
        <x:f>IF(L92="UNRESOLVED","COVERAGE FIRST",IF(OR(L92="EXCLUDED",L92="OUT OF SCOPE"),"CLOSED BY COVERAGE",IF(AND(L92="COVERED",T92&lt;&gt;"UNRESOLVED"),"PARTIALLY ADOPTED","DECISIONS REMAIN")))</x:f>
        <x:v>COVERAGE FIRST</x:v>
      </x:c>
    </x:row>
    <x:row r="93">
      <x:c r="A93" s="13" t="str">
        <x:v>NAAFTC-HS6-020990</x:v>
      </x:c>
      <x:c r="B93" s="13" t="str">
        <x:v>020990</x:v>
      </x:c>
      <x:c r="C93" s="13" t="str">
        <x:v>02</x:v>
      </x:c>
      <x:c r="D93" s="13" t="str">
        <x:v>TRILATERAL_SPLIT_MERGE</x:v>
      </x:c>
      <x:c r="E93" s="13" t="str">
        <x:v>Pending</x:v>
      </x:c>
      <x:c r="F93" s="13" t="n">
        <x:v>1</x:v>
      </x:c>
      <x:c r="G93" s="13" t="n">
        <x:v>2</x:v>
      </x:c>
      <x:c r="H93" s="13" t="n">
        <x:v>3</x:v>
      </x:c>
      <x:c r="I93" s="13" t="str">
        <x:v>0209900000</x:v>
      </x:c>
      <x:c r="J93" s="13" t="str">
        <x:v>0209900100; 0209909900</x:v>
      </x:c>
      <x:c r="K93" s="13" t="str">
        <x:v>0209903000; 0209904000; 0209909000</x:v>
      </x:c>
      <x:c r="L93" s="13" t="str">
        <x:v>UNRESOLVED</x:v>
      </x:c>
      <x:c r="M93" s="13" t="str"/>
      <x:c r="N93" s="13" t="str">
        <x:v>NO / DEFAULT</x:v>
      </x:c>
      <x:c r="O93" s="13" t="str"/>
      <x:c r="P93" s="13" t="str">
        <x:v>NO / DEFAULT</x:v>
      </x:c>
      <x:c r="Q93" s="13" t="str"/>
      <x:c r="R93" s="13" t="str">
        <x:v>INDEPENDENT / DEFAULT</x:v>
      </x:c>
      <x:c r="S93" s="13" t="str"/>
      <x:c r="T93" s="13" t="str">
        <x:v>UNRESOLVED</x:v>
      </x:c>
      <x:c r="U93" s="13" t="str"/>
      <x:c r="V93" s="13" t="str"/>
      <x:c r="W93" s="13" t="str"/>
      <x:c r="X93" s="13" t="str">
        <x:f>IF(L93&lt;&gt;"COVERED","HELD — COVERAGE",IF(N93="YES — SENSITIVE","C ACTIONABLE","CHAPTER 5 DEFAULT"))</x:f>
        <x:v>HELD — COVERAGE</x:v>
      </x:c>
      <x:c r="Y93" s="13" t="str">
        <x:f>IF(L93&lt;&gt;"COVERED","HELD — COVERAGE",IF(P93="YES — MANAGED ACCESS","D ACTIONABLE","NO D FIELD"))</x:f>
        <x:v>HELD — COVERAGE</x:v>
      </x:c>
      <x:c r="Z93" s="13" t="str">
        <x:f>IF(L93&lt;&gt;"COVERED","HELD — COVERAGE",IF(OR(R93="PAIRED SYNCHRONIZED",R93="TRILATERAL SYNCHRONIZED"),"E ACTIONABLE","INDEPENDENT"))</x:f>
        <x:v>HELD — COVERAGE</x:v>
      </x:c>
      <x:c r="AA93" s="13" t="str">
        <x:f>IF(L93&lt;&gt;"COVERED","HELD — COVERAGE","WAIT FOR UPSTREAM COMPLETION")</x:f>
        <x:v>HELD — COVERAGE</x:v>
      </x:c>
      <x:c r="AB93" s="13" t="str">
        <x:f>IF(L93&lt;&gt;"COVERED","HELD — COVERAGE",IF(T93="UNRESOLVED","G DECISION REQUIRED",IF(T93="NOT APPLICABLE","G N/A","G ACTIONABLE")))</x:f>
        <x:v>HELD — COVERAGE</x:v>
      </x:c>
      <x:c r="AC93" s="13" t="str">
        <x:f>IF(L93="UNRESOLVED","COVERAGE FIRST",IF(OR(L93="EXCLUDED",L93="OUT OF SCOPE"),"CLOSED BY COVERAGE",IF(AND(L93="COVERED",T93&lt;&gt;"UNRESOLVED"),"PARTIALLY ADOPTED","DECISIONS REMAIN")))</x:f>
        <x:v>COVERAGE FIRST</x:v>
      </x:c>
    </x:row>
    <x:row r="94">
      <x:c r="A94" s="13" t="str">
        <x:v>NAAFTC-HS6-021011</x:v>
      </x:c>
      <x:c r="B94" s="13" t="str">
        <x:v>021011</x:v>
      </x:c>
      <x:c r="C94" s="13" t="str">
        <x:v>02</x:v>
      </x:c>
      <x:c r="D94" s="13" t="str">
        <x:v>TRILATERAL_SPLIT_MERGE</x:v>
      </x:c>
      <x:c r="E94" s="13" t="str">
        <x:v>Pending</x:v>
      </x:c>
      <x:c r="F94" s="13" t="n">
        <x:v>2</x:v>
      </x:c>
      <x:c r="G94" s="13" t="n">
        <x:v>1</x:v>
      </x:c>
      <x:c r="H94" s="13" t="n">
        <x:v>1</x:v>
      </x:c>
      <x:c r="I94" s="13" t="str">
        <x:v>0210110010; 0210110020</x:v>
      </x:c>
      <x:c r="J94" s="13" t="str">
        <x:v>0210110100</x:v>
      </x:c>
      <x:c r="K94" s="13" t="str">
        <x:v>0210110000</x:v>
      </x:c>
      <x:c r="L94" s="13" t="str">
        <x:v>UNRESOLVED</x:v>
      </x:c>
      <x:c r="M94" s="13" t="str"/>
      <x:c r="N94" s="13" t="str">
        <x:v>NO / DEFAULT</x:v>
      </x:c>
      <x:c r="O94" s="13" t="str"/>
      <x:c r="P94" s="13" t="str">
        <x:v>NO / DEFAULT</x:v>
      </x:c>
      <x:c r="Q94" s="13" t="str"/>
      <x:c r="R94" s="13" t="str">
        <x:v>INDEPENDENT / DEFAULT</x:v>
      </x:c>
      <x:c r="S94" s="13" t="str"/>
      <x:c r="T94" s="13" t="str">
        <x:v>UNRESOLVED</x:v>
      </x:c>
      <x:c r="U94" s="13" t="str"/>
      <x:c r="V94" s="13" t="str"/>
      <x:c r="W94" s="13" t="str"/>
      <x:c r="X94" s="13" t="str">
        <x:f>IF(L94&lt;&gt;"COVERED","HELD — COVERAGE",IF(N94="YES — SENSITIVE","C ACTIONABLE","CHAPTER 5 DEFAULT"))</x:f>
        <x:v>HELD — COVERAGE</x:v>
      </x:c>
      <x:c r="Y94" s="13" t="str">
        <x:f>IF(L94&lt;&gt;"COVERED","HELD — COVERAGE",IF(P94="YES — MANAGED ACCESS","D ACTIONABLE","NO D FIELD"))</x:f>
        <x:v>HELD — COVERAGE</x:v>
      </x:c>
      <x:c r="Z94" s="13" t="str">
        <x:f>IF(L94&lt;&gt;"COVERED","HELD — COVERAGE",IF(OR(R94="PAIRED SYNCHRONIZED",R94="TRILATERAL SYNCHRONIZED"),"E ACTIONABLE","INDEPENDENT"))</x:f>
        <x:v>HELD — COVERAGE</x:v>
      </x:c>
      <x:c r="AA94" s="13" t="str">
        <x:f>IF(L94&lt;&gt;"COVERED","HELD — COVERAGE","WAIT FOR UPSTREAM COMPLETION")</x:f>
        <x:v>HELD — COVERAGE</x:v>
      </x:c>
      <x:c r="AB94" s="13" t="str">
        <x:f>IF(L94&lt;&gt;"COVERED","HELD — COVERAGE",IF(T94="UNRESOLVED","G DECISION REQUIRED",IF(T94="NOT APPLICABLE","G N/A","G ACTIONABLE")))</x:f>
        <x:v>HELD — COVERAGE</x:v>
      </x:c>
      <x:c r="AC94" s="13" t="str">
        <x:f>IF(L94="UNRESOLVED","COVERAGE FIRST",IF(OR(L94="EXCLUDED",L94="OUT OF SCOPE"),"CLOSED BY COVERAGE",IF(AND(L94="COVERED",T94&lt;&gt;"UNRESOLVED"),"PARTIALLY ADOPTED","DECISIONS REMAIN")))</x:f>
        <x:v>COVERAGE FIRST</x:v>
      </x:c>
    </x:row>
    <x:row r="95">
      <x:c r="A95" s="13" t="str">
        <x:v>NAAFTC-HS6-021012</x:v>
      </x:c>
      <x:c r="B95" s="13" t="str">
        <x:v>021012</x:v>
      </x:c>
      <x:c r="C95" s="13" t="str">
        <x:v>02</x:v>
      </x:c>
      <x:c r="D95" s="13" t="str">
        <x:v>TRILATERAL_SPLIT_MERGE</x:v>
      </x:c>
      <x:c r="E95" s="13" t="str">
        <x:v>Pending</x:v>
      </x:c>
      <x:c r="F95" s="13" t="n">
        <x:v>2</x:v>
      </x:c>
      <x:c r="G95" s="13" t="n">
        <x:v>1</x:v>
      </x:c>
      <x:c r="H95" s="13" t="n">
        <x:v>1</x:v>
      </x:c>
      <x:c r="I95" s="13" t="str">
        <x:v>0210120020; 0210120040</x:v>
      </x:c>
      <x:c r="J95" s="13" t="str">
        <x:v>0210120100</x:v>
      </x:c>
      <x:c r="K95" s="13" t="str">
        <x:v>0210120000</x:v>
      </x:c>
      <x:c r="L95" s="13" t="str">
        <x:v>UNRESOLVED</x:v>
      </x:c>
      <x:c r="M95" s="13" t="str"/>
      <x:c r="N95" s="13" t="str">
        <x:v>NO / DEFAULT</x:v>
      </x:c>
      <x:c r="O95" s="13" t="str"/>
      <x:c r="P95" s="13" t="str">
        <x:v>NO / DEFAULT</x:v>
      </x:c>
      <x:c r="Q95" s="13" t="str"/>
      <x:c r="R95" s="13" t="str">
        <x:v>INDEPENDENT / DEFAULT</x:v>
      </x:c>
      <x:c r="S95" s="13" t="str"/>
      <x:c r="T95" s="13" t="str">
        <x:v>UNRESOLVED</x:v>
      </x:c>
      <x:c r="U95" s="13" t="str"/>
      <x:c r="V95" s="13" t="str"/>
      <x:c r="W95" s="13" t="str"/>
      <x:c r="X95" s="13" t="str">
        <x:f>IF(L95&lt;&gt;"COVERED","HELD — COVERAGE",IF(N95="YES — SENSITIVE","C ACTIONABLE","CHAPTER 5 DEFAULT"))</x:f>
        <x:v>HELD — COVERAGE</x:v>
      </x:c>
      <x:c r="Y95" s="13" t="str">
        <x:f>IF(L95&lt;&gt;"COVERED","HELD — COVERAGE",IF(P95="YES — MANAGED ACCESS","D ACTIONABLE","NO D FIELD"))</x:f>
        <x:v>HELD — COVERAGE</x:v>
      </x:c>
      <x:c r="Z95" s="13" t="str">
        <x:f>IF(L95&lt;&gt;"COVERED","HELD — COVERAGE",IF(OR(R95="PAIRED SYNCHRONIZED",R95="TRILATERAL SYNCHRONIZED"),"E ACTIONABLE","INDEPENDENT"))</x:f>
        <x:v>HELD — COVERAGE</x:v>
      </x:c>
      <x:c r="AA95" s="13" t="str">
        <x:f>IF(L95&lt;&gt;"COVERED","HELD — COVERAGE","WAIT FOR UPSTREAM COMPLETION")</x:f>
        <x:v>HELD — COVERAGE</x:v>
      </x:c>
      <x:c r="AB95" s="13" t="str">
        <x:f>IF(L95&lt;&gt;"COVERED","HELD — COVERAGE",IF(T95="UNRESOLVED","G DECISION REQUIRED",IF(T95="NOT APPLICABLE","G N/A","G ACTIONABLE")))</x:f>
        <x:v>HELD — COVERAGE</x:v>
      </x:c>
      <x:c r="AC95" s="13" t="str">
        <x:f>IF(L95="UNRESOLVED","COVERAGE FIRST",IF(OR(L95="EXCLUDED",L95="OUT OF SCOPE"),"CLOSED BY COVERAGE",IF(AND(L95="COVERED",T95&lt;&gt;"UNRESOLVED"),"PARTIALLY ADOPTED","DECISIONS REMAIN")))</x:f>
        <x:v>COVERAGE FIRST</x:v>
      </x:c>
    </x:row>
    <x:row r="96">
      <x:c r="A96" s="13" t="str">
        <x:v>NAAFTC-HS6-021019</x:v>
      </x:c>
      <x:c r="B96" s="13" t="str">
        <x:v>021019</x:v>
      </x:c>
      <x:c r="C96" s="13" t="str">
        <x:v>02</x:v>
      </x:c>
      <x:c r="D96" s="13" t="str">
        <x:v>TRILATERAL_SPLIT_MERGE</x:v>
      </x:c>
      <x:c r="E96" s="13" t="str">
        <x:v>Pending</x:v>
      </x:c>
      <x:c r="F96" s="13" t="n">
        <x:v>2</x:v>
      </x:c>
      <x:c r="G96" s="13" t="n">
        <x:v>1</x:v>
      </x:c>
      <x:c r="H96" s="13" t="n">
        <x:v>1</x:v>
      </x:c>
      <x:c r="I96" s="13" t="str">
        <x:v>0210190010; 0210190090</x:v>
      </x:c>
      <x:c r="J96" s="13" t="str">
        <x:v>0210199900</x:v>
      </x:c>
      <x:c r="K96" s="13" t="str">
        <x:v>0210190000</x:v>
      </x:c>
      <x:c r="L96" s="13" t="str">
        <x:v>UNRESOLVED</x:v>
      </x:c>
      <x:c r="M96" s="13" t="str"/>
      <x:c r="N96" s="13" t="str">
        <x:v>NO / DEFAULT</x:v>
      </x:c>
      <x:c r="O96" s="13" t="str"/>
      <x:c r="P96" s="13" t="str">
        <x:v>NO / DEFAULT</x:v>
      </x:c>
      <x:c r="Q96" s="13" t="str"/>
      <x:c r="R96" s="13" t="str">
        <x:v>INDEPENDENT / DEFAULT</x:v>
      </x:c>
      <x:c r="S96" s="13" t="str"/>
      <x:c r="T96" s="13" t="str">
        <x:v>UNRESOLVED</x:v>
      </x:c>
      <x:c r="U96" s="13" t="str"/>
      <x:c r="V96" s="13" t="str"/>
      <x:c r="W96" s="13" t="str"/>
      <x:c r="X96" s="13" t="str">
        <x:f>IF(L96&lt;&gt;"COVERED","HELD — COVERAGE",IF(N96="YES — SENSITIVE","C ACTIONABLE","CHAPTER 5 DEFAULT"))</x:f>
        <x:v>HELD — COVERAGE</x:v>
      </x:c>
      <x:c r="Y96" s="13" t="str">
        <x:f>IF(L96&lt;&gt;"COVERED","HELD — COVERAGE",IF(P96="YES — MANAGED ACCESS","D ACTIONABLE","NO D FIELD"))</x:f>
        <x:v>HELD — COVERAGE</x:v>
      </x:c>
      <x:c r="Z96" s="13" t="str">
        <x:f>IF(L96&lt;&gt;"COVERED","HELD — COVERAGE",IF(OR(R96="PAIRED SYNCHRONIZED",R96="TRILATERAL SYNCHRONIZED"),"E ACTIONABLE","INDEPENDENT"))</x:f>
        <x:v>HELD — COVERAGE</x:v>
      </x:c>
      <x:c r="AA96" s="13" t="str">
        <x:f>IF(L96&lt;&gt;"COVERED","HELD — COVERAGE","WAIT FOR UPSTREAM COMPLETION")</x:f>
        <x:v>HELD — COVERAGE</x:v>
      </x:c>
      <x:c r="AB96" s="13" t="str">
        <x:f>IF(L96&lt;&gt;"COVERED","HELD — COVERAGE",IF(T96="UNRESOLVED","G DECISION REQUIRED",IF(T96="NOT APPLICABLE","G N/A","G ACTIONABLE")))</x:f>
        <x:v>HELD — COVERAGE</x:v>
      </x:c>
      <x:c r="AC96" s="13" t="str">
        <x:f>IF(L96="UNRESOLVED","COVERAGE FIRST",IF(OR(L96="EXCLUDED",L96="OUT OF SCOPE"),"CLOSED BY COVERAGE",IF(AND(L96="COVERED",T96&lt;&gt;"UNRESOLVED"),"PARTIALLY ADOPTED","DECISIONS REMAIN")))</x:f>
        <x:v>COVERAGE FIRST</x:v>
      </x:c>
    </x:row>
    <x:row r="97">
      <x:c r="A97" s="13" t="str">
        <x:v>NAAFTC-HS6-021020</x:v>
      </x:c>
      <x:c r="B97" s="13" t="str">
        <x:v>021020</x:v>
      </x:c>
      <x:c r="C97" s="13" t="str">
        <x:v>02</x:v>
      </x:c>
      <x:c r="D97" s="13" t="str">
        <x:v>TRILATERAL_1_TO_1_TO_1</x:v>
      </x:c>
      <x:c r="E97" s="13" t="str">
        <x:v>Pending</x:v>
      </x:c>
      <x:c r="F97" s="13" t="n">
        <x:v>1</x:v>
      </x:c>
      <x:c r="G97" s="13" t="n">
        <x:v>1</x:v>
      </x:c>
      <x:c r="H97" s="13" t="n">
        <x:v>1</x:v>
      </x:c>
      <x:c r="I97" s="13" t="str">
        <x:v>0210200000</x:v>
      </x:c>
      <x:c r="J97" s="13" t="str">
        <x:v>0210200100</x:v>
      </x:c>
      <x:c r="K97" s="13" t="str">
        <x:v>0210200000</x:v>
      </x:c>
      <x:c r="L97" s="13" t="str">
        <x:v>UNRESOLVED</x:v>
      </x:c>
      <x:c r="M97" s="13" t="str"/>
      <x:c r="N97" s="13" t="str">
        <x:v>NO / DEFAULT</x:v>
      </x:c>
      <x:c r="O97" s="13" t="str"/>
      <x:c r="P97" s="13" t="str">
        <x:v>NO / DEFAULT</x:v>
      </x:c>
      <x:c r="Q97" s="13" t="str"/>
      <x:c r="R97" s="13" t="str">
        <x:v>INDEPENDENT / DEFAULT</x:v>
      </x:c>
      <x:c r="S97" s="13" t="str"/>
      <x:c r="T97" s="13" t="str">
        <x:v>UNRESOLVED</x:v>
      </x:c>
      <x:c r="U97" s="13" t="str"/>
      <x:c r="V97" s="13" t="str"/>
      <x:c r="W97" s="13" t="str"/>
      <x:c r="X97" s="13" t="str">
        <x:f>IF(L97&lt;&gt;"COVERED","HELD — COVERAGE",IF(N97="YES — SENSITIVE","C ACTIONABLE","CHAPTER 5 DEFAULT"))</x:f>
        <x:v>HELD — COVERAGE</x:v>
      </x:c>
      <x:c r="Y97" s="13" t="str">
        <x:f>IF(L97&lt;&gt;"COVERED","HELD — COVERAGE",IF(P97="YES — MANAGED ACCESS","D ACTIONABLE","NO D FIELD"))</x:f>
        <x:v>HELD — COVERAGE</x:v>
      </x:c>
      <x:c r="Z97" s="13" t="str">
        <x:f>IF(L97&lt;&gt;"COVERED","HELD — COVERAGE",IF(OR(R97="PAIRED SYNCHRONIZED",R97="TRILATERAL SYNCHRONIZED"),"E ACTIONABLE","INDEPENDENT"))</x:f>
        <x:v>HELD — COVERAGE</x:v>
      </x:c>
      <x:c r="AA97" s="13" t="str">
        <x:f>IF(L97&lt;&gt;"COVERED","HELD — COVERAGE","WAIT FOR UPSTREAM COMPLETION")</x:f>
        <x:v>HELD — COVERAGE</x:v>
      </x:c>
      <x:c r="AB97" s="13" t="str">
        <x:f>IF(L97&lt;&gt;"COVERED","HELD — COVERAGE",IF(T97="UNRESOLVED","G DECISION REQUIRED",IF(T97="NOT APPLICABLE","G N/A","G ACTIONABLE")))</x:f>
        <x:v>HELD — COVERAGE</x:v>
      </x:c>
      <x:c r="AC97" s="13" t="str">
        <x:f>IF(L97="UNRESOLVED","COVERAGE FIRST",IF(OR(L97="EXCLUDED",L97="OUT OF SCOPE"),"CLOSED BY COVERAGE",IF(AND(L97="COVERED",T97&lt;&gt;"UNRESOLVED"),"PARTIALLY ADOPTED","DECISIONS REMAIN")))</x:f>
        <x:v>COVERAGE FIRST</x:v>
      </x:c>
    </x:row>
    <x:row r="98">
      <x:c r="A98" s="13" t="str">
        <x:v>NAAFTC-HS6-021091</x:v>
      </x:c>
      <x:c r="B98" s="13" t="str">
        <x:v>021091</x:v>
      </x:c>
      <x:c r="C98" s="13" t="str">
        <x:v>02</x:v>
      </x:c>
      <x:c r="D98" s="13" t="str">
        <x:v>TRILATERAL_1_TO_1_TO_1</x:v>
      </x:c>
      <x:c r="E98" s="13" t="str">
        <x:v>Pending</x:v>
      </x:c>
      <x:c r="F98" s="13" t="n">
        <x:v>1</x:v>
      </x:c>
      <x:c r="G98" s="13" t="n">
        <x:v>1</x:v>
      </x:c>
      <x:c r="H98" s="13" t="n">
        <x:v>1</x:v>
      </x:c>
      <x:c r="I98" s="13" t="str">
        <x:v>0210910000</x:v>
      </x:c>
      <x:c r="J98" s="13" t="str">
        <x:v>0210910100</x:v>
      </x:c>
      <x:c r="K98" s="13" t="str">
        <x:v>0210910000</x:v>
      </x:c>
      <x:c r="L98" s="13" t="str">
        <x:v>UNRESOLVED</x:v>
      </x:c>
      <x:c r="M98" s="13" t="str"/>
      <x:c r="N98" s="13" t="str">
        <x:v>NO / DEFAULT</x:v>
      </x:c>
      <x:c r="O98" s="13" t="str"/>
      <x:c r="P98" s="13" t="str">
        <x:v>NO / DEFAULT</x:v>
      </x:c>
      <x:c r="Q98" s="13" t="str"/>
      <x:c r="R98" s="13" t="str">
        <x:v>INDEPENDENT / DEFAULT</x:v>
      </x:c>
      <x:c r="S98" s="13" t="str"/>
      <x:c r="T98" s="13" t="str">
        <x:v>UNRESOLVED</x:v>
      </x:c>
      <x:c r="U98" s="13" t="str"/>
      <x:c r="V98" s="13" t="str"/>
      <x:c r="W98" s="13" t="str"/>
      <x:c r="X98" s="13" t="str">
        <x:f>IF(L98&lt;&gt;"COVERED","HELD — COVERAGE",IF(N98="YES — SENSITIVE","C ACTIONABLE","CHAPTER 5 DEFAULT"))</x:f>
        <x:v>HELD — COVERAGE</x:v>
      </x:c>
      <x:c r="Y98" s="13" t="str">
        <x:f>IF(L98&lt;&gt;"COVERED","HELD — COVERAGE",IF(P98="YES — MANAGED ACCESS","D ACTIONABLE","NO D FIELD"))</x:f>
        <x:v>HELD — COVERAGE</x:v>
      </x:c>
      <x:c r="Z98" s="13" t="str">
        <x:f>IF(L98&lt;&gt;"COVERED","HELD — COVERAGE",IF(OR(R98="PAIRED SYNCHRONIZED",R98="TRILATERAL SYNCHRONIZED"),"E ACTIONABLE","INDEPENDENT"))</x:f>
        <x:v>HELD — COVERAGE</x:v>
      </x:c>
      <x:c r="AA98" s="13" t="str">
        <x:f>IF(L98&lt;&gt;"COVERED","HELD — COVERAGE","WAIT FOR UPSTREAM COMPLETION")</x:f>
        <x:v>HELD — COVERAGE</x:v>
      </x:c>
      <x:c r="AB98" s="13" t="str">
        <x:f>IF(L98&lt;&gt;"COVERED","HELD — COVERAGE",IF(T98="UNRESOLVED","G DECISION REQUIRED",IF(T98="NOT APPLICABLE","G N/A","G ACTIONABLE")))</x:f>
        <x:v>HELD — COVERAGE</x:v>
      </x:c>
      <x:c r="AC98" s="13" t="str">
        <x:f>IF(L98="UNRESOLVED","COVERAGE FIRST",IF(OR(L98="EXCLUDED",L98="OUT OF SCOPE"),"CLOSED BY COVERAGE",IF(AND(L98="COVERED",T98&lt;&gt;"UNRESOLVED"),"PARTIALLY ADOPTED","DECISIONS REMAIN")))</x:f>
        <x:v>COVERAGE FIRST</x:v>
      </x:c>
    </x:row>
    <x:row r="99">
      <x:c r="A99" s="13" t="str">
        <x:v>NAAFTC-HS6-021092</x:v>
      </x:c>
      <x:c r="B99" s="13" t="str">
        <x:v>021092</x:v>
      </x:c>
      <x:c r="C99" s="13" t="str">
        <x:v>02</x:v>
      </x:c>
      <x:c r="D99" s="13" t="str">
        <x:v>TRILATERAL_1_TO_1_TO_1</x:v>
      </x:c>
      <x:c r="E99" s="13" t="str">
        <x:v>Pending</x:v>
      </x:c>
      <x:c r="F99" s="13" t="n">
        <x:v>1</x:v>
      </x:c>
      <x:c r="G99" s="13" t="n">
        <x:v>1</x:v>
      </x:c>
      <x:c r="H99" s="13" t="n">
        <x:v>1</x:v>
      </x:c>
      <x:c r="I99" s="13" t="str">
        <x:v>0210920100</x:v>
      </x:c>
      <x:c r="J99" s="13" t="str">
        <x:v>0210920100</x:v>
      </x:c>
      <x:c r="K99" s="13" t="str">
        <x:v>0210920000</x:v>
      </x:c>
      <x:c r="L99" s="13" t="str">
        <x:v>UNRESOLVED</x:v>
      </x:c>
      <x:c r="M99" s="13" t="str"/>
      <x:c r="N99" s="13" t="str">
        <x:v>NO / DEFAULT</x:v>
      </x:c>
      <x:c r="O99" s="13" t="str"/>
      <x:c r="P99" s="13" t="str">
        <x:v>NO / DEFAULT</x:v>
      </x:c>
      <x:c r="Q99" s="13" t="str"/>
      <x:c r="R99" s="13" t="str">
        <x:v>INDEPENDENT / DEFAULT</x:v>
      </x:c>
      <x:c r="S99" s="13" t="str"/>
      <x:c r="T99" s="13" t="str">
        <x:v>UNRESOLVED</x:v>
      </x:c>
      <x:c r="U99" s="13" t="str"/>
      <x:c r="V99" s="13" t="str"/>
      <x:c r="W99" s="13" t="str"/>
      <x:c r="X99" s="13" t="str">
        <x:f>IF(L99&lt;&gt;"COVERED","HELD — COVERAGE",IF(N99="YES — SENSITIVE","C ACTIONABLE","CHAPTER 5 DEFAULT"))</x:f>
        <x:v>HELD — COVERAGE</x:v>
      </x:c>
      <x:c r="Y99" s="13" t="str">
        <x:f>IF(L99&lt;&gt;"COVERED","HELD — COVERAGE",IF(P99="YES — MANAGED ACCESS","D ACTIONABLE","NO D FIELD"))</x:f>
        <x:v>HELD — COVERAGE</x:v>
      </x:c>
      <x:c r="Z99" s="13" t="str">
        <x:f>IF(L99&lt;&gt;"COVERED","HELD — COVERAGE",IF(OR(R99="PAIRED SYNCHRONIZED",R99="TRILATERAL SYNCHRONIZED"),"E ACTIONABLE","INDEPENDENT"))</x:f>
        <x:v>HELD — COVERAGE</x:v>
      </x:c>
      <x:c r="AA99" s="13" t="str">
        <x:f>IF(L99&lt;&gt;"COVERED","HELD — COVERAGE","WAIT FOR UPSTREAM COMPLETION")</x:f>
        <x:v>HELD — COVERAGE</x:v>
      </x:c>
      <x:c r="AB99" s="13" t="str">
        <x:f>IF(L99&lt;&gt;"COVERED","HELD — COVERAGE",IF(T99="UNRESOLVED","G DECISION REQUIRED",IF(T99="NOT APPLICABLE","G N/A","G ACTIONABLE")))</x:f>
        <x:v>HELD — COVERAGE</x:v>
      </x:c>
      <x:c r="AC99" s="13" t="str">
        <x:f>IF(L99="UNRESOLVED","COVERAGE FIRST",IF(OR(L99="EXCLUDED",L99="OUT OF SCOPE"),"CLOSED BY COVERAGE",IF(AND(L99="COVERED",T99&lt;&gt;"UNRESOLVED"),"PARTIALLY ADOPTED","DECISIONS REMAIN")))</x:f>
        <x:v>COVERAGE FIRST</x:v>
      </x:c>
    </x:row>
    <x:row r="100">
      <x:c r="A100" s="13" t="str">
        <x:v>NAAFTC-HS6-021093</x:v>
      </x:c>
      <x:c r="B100" s="13" t="str">
        <x:v>021093</x:v>
      </x:c>
      <x:c r="C100" s="13" t="str">
        <x:v>02</x:v>
      </x:c>
      <x:c r="D100" s="13" t="str">
        <x:v>TRILATERAL_1_TO_1_TO_1</x:v>
      </x:c>
      <x:c r="E100" s="13" t="str">
        <x:v>Pending</x:v>
      </x:c>
      <x:c r="F100" s="13" t="n">
        <x:v>1</x:v>
      </x:c>
      <x:c r="G100" s="13" t="n">
        <x:v>1</x:v>
      </x:c>
      <x:c r="H100" s="13" t="n">
        <x:v>1</x:v>
      </x:c>
      <x:c r="I100" s="13" t="str">
        <x:v>0210930000</x:v>
      </x:c>
      <x:c r="J100" s="13" t="str">
        <x:v>0210930100</x:v>
      </x:c>
      <x:c r="K100" s="13" t="str">
        <x:v>0210930000</x:v>
      </x:c>
      <x:c r="L100" s="13" t="str">
        <x:v>UNRESOLVED</x:v>
      </x:c>
      <x:c r="M100" s="13" t="str"/>
      <x:c r="N100" s="13" t="str">
        <x:v>NO / DEFAULT</x:v>
      </x:c>
      <x:c r="O100" s="13" t="str"/>
      <x:c r="P100" s="13" t="str">
        <x:v>NO / DEFAULT</x:v>
      </x:c>
      <x:c r="Q100" s="13" t="str"/>
      <x:c r="R100" s="13" t="str">
        <x:v>INDEPENDENT / DEFAULT</x:v>
      </x:c>
      <x:c r="S100" s="13" t="str"/>
      <x:c r="T100" s="13" t="str">
        <x:v>UNRESOLVED</x:v>
      </x:c>
      <x:c r="U100" s="13" t="str"/>
      <x:c r="V100" s="13" t="str"/>
      <x:c r="W100" s="13" t="str"/>
      <x:c r="X100" s="13" t="str">
        <x:f>IF(L100&lt;&gt;"COVERED","HELD — COVERAGE",IF(N100="YES — SENSITIVE","C ACTIONABLE","CHAPTER 5 DEFAULT"))</x:f>
        <x:v>HELD — COVERAGE</x:v>
      </x:c>
      <x:c r="Y100" s="13" t="str">
        <x:f>IF(L100&lt;&gt;"COVERED","HELD — COVERAGE",IF(P100="YES — MANAGED ACCESS","D ACTIONABLE","NO D FIELD"))</x:f>
        <x:v>HELD — COVERAGE</x:v>
      </x:c>
      <x:c r="Z100" s="13" t="str">
        <x:f>IF(L100&lt;&gt;"COVERED","HELD — COVERAGE",IF(OR(R100="PAIRED SYNCHRONIZED",R100="TRILATERAL SYNCHRONIZED"),"E ACTIONABLE","INDEPENDENT"))</x:f>
        <x:v>HELD — COVERAGE</x:v>
      </x:c>
      <x:c r="AA100" s="13" t="str">
        <x:f>IF(L100&lt;&gt;"COVERED","HELD — COVERAGE","WAIT FOR UPSTREAM COMPLETION")</x:f>
        <x:v>HELD — COVERAGE</x:v>
      </x:c>
      <x:c r="AB100" s="13" t="str">
        <x:f>IF(L100&lt;&gt;"COVERED","HELD — COVERAGE",IF(T100="UNRESOLVED","G DECISION REQUIRED",IF(T100="NOT APPLICABLE","G N/A","G ACTIONABLE")))</x:f>
        <x:v>HELD — COVERAGE</x:v>
      </x:c>
      <x:c r="AC100" s="13" t="str">
        <x:f>IF(L100="UNRESOLVED","COVERAGE FIRST",IF(OR(L100="EXCLUDED",L100="OUT OF SCOPE"),"CLOSED BY COVERAGE",IF(AND(L100="COVERED",T100&lt;&gt;"UNRESOLVED"),"PARTIALLY ADOPTED","DECISIONS REMAIN")))</x:f>
        <x:v>COVERAGE FIRST</x:v>
      </x:c>
    </x:row>
    <x:row r="101">
      <x:c r="A101" s="13" t="str">
        <x:v>NAAFTC-HS6-021099</x:v>
      </x:c>
      <x:c r="B101" s="13" t="str">
        <x:v>021099</x:v>
      </x:c>
      <x:c r="C101" s="13" t="str">
        <x:v>02</x:v>
      </x:c>
      <x:c r="D101" s="13" t="str">
        <x:v>TRILATERAL_SPLIT_MERGE</x:v>
      </x:c>
      <x:c r="E101" s="13" t="str">
        <x:v>Pending</x:v>
      </x:c>
      <x:c r="F101" s="13" t="n">
        <x:v>2</x:v>
      </x:c>
      <x:c r="G101" s="13" t="n">
        <x:v>2</x:v>
      </x:c>
      <x:c r="H101" s="13" t="n">
        <x:v>2</x:v>
      </x:c>
      <x:c r="I101" s="13" t="str">
        <x:v>0210992000; 0210999100</x:v>
      </x:c>
      <x:c r="J101" s="13" t="str">
        <x:v>0210990200; 0210999900</x:v>
      </x:c>
      <x:c r="K101" s="13" t="str">
        <x:v>0210991900; 0210999000</x:v>
      </x:c>
      <x:c r="L101" s="13" t="str">
        <x:v>UNRESOLVED</x:v>
      </x:c>
      <x:c r="M101" s="13" t="str"/>
      <x:c r="N101" s="13" t="str">
        <x:v>NO / DEFAULT</x:v>
      </x:c>
      <x:c r="O101" s="13" t="str"/>
      <x:c r="P101" s="13" t="str">
        <x:v>NO / DEFAULT</x:v>
      </x:c>
      <x:c r="Q101" s="13" t="str"/>
      <x:c r="R101" s="13" t="str">
        <x:v>INDEPENDENT / DEFAULT</x:v>
      </x:c>
      <x:c r="S101" s="13" t="str"/>
      <x:c r="T101" s="13" t="str">
        <x:v>UNRESOLVED</x:v>
      </x:c>
      <x:c r="U101" s="13" t="str"/>
      <x:c r="V101" s="13" t="str"/>
      <x:c r="W101" s="13" t="str"/>
      <x:c r="X101" s="13" t="str">
        <x:f>IF(L101&lt;&gt;"COVERED","HELD — COVERAGE",IF(N101="YES — SENSITIVE","C ACTIONABLE","CHAPTER 5 DEFAULT"))</x:f>
        <x:v>HELD — COVERAGE</x:v>
      </x:c>
      <x:c r="Y101" s="13" t="str">
        <x:f>IF(L101&lt;&gt;"COVERED","HELD — COVERAGE",IF(P101="YES — MANAGED ACCESS","D ACTIONABLE","NO D FIELD"))</x:f>
        <x:v>HELD — COVERAGE</x:v>
      </x:c>
      <x:c r="Z101" s="13" t="str">
        <x:f>IF(L101&lt;&gt;"COVERED","HELD — COVERAGE",IF(OR(R101="PAIRED SYNCHRONIZED",R101="TRILATERAL SYNCHRONIZED"),"E ACTIONABLE","INDEPENDENT"))</x:f>
        <x:v>HELD — COVERAGE</x:v>
      </x:c>
      <x:c r="AA101" s="13" t="str">
        <x:f>IF(L101&lt;&gt;"COVERED","HELD — COVERAGE","WAIT FOR UPSTREAM COMPLETION")</x:f>
        <x:v>HELD — COVERAGE</x:v>
      </x:c>
      <x:c r="AB101" s="13" t="str">
        <x:f>IF(L101&lt;&gt;"COVERED","HELD — COVERAGE",IF(T101="UNRESOLVED","G DECISION REQUIRED",IF(T101="NOT APPLICABLE","G N/A","G ACTIONABLE")))</x:f>
        <x:v>HELD — COVERAGE</x:v>
      </x:c>
      <x:c r="AC101" s="13" t="str">
        <x:f>IF(L101="UNRESOLVED","COVERAGE FIRST",IF(OR(L101="EXCLUDED",L101="OUT OF SCOPE"),"CLOSED BY COVERAGE",IF(AND(L101="COVERED",T101&lt;&gt;"UNRESOLVED"),"PARTIALLY ADOPTED","DECISIONS REMAIN")))</x:f>
        <x:v>COVERAGE FIRST</x:v>
      </x:c>
    </x:row>
    <x:row r="102">
      <x:c r="A102" s="13" t="str">
        <x:v>NAAFTC-HS6-030111</x:v>
      </x:c>
      <x:c r="B102" s="13" t="str">
        <x:v>030111</x:v>
      </x:c>
      <x:c r="C102" s="13" t="str">
        <x:v>03</x:v>
      </x:c>
      <x:c r="D102" s="13" t="str">
        <x:v>TRILATERAL_SPLIT_MERGE</x:v>
      </x:c>
      <x:c r="E102" s="13" t="str">
        <x:v>Pending</x:v>
      </x:c>
      <x:c r="F102" s="13" t="n">
        <x:v>3</x:v>
      </x:c>
      <x:c r="G102" s="13" t="n">
        <x:v>1</x:v>
      </x:c>
      <x:c r="H102" s="13" t="n">
        <x:v>1</x:v>
      </x:c>
      <x:c r="I102" s="13" t="str">
        <x:v>0301110010; 0301110020; 0301110090</x:v>
      </x:c>
      <x:c r="J102" s="13" t="str">
        <x:v>0301110100</x:v>
      </x:c>
      <x:c r="K102" s="13" t="str">
        <x:v>0301110000</x:v>
      </x:c>
      <x:c r="L102" s="13" t="str">
        <x:v>UNRESOLVED</x:v>
      </x:c>
      <x:c r="M102" s="13" t="str"/>
      <x:c r="N102" s="13" t="str">
        <x:v>NO / DEFAULT</x:v>
      </x:c>
      <x:c r="O102" s="13" t="str"/>
      <x:c r="P102" s="13" t="str">
        <x:v>NO / DEFAULT</x:v>
      </x:c>
      <x:c r="Q102" s="13" t="str"/>
      <x:c r="R102" s="13" t="str">
        <x:v>INDEPENDENT / DEFAULT</x:v>
      </x:c>
      <x:c r="S102" s="13" t="str"/>
      <x:c r="T102" s="13" t="str">
        <x:v>UNRESOLVED</x:v>
      </x:c>
      <x:c r="U102" s="13" t="str"/>
      <x:c r="V102" s="13" t="str"/>
      <x:c r="W102" s="13" t="str"/>
      <x:c r="X102" s="13" t="str">
        <x:f>IF(L102&lt;&gt;"COVERED","HELD — COVERAGE",IF(N102="YES — SENSITIVE","C ACTIONABLE","CHAPTER 5 DEFAULT"))</x:f>
        <x:v>HELD — COVERAGE</x:v>
      </x:c>
      <x:c r="Y102" s="13" t="str">
        <x:f>IF(L102&lt;&gt;"COVERED","HELD — COVERAGE",IF(P102="YES — MANAGED ACCESS","D ACTIONABLE","NO D FIELD"))</x:f>
        <x:v>HELD — COVERAGE</x:v>
      </x:c>
      <x:c r="Z102" s="13" t="str">
        <x:f>IF(L102&lt;&gt;"COVERED","HELD — COVERAGE",IF(OR(R102="PAIRED SYNCHRONIZED",R102="TRILATERAL SYNCHRONIZED"),"E ACTIONABLE","INDEPENDENT"))</x:f>
        <x:v>HELD — COVERAGE</x:v>
      </x:c>
      <x:c r="AA102" s="13" t="str">
        <x:f>IF(L102&lt;&gt;"COVERED","HELD — COVERAGE","WAIT FOR UPSTREAM COMPLETION")</x:f>
        <x:v>HELD — COVERAGE</x:v>
      </x:c>
      <x:c r="AB102" s="13" t="str">
        <x:f>IF(L102&lt;&gt;"COVERED","HELD — COVERAGE",IF(T102="UNRESOLVED","G DECISION REQUIRED",IF(T102="NOT APPLICABLE","G N/A","G ACTIONABLE")))</x:f>
        <x:v>HELD — COVERAGE</x:v>
      </x:c>
      <x:c r="AC102" s="13" t="str">
        <x:f>IF(L102="UNRESOLVED","COVERAGE FIRST",IF(OR(L102="EXCLUDED",L102="OUT OF SCOPE"),"CLOSED BY COVERAGE",IF(AND(L102="COVERED",T102&lt;&gt;"UNRESOLVED"),"PARTIALLY ADOPTED","DECISIONS REMAIN")))</x:f>
        <x:v>COVERAGE FIRST</x:v>
      </x:c>
    </x:row>
    <x:row r="103">
      <x:c r="A103" s="13" t="str">
        <x:v>NAAFTC-HS6-030119</x:v>
      </x:c>
      <x:c r="B103" s="13" t="str">
        <x:v>030119</x:v>
      </x:c>
      <x:c r="C103" s="13" t="str">
        <x:v>03</x:v>
      </x:c>
      <x:c r="D103" s="13" t="str">
        <x:v>TRILATERAL_1_TO_1_TO_1</x:v>
      </x:c>
      <x:c r="E103" s="13" t="str">
        <x:v>Pending</x:v>
      </x:c>
      <x:c r="F103" s="13" t="n">
        <x:v>1</x:v>
      </x:c>
      <x:c r="G103" s="13" t="n">
        <x:v>1</x:v>
      </x:c>
      <x:c r="H103" s="13" t="n">
        <x:v>1</x:v>
      </x:c>
      <x:c r="I103" s="13" t="str">
        <x:v>0301190000</x:v>
      </x:c>
      <x:c r="J103" s="13" t="str">
        <x:v>0301199900</x:v>
      </x:c>
      <x:c r="K103" s="13" t="str">
        <x:v>0301190000</x:v>
      </x:c>
      <x:c r="L103" s="13" t="str">
        <x:v>UNRESOLVED</x:v>
      </x:c>
      <x:c r="M103" s="13" t="str"/>
      <x:c r="N103" s="13" t="str">
        <x:v>NO / DEFAULT</x:v>
      </x:c>
      <x:c r="O103" s="13" t="str"/>
      <x:c r="P103" s="13" t="str">
        <x:v>NO / DEFAULT</x:v>
      </x:c>
      <x:c r="Q103" s="13" t="str"/>
      <x:c r="R103" s="13" t="str">
        <x:v>INDEPENDENT / DEFAULT</x:v>
      </x:c>
      <x:c r="S103" s="13" t="str"/>
      <x:c r="T103" s="13" t="str">
        <x:v>UNRESOLVED</x:v>
      </x:c>
      <x:c r="U103" s="13" t="str"/>
      <x:c r="V103" s="13" t="str"/>
      <x:c r="W103" s="13" t="str"/>
      <x:c r="X103" s="13" t="str">
        <x:f>IF(L103&lt;&gt;"COVERED","HELD — COVERAGE",IF(N103="YES — SENSITIVE","C ACTIONABLE","CHAPTER 5 DEFAULT"))</x:f>
        <x:v>HELD — COVERAGE</x:v>
      </x:c>
      <x:c r="Y103" s="13" t="str">
        <x:f>IF(L103&lt;&gt;"COVERED","HELD — COVERAGE",IF(P103="YES — MANAGED ACCESS","D ACTIONABLE","NO D FIELD"))</x:f>
        <x:v>HELD — COVERAGE</x:v>
      </x:c>
      <x:c r="Z103" s="13" t="str">
        <x:f>IF(L103&lt;&gt;"COVERED","HELD — COVERAGE",IF(OR(R103="PAIRED SYNCHRONIZED",R103="TRILATERAL SYNCHRONIZED"),"E ACTIONABLE","INDEPENDENT"))</x:f>
        <x:v>HELD — COVERAGE</x:v>
      </x:c>
      <x:c r="AA103" s="13" t="str">
        <x:f>IF(L103&lt;&gt;"COVERED","HELD — COVERAGE","WAIT FOR UPSTREAM COMPLETION")</x:f>
        <x:v>HELD — COVERAGE</x:v>
      </x:c>
      <x:c r="AB103" s="13" t="str">
        <x:f>IF(L103&lt;&gt;"COVERED","HELD — COVERAGE",IF(T103="UNRESOLVED","G DECISION REQUIRED",IF(T103="NOT APPLICABLE","G N/A","G ACTIONABLE")))</x:f>
        <x:v>HELD — COVERAGE</x:v>
      </x:c>
      <x:c r="AC103" s="13" t="str">
        <x:f>IF(L103="UNRESOLVED","COVERAGE FIRST",IF(OR(L103="EXCLUDED",L103="OUT OF SCOPE"),"CLOSED BY COVERAGE",IF(AND(L103="COVERED",T103&lt;&gt;"UNRESOLVED"),"PARTIALLY ADOPTED","DECISIONS REMAIN")))</x:f>
        <x:v>COVERAGE FIRST</x:v>
      </x:c>
    </x:row>
    <x:row r="104">
      <x:c r="A104" s="13" t="str">
        <x:v>NAAFTC-HS6-030191</x:v>
      </x:c>
      <x:c r="B104" s="13" t="str">
        <x:v>030191</x:v>
      </x:c>
      <x:c r="C104" s="13" t="str">
        <x:v>03</x:v>
      </x:c>
      <x:c r="D104" s="13" t="str">
        <x:v>TRILATERAL_1_TO_1_TO_1</x:v>
      </x:c>
      <x:c r="E104" s="13" t="str">
        <x:v>Pending</x:v>
      </x:c>
      <x:c r="F104" s="13" t="n">
        <x:v>1</x:v>
      </x:c>
      <x:c r="G104" s="13" t="n">
        <x:v>1</x:v>
      </x:c>
      <x:c r="H104" s="13" t="n">
        <x:v>1</x:v>
      </x:c>
      <x:c r="I104" s="13" t="str">
        <x:v>0301910000</x:v>
      </x:c>
      <x:c r="J104" s="13" t="str">
        <x:v>0301910100</x:v>
      </x:c>
      <x:c r="K104" s="13" t="str">
        <x:v>03019100</x:v>
      </x:c>
      <x:c r="L104" s="13" t="str">
        <x:v>UNRESOLVED</x:v>
      </x:c>
      <x:c r="M104" s="13" t="str"/>
      <x:c r="N104" s="13" t="str">
        <x:v>NO / DEFAULT</x:v>
      </x:c>
      <x:c r="O104" s="13" t="str"/>
      <x:c r="P104" s="13" t="str">
        <x:v>NO / DEFAULT</x:v>
      </x:c>
      <x:c r="Q104" s="13" t="str"/>
      <x:c r="R104" s="13" t="str">
        <x:v>INDEPENDENT / DEFAULT</x:v>
      </x:c>
      <x:c r="S104" s="13" t="str"/>
      <x:c r="T104" s="13" t="str">
        <x:v>UNRESOLVED</x:v>
      </x:c>
      <x:c r="U104" s="13" t="str"/>
      <x:c r="V104" s="13" t="str"/>
      <x:c r="W104" s="13" t="str"/>
      <x:c r="X104" s="13" t="str">
        <x:f>IF(L104&lt;&gt;"COVERED","HELD — COVERAGE",IF(N104="YES — SENSITIVE","C ACTIONABLE","CHAPTER 5 DEFAULT"))</x:f>
        <x:v>HELD — COVERAGE</x:v>
      </x:c>
      <x:c r="Y104" s="13" t="str">
        <x:f>IF(L104&lt;&gt;"COVERED","HELD — COVERAGE",IF(P104="YES — MANAGED ACCESS","D ACTIONABLE","NO D FIELD"))</x:f>
        <x:v>HELD — COVERAGE</x:v>
      </x:c>
      <x:c r="Z104" s="13" t="str">
        <x:f>IF(L104&lt;&gt;"COVERED","HELD — COVERAGE",IF(OR(R104="PAIRED SYNCHRONIZED",R104="TRILATERAL SYNCHRONIZED"),"E ACTIONABLE","INDEPENDENT"))</x:f>
        <x:v>HELD — COVERAGE</x:v>
      </x:c>
      <x:c r="AA104" s="13" t="str">
        <x:f>IF(L104&lt;&gt;"COVERED","HELD — COVERAGE","WAIT FOR UPSTREAM COMPLETION")</x:f>
        <x:v>HELD — COVERAGE</x:v>
      </x:c>
      <x:c r="AB104" s="13" t="str">
        <x:f>IF(L104&lt;&gt;"COVERED","HELD — COVERAGE",IF(T104="UNRESOLVED","G DECISION REQUIRED",IF(T104="NOT APPLICABLE","G N/A","G ACTIONABLE")))</x:f>
        <x:v>HELD — COVERAGE</x:v>
      </x:c>
      <x:c r="AC104" s="13" t="str">
        <x:f>IF(L104="UNRESOLVED","COVERAGE FIRST",IF(OR(L104="EXCLUDED",L104="OUT OF SCOPE"),"CLOSED BY COVERAGE",IF(AND(L104="COVERED",T104&lt;&gt;"UNRESOLVED"),"PARTIALLY ADOPTED","DECISIONS REMAIN")))</x:f>
        <x:v>COVERAGE FIRST</x:v>
      </x:c>
    </x:row>
    <x:row r="105">
      <x:c r="A105" s="13" t="str">
        <x:v>NAAFTC-HS6-030192</x:v>
      </x:c>
      <x:c r="B105" s="13" t="str">
        <x:v>030192</x:v>
      </x:c>
      <x:c r="C105" s="13" t="str">
        <x:v>03</x:v>
      </x:c>
      <x:c r="D105" s="13" t="str">
        <x:v>TRILATERAL_1_TO_1_TO_1</x:v>
      </x:c>
      <x:c r="E105" s="13" t="str">
        <x:v>Pending</x:v>
      </x:c>
      <x:c r="F105" s="13" t="n">
        <x:v>1</x:v>
      </x:c>
      <x:c r="G105" s="13" t="n">
        <x:v>1</x:v>
      </x:c>
      <x:c r="H105" s="13" t="n">
        <x:v>1</x:v>
      </x:c>
      <x:c r="I105" s="13" t="str">
        <x:v>0301920000</x:v>
      </x:c>
      <x:c r="J105" s="13" t="str">
        <x:v>0301920100</x:v>
      </x:c>
      <x:c r="K105" s="13" t="str">
        <x:v>03019200</x:v>
      </x:c>
      <x:c r="L105" s="13" t="str">
        <x:v>UNRESOLVED</x:v>
      </x:c>
      <x:c r="M105" s="13" t="str"/>
      <x:c r="N105" s="13" t="str">
        <x:v>NO / DEFAULT</x:v>
      </x:c>
      <x:c r="O105" s="13" t="str"/>
      <x:c r="P105" s="13" t="str">
        <x:v>NO / DEFAULT</x:v>
      </x:c>
      <x:c r="Q105" s="13" t="str"/>
      <x:c r="R105" s="13" t="str">
        <x:v>INDEPENDENT / DEFAULT</x:v>
      </x:c>
      <x:c r="S105" s="13" t="str"/>
      <x:c r="T105" s="13" t="str">
        <x:v>UNRESOLVED</x:v>
      </x:c>
      <x:c r="U105" s="13" t="str"/>
      <x:c r="V105" s="13" t="str"/>
      <x:c r="W105" s="13" t="str"/>
      <x:c r="X105" s="13" t="str">
        <x:f>IF(L105&lt;&gt;"COVERED","HELD — COVERAGE",IF(N105="YES — SENSITIVE","C ACTIONABLE","CHAPTER 5 DEFAULT"))</x:f>
        <x:v>HELD — COVERAGE</x:v>
      </x:c>
      <x:c r="Y105" s="13" t="str">
        <x:f>IF(L105&lt;&gt;"COVERED","HELD — COVERAGE",IF(P105="YES — MANAGED ACCESS","D ACTIONABLE","NO D FIELD"))</x:f>
        <x:v>HELD — COVERAGE</x:v>
      </x:c>
      <x:c r="Z105" s="13" t="str">
        <x:f>IF(L105&lt;&gt;"COVERED","HELD — COVERAGE",IF(OR(R105="PAIRED SYNCHRONIZED",R105="TRILATERAL SYNCHRONIZED"),"E ACTIONABLE","INDEPENDENT"))</x:f>
        <x:v>HELD — COVERAGE</x:v>
      </x:c>
      <x:c r="AA105" s="13" t="str">
        <x:f>IF(L105&lt;&gt;"COVERED","HELD — COVERAGE","WAIT FOR UPSTREAM COMPLETION")</x:f>
        <x:v>HELD — COVERAGE</x:v>
      </x:c>
      <x:c r="AB105" s="13" t="str">
        <x:f>IF(L105&lt;&gt;"COVERED","HELD — COVERAGE",IF(T105="UNRESOLVED","G DECISION REQUIRED",IF(T105="NOT APPLICABLE","G N/A","G ACTIONABLE")))</x:f>
        <x:v>HELD — COVERAGE</x:v>
      </x:c>
      <x:c r="AC105" s="13" t="str">
        <x:f>IF(L105="UNRESOLVED","COVERAGE FIRST",IF(OR(L105="EXCLUDED",L105="OUT OF SCOPE"),"CLOSED BY COVERAGE",IF(AND(L105="COVERED",T105&lt;&gt;"UNRESOLVED"),"PARTIALLY ADOPTED","DECISIONS REMAIN")))</x:f>
        <x:v>COVERAGE FIRST</x:v>
      </x:c>
    </x:row>
    <x:row r="106">
      <x:c r="A106" s="13" t="str">
        <x:v>NAAFTC-HS6-030193</x:v>
      </x:c>
      <x:c r="B106" s="13" t="str">
        <x:v>030193</x:v>
      </x:c>
      <x:c r="C106" s="13" t="str">
        <x:v>03</x:v>
      </x:c>
      <x:c r="D106" s="13" t="str">
        <x:v>TRILATERAL_SPLIT_MERGE</x:v>
      </x:c>
      <x:c r="E106" s="13" t="str">
        <x:v>Pending</x:v>
      </x:c>
      <x:c r="F106" s="13" t="n">
        <x:v>2</x:v>
      </x:c>
      <x:c r="G106" s="13" t="n">
        <x:v>1</x:v>
      </x:c>
      <x:c r="H106" s="13" t="n">
        <x:v>1</x:v>
      </x:c>
      <x:c r="I106" s="13" t="str">
        <x:v>0301930210; 0301930290</x:v>
      </x:c>
      <x:c r="J106" s="13" t="str">
        <x:v>0301930100</x:v>
      </x:c>
      <x:c r="K106" s="13" t="str">
        <x:v>0301930000</x:v>
      </x:c>
      <x:c r="L106" s="13" t="str">
        <x:v>UNRESOLVED</x:v>
      </x:c>
      <x:c r="M106" s="13" t="str"/>
      <x:c r="N106" s="13" t="str">
        <x:v>NO / DEFAULT</x:v>
      </x:c>
      <x:c r="O106" s="13" t="str"/>
      <x:c r="P106" s="13" t="str">
        <x:v>NO / DEFAULT</x:v>
      </x:c>
      <x:c r="Q106" s="13" t="str"/>
      <x:c r="R106" s="13" t="str">
        <x:v>INDEPENDENT / DEFAULT</x:v>
      </x:c>
      <x:c r="S106" s="13" t="str"/>
      <x:c r="T106" s="13" t="str">
        <x:v>UNRESOLVED</x:v>
      </x:c>
      <x:c r="U106" s="13" t="str"/>
      <x:c r="V106" s="13" t="str"/>
      <x:c r="W106" s="13" t="str"/>
      <x:c r="X106" s="13" t="str">
        <x:f>IF(L106&lt;&gt;"COVERED","HELD — COVERAGE",IF(N106="YES — SENSITIVE","C ACTIONABLE","CHAPTER 5 DEFAULT"))</x:f>
        <x:v>HELD — COVERAGE</x:v>
      </x:c>
      <x:c r="Y106" s="13" t="str">
        <x:f>IF(L106&lt;&gt;"COVERED","HELD — COVERAGE",IF(P106="YES — MANAGED ACCESS","D ACTIONABLE","NO D FIELD"))</x:f>
        <x:v>HELD — COVERAGE</x:v>
      </x:c>
      <x:c r="Z106" s="13" t="str">
        <x:f>IF(L106&lt;&gt;"COVERED","HELD — COVERAGE",IF(OR(R106="PAIRED SYNCHRONIZED",R106="TRILATERAL SYNCHRONIZED"),"E ACTIONABLE","INDEPENDENT"))</x:f>
        <x:v>HELD — COVERAGE</x:v>
      </x:c>
      <x:c r="AA106" s="13" t="str">
        <x:f>IF(L106&lt;&gt;"COVERED","HELD — COVERAGE","WAIT FOR UPSTREAM COMPLETION")</x:f>
        <x:v>HELD — COVERAGE</x:v>
      </x:c>
      <x:c r="AB106" s="13" t="str">
        <x:f>IF(L106&lt;&gt;"COVERED","HELD — COVERAGE",IF(T106="UNRESOLVED","G DECISION REQUIRED",IF(T106="NOT APPLICABLE","G N/A","G ACTIONABLE")))</x:f>
        <x:v>HELD — COVERAGE</x:v>
      </x:c>
      <x:c r="AC106" s="13" t="str">
        <x:f>IF(L106="UNRESOLVED","COVERAGE FIRST",IF(OR(L106="EXCLUDED",L106="OUT OF SCOPE"),"CLOSED BY COVERAGE",IF(AND(L106="COVERED",T106&lt;&gt;"UNRESOLVED"),"PARTIALLY ADOPTED","DECISIONS REMAIN")))</x:f>
        <x:v>COVERAGE FIRST</x:v>
      </x:c>
    </x:row>
    <x:row r="107">
      <x:c r="A107" s="13" t="str">
        <x:v>NAAFTC-HS6-030194</x:v>
      </x:c>
      <x:c r="B107" s="13" t="str">
        <x:v>030194</x:v>
      </x:c>
      <x:c r="C107" s="13" t="str">
        <x:v>03</x:v>
      </x:c>
      <x:c r="D107" s="13" t="str">
        <x:v>TRILATERAL_1_TO_1_TO_1</x:v>
      </x:c>
      <x:c r="E107" s="13" t="str">
        <x:v>Pending</x:v>
      </x:c>
      <x:c r="F107" s="13" t="n">
        <x:v>1</x:v>
      </x:c>
      <x:c r="G107" s="13" t="n">
        <x:v>1</x:v>
      </x:c>
      <x:c r="H107" s="13" t="n">
        <x:v>1</x:v>
      </x:c>
      <x:c r="I107" s="13" t="str">
        <x:v>0301940100</x:v>
      </x:c>
      <x:c r="J107" s="13" t="str">
        <x:v>0301940100</x:v>
      </x:c>
      <x:c r="K107" s="13" t="str">
        <x:v>0301940000</x:v>
      </x:c>
      <x:c r="L107" s="13" t="str">
        <x:v>UNRESOLVED</x:v>
      </x:c>
      <x:c r="M107" s="13" t="str"/>
      <x:c r="N107" s="13" t="str">
        <x:v>NO / DEFAULT</x:v>
      </x:c>
      <x:c r="O107" s="13" t="str"/>
      <x:c r="P107" s="13" t="str">
        <x:v>NO / DEFAULT</x:v>
      </x:c>
      <x:c r="Q107" s="13" t="str"/>
      <x:c r="R107" s="13" t="str">
        <x:v>INDEPENDENT / DEFAULT</x:v>
      </x:c>
      <x:c r="S107" s="13" t="str"/>
      <x:c r="T107" s="13" t="str">
        <x:v>UNRESOLVED</x:v>
      </x:c>
      <x:c r="U107" s="13" t="str"/>
      <x:c r="V107" s="13" t="str"/>
      <x:c r="W107" s="13" t="str"/>
      <x:c r="X107" s="13" t="str">
        <x:f>IF(L107&lt;&gt;"COVERED","HELD — COVERAGE",IF(N107="YES — SENSITIVE","C ACTIONABLE","CHAPTER 5 DEFAULT"))</x:f>
        <x:v>HELD — COVERAGE</x:v>
      </x:c>
      <x:c r="Y107" s="13" t="str">
        <x:f>IF(L107&lt;&gt;"COVERED","HELD — COVERAGE",IF(P107="YES — MANAGED ACCESS","D ACTIONABLE","NO D FIELD"))</x:f>
        <x:v>HELD — COVERAGE</x:v>
      </x:c>
      <x:c r="Z107" s="13" t="str">
        <x:f>IF(L107&lt;&gt;"COVERED","HELD — COVERAGE",IF(OR(R107="PAIRED SYNCHRONIZED",R107="TRILATERAL SYNCHRONIZED"),"E ACTIONABLE","INDEPENDENT"))</x:f>
        <x:v>HELD — COVERAGE</x:v>
      </x:c>
      <x:c r="AA107" s="13" t="str">
        <x:f>IF(L107&lt;&gt;"COVERED","HELD — COVERAGE","WAIT FOR UPSTREAM COMPLETION")</x:f>
        <x:v>HELD — COVERAGE</x:v>
      </x:c>
      <x:c r="AB107" s="13" t="str">
        <x:f>IF(L107&lt;&gt;"COVERED","HELD — COVERAGE",IF(T107="UNRESOLVED","G DECISION REQUIRED",IF(T107="NOT APPLICABLE","G N/A","G ACTIONABLE")))</x:f>
        <x:v>HELD — COVERAGE</x:v>
      </x:c>
      <x:c r="AC107" s="13" t="str">
        <x:f>IF(L107="UNRESOLVED","COVERAGE FIRST",IF(OR(L107="EXCLUDED",L107="OUT OF SCOPE"),"CLOSED BY COVERAGE",IF(AND(L107="COVERED",T107&lt;&gt;"UNRESOLVED"),"PARTIALLY ADOPTED","DECISIONS REMAIN")))</x:f>
        <x:v>COVERAGE FIRST</x:v>
      </x:c>
    </x:row>
    <x:row r="108">
      <x:c r="A108" s="13" t="str">
        <x:v>NAAFTC-HS6-030195</x:v>
      </x:c>
      <x:c r="B108" s="13" t="str">
        <x:v>030195</x:v>
      </x:c>
      <x:c r="C108" s="13" t="str">
        <x:v>03</x:v>
      </x:c>
      <x:c r="D108" s="13" t="str">
        <x:v>TRILATERAL_1_TO_1_TO_1</x:v>
      </x:c>
      <x:c r="E108" s="13" t="str">
        <x:v>Pending</x:v>
      </x:c>
      <x:c r="F108" s="13" t="n">
        <x:v>1</x:v>
      </x:c>
      <x:c r="G108" s="13" t="n">
        <x:v>1</x:v>
      </x:c>
      <x:c r="H108" s="13" t="n">
        <x:v>1</x:v>
      </x:c>
      <x:c r="I108" s="13" t="str">
        <x:v>0301950000</x:v>
      </x:c>
      <x:c r="J108" s="13" t="str">
        <x:v>0301950100</x:v>
      </x:c>
      <x:c r="K108" s="13" t="str">
        <x:v>0301950000</x:v>
      </x:c>
      <x:c r="L108" s="13" t="str">
        <x:v>UNRESOLVED</x:v>
      </x:c>
      <x:c r="M108" s="13" t="str"/>
      <x:c r="N108" s="13" t="str">
        <x:v>NO / DEFAULT</x:v>
      </x:c>
      <x:c r="O108" s="13" t="str"/>
      <x:c r="P108" s="13" t="str">
        <x:v>NO / DEFAULT</x:v>
      </x:c>
      <x:c r="Q108" s="13" t="str"/>
      <x:c r="R108" s="13" t="str">
        <x:v>INDEPENDENT / DEFAULT</x:v>
      </x:c>
      <x:c r="S108" s="13" t="str"/>
      <x:c r="T108" s="13" t="str">
        <x:v>UNRESOLVED</x:v>
      </x:c>
      <x:c r="U108" s="13" t="str"/>
      <x:c r="V108" s="13" t="str"/>
      <x:c r="W108" s="13" t="str"/>
      <x:c r="X108" s="13" t="str">
        <x:f>IF(L108&lt;&gt;"COVERED","HELD — COVERAGE",IF(N108="YES — SENSITIVE","C ACTIONABLE","CHAPTER 5 DEFAULT"))</x:f>
        <x:v>HELD — COVERAGE</x:v>
      </x:c>
      <x:c r="Y108" s="13" t="str">
        <x:f>IF(L108&lt;&gt;"COVERED","HELD — COVERAGE",IF(P108="YES — MANAGED ACCESS","D ACTIONABLE","NO D FIELD"))</x:f>
        <x:v>HELD — COVERAGE</x:v>
      </x:c>
      <x:c r="Z108" s="13" t="str">
        <x:f>IF(L108&lt;&gt;"COVERED","HELD — COVERAGE",IF(OR(R108="PAIRED SYNCHRONIZED",R108="TRILATERAL SYNCHRONIZED"),"E ACTIONABLE","INDEPENDENT"))</x:f>
        <x:v>HELD — COVERAGE</x:v>
      </x:c>
      <x:c r="AA108" s="13" t="str">
        <x:f>IF(L108&lt;&gt;"COVERED","HELD — COVERAGE","WAIT FOR UPSTREAM COMPLETION")</x:f>
        <x:v>HELD — COVERAGE</x:v>
      </x:c>
      <x:c r="AB108" s="13" t="str">
        <x:f>IF(L108&lt;&gt;"COVERED","HELD — COVERAGE",IF(T108="UNRESOLVED","G DECISION REQUIRED",IF(T108="NOT APPLICABLE","G N/A","G ACTIONABLE")))</x:f>
        <x:v>HELD — COVERAGE</x:v>
      </x:c>
      <x:c r="AC108" s="13" t="str">
        <x:f>IF(L108="UNRESOLVED","COVERAGE FIRST",IF(OR(L108="EXCLUDED",L108="OUT OF SCOPE"),"CLOSED BY COVERAGE",IF(AND(L108="COVERED",T108&lt;&gt;"UNRESOLVED"),"PARTIALLY ADOPTED","DECISIONS REMAIN")))</x:f>
        <x:v>COVERAGE FIRST</x:v>
      </x:c>
    </x:row>
    <x:row r="109">
      <x:c r="A109" s="13" t="str">
        <x:v>NAAFTC-HS6-030199</x:v>
      </x:c>
      <x:c r="B109" s="13" t="str">
        <x:v>030199</x:v>
      </x:c>
      <x:c r="C109" s="13" t="str">
        <x:v>03</x:v>
      </x:c>
      <x:c r="D109" s="13" t="str">
        <x:v>TRILATERAL_SPLIT_MERGE</x:v>
      </x:c>
      <x:c r="E109" s="13" t="str">
        <x:v>Pending</x:v>
      </x:c>
      <x:c r="F109" s="13" t="n">
        <x:v>3</x:v>
      </x:c>
      <x:c r="G109" s="13" t="n">
        <x:v>1</x:v>
      </x:c>
      <x:c r="H109" s="13" t="n">
        <x:v>1</x:v>
      </x:c>
      <x:c r="I109" s="13" t="str">
        <x:v>0301990310; 0301990315; 0301990390</x:v>
      </x:c>
      <x:c r="J109" s="13" t="str">
        <x:v>0301999900</x:v>
      </x:c>
      <x:c r="K109" s="13" t="str">
        <x:v>03019900</x:v>
      </x:c>
      <x:c r="L109" s="13" t="str">
        <x:v>UNRESOLVED</x:v>
      </x:c>
      <x:c r="M109" s="13" t="str"/>
      <x:c r="N109" s="13" t="str">
        <x:v>NO / DEFAULT</x:v>
      </x:c>
      <x:c r="O109" s="13" t="str"/>
      <x:c r="P109" s="13" t="str">
        <x:v>NO / DEFAULT</x:v>
      </x:c>
      <x:c r="Q109" s="13" t="str"/>
      <x:c r="R109" s="13" t="str">
        <x:v>INDEPENDENT / DEFAULT</x:v>
      </x:c>
      <x:c r="S109" s="13" t="str"/>
      <x:c r="T109" s="13" t="str">
        <x:v>UNRESOLVED</x:v>
      </x:c>
      <x:c r="U109" s="13" t="str"/>
      <x:c r="V109" s="13" t="str"/>
      <x:c r="W109" s="13" t="str"/>
      <x:c r="X109" s="13" t="str">
        <x:f>IF(L109&lt;&gt;"COVERED","HELD — COVERAGE",IF(N109="YES — SENSITIVE","C ACTIONABLE","CHAPTER 5 DEFAULT"))</x:f>
        <x:v>HELD — COVERAGE</x:v>
      </x:c>
      <x:c r="Y109" s="13" t="str">
        <x:f>IF(L109&lt;&gt;"COVERED","HELD — COVERAGE",IF(P109="YES — MANAGED ACCESS","D ACTIONABLE","NO D FIELD"))</x:f>
        <x:v>HELD — COVERAGE</x:v>
      </x:c>
      <x:c r="Z109" s="13" t="str">
        <x:f>IF(L109&lt;&gt;"COVERED","HELD — COVERAGE",IF(OR(R109="PAIRED SYNCHRONIZED",R109="TRILATERAL SYNCHRONIZED"),"E ACTIONABLE","INDEPENDENT"))</x:f>
        <x:v>HELD — COVERAGE</x:v>
      </x:c>
      <x:c r="AA109" s="13" t="str">
        <x:f>IF(L109&lt;&gt;"COVERED","HELD — COVERAGE","WAIT FOR UPSTREAM COMPLETION")</x:f>
        <x:v>HELD — COVERAGE</x:v>
      </x:c>
      <x:c r="AB109" s="13" t="str">
        <x:f>IF(L109&lt;&gt;"COVERED","HELD — COVERAGE",IF(T109="UNRESOLVED","G DECISION REQUIRED",IF(T109="NOT APPLICABLE","G N/A","G ACTIONABLE")))</x:f>
        <x:v>HELD — COVERAGE</x:v>
      </x:c>
      <x:c r="AC109" s="13" t="str">
        <x:f>IF(L109="UNRESOLVED","COVERAGE FIRST",IF(OR(L109="EXCLUDED",L109="OUT OF SCOPE"),"CLOSED BY COVERAGE",IF(AND(L109="COVERED",T109&lt;&gt;"UNRESOLVED"),"PARTIALLY ADOPTED","DECISIONS REMAIN")))</x:f>
        <x:v>COVERAGE FIRST</x:v>
      </x:c>
    </x:row>
    <x:row r="110">
      <x:c r="A110" s="13" t="str">
        <x:v>NAAFTC-HS6-030211</x:v>
      </x:c>
      <x:c r="B110" s="13" t="str">
        <x:v>030211</x:v>
      </x:c>
      <x:c r="C110" s="13" t="str">
        <x:v>03</x:v>
      </x:c>
      <x:c r="D110" s="13" t="str">
        <x:v>TRILATERAL_SPLIT_MERGE</x:v>
      </x:c>
      <x:c r="E110" s="13" t="str">
        <x:v>Pending</x:v>
      </x:c>
      <x:c r="F110" s="13" t="n">
        <x:v>2</x:v>
      </x:c>
      <x:c r="G110" s="13" t="n">
        <x:v>1</x:v>
      </x:c>
      <x:c r="H110" s="13" t="n">
        <x:v>1</x:v>
      </x:c>
      <x:c r="I110" s="13" t="str">
        <x:v>0302110010; 0302110090</x:v>
      </x:c>
      <x:c r="J110" s="13" t="str">
        <x:v>0302110100</x:v>
      </x:c>
      <x:c r="K110" s="13" t="str">
        <x:v>03021100</x:v>
      </x:c>
      <x:c r="L110" s="13" t="str">
        <x:v>UNRESOLVED</x:v>
      </x:c>
      <x:c r="M110" s="13" t="str"/>
      <x:c r="N110" s="13" t="str">
        <x:v>NO / DEFAULT</x:v>
      </x:c>
      <x:c r="O110" s="13" t="str"/>
      <x:c r="P110" s="13" t="str">
        <x:v>NO / DEFAULT</x:v>
      </x:c>
      <x:c r="Q110" s="13" t="str"/>
      <x:c r="R110" s="13" t="str">
        <x:v>INDEPENDENT / DEFAULT</x:v>
      </x:c>
      <x:c r="S110" s="13" t="str"/>
      <x:c r="T110" s="13" t="str">
        <x:v>UNRESOLVED</x:v>
      </x:c>
      <x:c r="U110" s="13" t="str"/>
      <x:c r="V110" s="13" t="str"/>
      <x:c r="W110" s="13" t="str"/>
      <x:c r="X110" s="13" t="str">
        <x:f>IF(L110&lt;&gt;"COVERED","HELD — COVERAGE",IF(N110="YES — SENSITIVE","C ACTIONABLE","CHAPTER 5 DEFAULT"))</x:f>
        <x:v>HELD — COVERAGE</x:v>
      </x:c>
      <x:c r="Y110" s="13" t="str">
        <x:f>IF(L110&lt;&gt;"COVERED","HELD — COVERAGE",IF(P110="YES — MANAGED ACCESS","D ACTIONABLE","NO D FIELD"))</x:f>
        <x:v>HELD — COVERAGE</x:v>
      </x:c>
      <x:c r="Z110" s="13" t="str">
        <x:f>IF(L110&lt;&gt;"COVERED","HELD — COVERAGE",IF(OR(R110="PAIRED SYNCHRONIZED",R110="TRILATERAL SYNCHRONIZED"),"E ACTIONABLE","INDEPENDENT"))</x:f>
        <x:v>HELD — COVERAGE</x:v>
      </x:c>
      <x:c r="AA110" s="13" t="str">
        <x:f>IF(L110&lt;&gt;"COVERED","HELD — COVERAGE","WAIT FOR UPSTREAM COMPLETION")</x:f>
        <x:v>HELD — COVERAGE</x:v>
      </x:c>
      <x:c r="AB110" s="13" t="str">
        <x:f>IF(L110&lt;&gt;"COVERED","HELD — COVERAGE",IF(T110="UNRESOLVED","G DECISION REQUIRED",IF(T110="NOT APPLICABLE","G N/A","G ACTIONABLE")))</x:f>
        <x:v>HELD — COVERAGE</x:v>
      </x:c>
      <x:c r="AC110" s="13" t="str">
        <x:f>IF(L110="UNRESOLVED","COVERAGE FIRST",IF(OR(L110="EXCLUDED",L110="OUT OF SCOPE"),"CLOSED BY COVERAGE",IF(AND(L110="COVERED",T110&lt;&gt;"UNRESOLVED"),"PARTIALLY ADOPTED","DECISIONS REMAIN")))</x:f>
        <x:v>COVERAGE FIRST</x:v>
      </x:c>
    </x:row>
    <x:row r="111">
      <x:c r="A111" s="13" t="str">
        <x:v>NAAFTC-HS6-030213</x:v>
      </x:c>
      <x:c r="B111" s="13" t="str">
        <x:v>030213</x:v>
      </x:c>
      <x:c r="C111" s="13" t="str">
        <x:v>03</x:v>
      </x:c>
      <x:c r="D111" s="13" t="str">
        <x:v>TRILATERAL_SPLIT_MERGE</x:v>
      </x:c>
      <x:c r="E111" s="13" t="str">
        <x:v>Pending</x:v>
      </x:c>
      <x:c r="F111" s="13" t="n">
        <x:v>8</x:v>
      </x:c>
      <x:c r="G111" s="13" t="n">
        <x:v>1</x:v>
      </x:c>
      <x:c r="H111" s="13" t="n">
        <x:v>1</x:v>
      </x:c>
      <x:c r="I111" s="13" t="str">
        <x:v>0302130013; 0302130014; 0302130022; 0302130032; 0302130042; 0302130053; +2 more</x:v>
      </x:c>
      <x:c r="J111" s="13" t="str">
        <x:v>0302130100</x:v>
      </x:c>
      <x:c r="K111" s="13" t="str">
        <x:v>03021300</x:v>
      </x:c>
      <x:c r="L111" s="13" t="str">
        <x:v>UNRESOLVED</x:v>
      </x:c>
      <x:c r="M111" s="13" t="str"/>
      <x:c r="N111" s="13" t="str">
        <x:v>NO / DEFAULT</x:v>
      </x:c>
      <x:c r="O111" s="13" t="str"/>
      <x:c r="P111" s="13" t="str">
        <x:v>NO / DEFAULT</x:v>
      </x:c>
      <x:c r="Q111" s="13" t="str"/>
      <x:c r="R111" s="13" t="str">
        <x:v>INDEPENDENT / DEFAULT</x:v>
      </x:c>
      <x:c r="S111" s="13" t="str"/>
      <x:c r="T111" s="13" t="str">
        <x:v>UNRESOLVED</x:v>
      </x:c>
      <x:c r="U111" s="13" t="str"/>
      <x:c r="V111" s="13" t="str"/>
      <x:c r="W111" s="13" t="str"/>
      <x:c r="X111" s="13" t="str">
        <x:f>IF(L111&lt;&gt;"COVERED","HELD — COVERAGE",IF(N111="YES — SENSITIVE","C ACTIONABLE","CHAPTER 5 DEFAULT"))</x:f>
        <x:v>HELD — COVERAGE</x:v>
      </x:c>
      <x:c r="Y111" s="13" t="str">
        <x:f>IF(L111&lt;&gt;"COVERED","HELD — COVERAGE",IF(P111="YES — MANAGED ACCESS","D ACTIONABLE","NO D FIELD"))</x:f>
        <x:v>HELD — COVERAGE</x:v>
      </x:c>
      <x:c r="Z111" s="13" t="str">
        <x:f>IF(L111&lt;&gt;"COVERED","HELD — COVERAGE",IF(OR(R111="PAIRED SYNCHRONIZED",R111="TRILATERAL SYNCHRONIZED"),"E ACTIONABLE","INDEPENDENT"))</x:f>
        <x:v>HELD — COVERAGE</x:v>
      </x:c>
      <x:c r="AA111" s="13" t="str">
        <x:f>IF(L111&lt;&gt;"COVERED","HELD — COVERAGE","WAIT FOR UPSTREAM COMPLETION")</x:f>
        <x:v>HELD — COVERAGE</x:v>
      </x:c>
      <x:c r="AB111" s="13" t="str">
        <x:f>IF(L111&lt;&gt;"COVERED","HELD — COVERAGE",IF(T111="UNRESOLVED","G DECISION REQUIRED",IF(T111="NOT APPLICABLE","G N/A","G ACTIONABLE")))</x:f>
        <x:v>HELD — COVERAGE</x:v>
      </x:c>
      <x:c r="AC111" s="13" t="str">
        <x:f>IF(L111="UNRESOLVED","COVERAGE FIRST",IF(OR(L111="EXCLUDED",L111="OUT OF SCOPE"),"CLOSED BY COVERAGE",IF(AND(L111="COVERED",T111&lt;&gt;"UNRESOLVED"),"PARTIALLY ADOPTED","DECISIONS REMAIN")))</x:f>
        <x:v>COVERAGE FIRST</x:v>
      </x:c>
    </x:row>
    <x:row r="112">
      <x:c r="A112" s="13" t="str">
        <x:v>NAAFTC-HS6-030214</x:v>
      </x:c>
      <x:c r="B112" s="13" t="str">
        <x:v>030214</x:v>
      </x:c>
      <x:c r="C112" s="13" t="str">
        <x:v>03</x:v>
      </x:c>
      <x:c r="D112" s="13" t="str">
        <x:v>TRILATERAL_SPLIT_MERGE</x:v>
      </x:c>
      <x:c r="E112" s="13" t="str">
        <x:v>Pending</x:v>
      </x:c>
      <x:c r="F112" s="13" t="n">
        <x:v>3</x:v>
      </x:c>
      <x:c r="G112" s="13" t="n">
        <x:v>1</x:v>
      </x:c>
      <x:c r="H112" s="13" t="n">
        <x:v>1</x:v>
      </x:c>
      <x:c r="I112" s="13" t="str">
        <x:v>0302140003; 0302140004; 0302140062</x:v>
      </x:c>
      <x:c r="J112" s="13" t="str">
        <x:v>0302140100</x:v>
      </x:c>
      <x:c r="K112" s="13" t="str">
        <x:v>03021400</x:v>
      </x:c>
      <x:c r="L112" s="13" t="str">
        <x:v>UNRESOLVED</x:v>
      </x:c>
      <x:c r="M112" s="13" t="str"/>
      <x:c r="N112" s="13" t="str">
        <x:v>NO / DEFAULT</x:v>
      </x:c>
      <x:c r="O112" s="13" t="str"/>
      <x:c r="P112" s="13" t="str">
        <x:v>NO / DEFAULT</x:v>
      </x:c>
      <x:c r="Q112" s="13" t="str"/>
      <x:c r="R112" s="13" t="str">
        <x:v>INDEPENDENT / DEFAULT</x:v>
      </x:c>
      <x:c r="S112" s="13" t="str"/>
      <x:c r="T112" s="13" t="str">
        <x:v>UNRESOLVED</x:v>
      </x:c>
      <x:c r="U112" s="13" t="str"/>
      <x:c r="V112" s="13" t="str"/>
      <x:c r="W112" s="13" t="str"/>
      <x:c r="X112" s="13" t="str">
        <x:f>IF(L112&lt;&gt;"COVERED","HELD — COVERAGE",IF(N112="YES — SENSITIVE","C ACTIONABLE","CHAPTER 5 DEFAULT"))</x:f>
        <x:v>HELD — COVERAGE</x:v>
      </x:c>
      <x:c r="Y112" s="13" t="str">
        <x:f>IF(L112&lt;&gt;"COVERED","HELD — COVERAGE",IF(P112="YES — MANAGED ACCESS","D ACTIONABLE","NO D FIELD"))</x:f>
        <x:v>HELD — COVERAGE</x:v>
      </x:c>
      <x:c r="Z112" s="13" t="str">
        <x:f>IF(L112&lt;&gt;"COVERED","HELD — COVERAGE",IF(OR(R112="PAIRED SYNCHRONIZED",R112="TRILATERAL SYNCHRONIZED"),"E ACTIONABLE","INDEPENDENT"))</x:f>
        <x:v>HELD — COVERAGE</x:v>
      </x:c>
      <x:c r="AA112" s="13" t="str">
        <x:f>IF(L112&lt;&gt;"COVERED","HELD — COVERAGE","WAIT FOR UPSTREAM COMPLETION")</x:f>
        <x:v>HELD — COVERAGE</x:v>
      </x:c>
      <x:c r="AB112" s="13" t="str">
        <x:f>IF(L112&lt;&gt;"COVERED","HELD — COVERAGE",IF(T112="UNRESOLVED","G DECISION REQUIRED",IF(T112="NOT APPLICABLE","G N/A","G ACTIONABLE")))</x:f>
        <x:v>HELD — COVERAGE</x:v>
      </x:c>
      <x:c r="AC112" s="13" t="str">
        <x:f>IF(L112="UNRESOLVED","COVERAGE FIRST",IF(OR(L112="EXCLUDED",L112="OUT OF SCOPE"),"CLOSED BY COVERAGE",IF(AND(L112="COVERED",T112&lt;&gt;"UNRESOLVED"),"PARTIALLY ADOPTED","DECISIONS REMAIN")))</x:f>
        <x:v>COVERAGE FIRST</x:v>
      </x:c>
    </x:row>
    <x:row r="113">
      <x:c r="A113" s="13" t="str">
        <x:v>NAAFTC-HS6-030219</x:v>
      </x:c>
      <x:c r="B113" s="13" t="str">
        <x:v>030219</x:v>
      </x:c>
      <x:c r="C113" s="13" t="str">
        <x:v>03</x:v>
      </x:c>
      <x:c r="D113" s="13" t="str">
        <x:v>TRILATERAL_1_TO_1_TO_1</x:v>
      </x:c>
      <x:c r="E113" s="13" t="str">
        <x:v>Pending</x:v>
      </x:c>
      <x:c r="F113" s="13" t="n">
        <x:v>1</x:v>
      </x:c>
      <x:c r="G113" s="13" t="n">
        <x:v>1</x:v>
      </x:c>
      <x:c r="H113" s="13" t="n">
        <x:v>1</x:v>
      </x:c>
      <x:c r="I113" s="13" t="str">
        <x:v>0302190000</x:v>
      </x:c>
      <x:c r="J113" s="13" t="str">
        <x:v>0302199900</x:v>
      </x:c>
      <x:c r="K113" s="13" t="str">
        <x:v>0302190000</x:v>
      </x:c>
      <x:c r="L113" s="13" t="str">
        <x:v>UNRESOLVED</x:v>
      </x:c>
      <x:c r="M113" s="13" t="str"/>
      <x:c r="N113" s="13" t="str">
        <x:v>NO / DEFAULT</x:v>
      </x:c>
      <x:c r="O113" s="13" t="str"/>
      <x:c r="P113" s="13" t="str">
        <x:v>NO / DEFAULT</x:v>
      </x:c>
      <x:c r="Q113" s="13" t="str"/>
      <x:c r="R113" s="13" t="str">
        <x:v>INDEPENDENT / DEFAULT</x:v>
      </x:c>
      <x:c r="S113" s="13" t="str"/>
      <x:c r="T113" s="13" t="str">
        <x:v>UNRESOLVED</x:v>
      </x:c>
      <x:c r="U113" s="13" t="str"/>
      <x:c r="V113" s="13" t="str"/>
      <x:c r="W113" s="13" t="str"/>
      <x:c r="X113" s="13" t="str">
        <x:f>IF(L113&lt;&gt;"COVERED","HELD — COVERAGE",IF(N113="YES — SENSITIVE","C ACTIONABLE","CHAPTER 5 DEFAULT"))</x:f>
        <x:v>HELD — COVERAGE</x:v>
      </x:c>
      <x:c r="Y113" s="13" t="str">
        <x:f>IF(L113&lt;&gt;"COVERED","HELD — COVERAGE",IF(P113="YES — MANAGED ACCESS","D ACTIONABLE","NO D FIELD"))</x:f>
        <x:v>HELD — COVERAGE</x:v>
      </x:c>
      <x:c r="Z113" s="13" t="str">
        <x:f>IF(L113&lt;&gt;"COVERED","HELD — COVERAGE",IF(OR(R113="PAIRED SYNCHRONIZED",R113="TRILATERAL SYNCHRONIZED"),"E ACTIONABLE","INDEPENDENT"))</x:f>
        <x:v>HELD — COVERAGE</x:v>
      </x:c>
      <x:c r="AA113" s="13" t="str">
        <x:f>IF(L113&lt;&gt;"COVERED","HELD — COVERAGE","WAIT FOR UPSTREAM COMPLETION")</x:f>
        <x:v>HELD — COVERAGE</x:v>
      </x:c>
      <x:c r="AB113" s="13" t="str">
        <x:f>IF(L113&lt;&gt;"COVERED","HELD — COVERAGE",IF(T113="UNRESOLVED","G DECISION REQUIRED",IF(T113="NOT APPLICABLE","G N/A","G ACTIONABLE")))</x:f>
        <x:v>HELD — COVERAGE</x:v>
      </x:c>
      <x:c r="AC113" s="13" t="str">
        <x:f>IF(L113="UNRESOLVED","COVERAGE FIRST",IF(OR(L113="EXCLUDED",L113="OUT OF SCOPE"),"CLOSED BY COVERAGE",IF(AND(L113="COVERED",T113&lt;&gt;"UNRESOLVED"),"PARTIALLY ADOPTED","DECISIONS REMAIN")))</x:f>
        <x:v>COVERAGE FIRST</x:v>
      </x:c>
    </x:row>
    <x:row r="114">
      <x:c r="A114" s="13" t="str">
        <x:v>NAAFTC-HS6-030221</x:v>
      </x:c>
      <x:c r="B114" s="13" t="str">
        <x:v>030221</x:v>
      </x:c>
      <x:c r="C114" s="13" t="str">
        <x:v>03</x:v>
      </x:c>
      <x:c r="D114" s="13" t="str">
        <x:v>TRILATERAL_SPLIT_MERGE</x:v>
      </x:c>
      <x:c r="E114" s="13" t="str">
        <x:v>Pending</x:v>
      </x:c>
      <x:c r="F114" s="13" t="n">
        <x:v>3</x:v>
      </x:c>
      <x:c r="G114" s="13" t="n">
        <x:v>1</x:v>
      </x:c>
      <x:c r="H114" s="13" t="n">
        <x:v>1</x:v>
      </x:c>
      <x:c r="I114" s="13" t="str">
        <x:v>0302210010; 0302210020; 0302210090</x:v>
      </x:c>
      <x:c r="J114" s="13" t="str">
        <x:v>0302210100</x:v>
      </x:c>
      <x:c r="K114" s="13" t="str">
        <x:v>03022100</x:v>
      </x:c>
      <x:c r="L114" s="13" t="str">
        <x:v>UNRESOLVED</x:v>
      </x:c>
      <x:c r="M114" s="13" t="str"/>
      <x:c r="N114" s="13" t="str">
        <x:v>NO / DEFAULT</x:v>
      </x:c>
      <x:c r="O114" s="13" t="str"/>
      <x:c r="P114" s="13" t="str">
        <x:v>NO / DEFAULT</x:v>
      </x:c>
      <x:c r="Q114" s="13" t="str"/>
      <x:c r="R114" s="13" t="str">
        <x:v>INDEPENDENT / DEFAULT</x:v>
      </x:c>
      <x:c r="S114" s="13" t="str"/>
      <x:c r="T114" s="13" t="str">
        <x:v>UNRESOLVED</x:v>
      </x:c>
      <x:c r="U114" s="13" t="str"/>
      <x:c r="V114" s="13" t="str"/>
      <x:c r="W114" s="13" t="str"/>
      <x:c r="X114" s="13" t="str">
        <x:f>IF(L114&lt;&gt;"COVERED","HELD — COVERAGE",IF(N114="YES — SENSITIVE","C ACTIONABLE","CHAPTER 5 DEFAULT"))</x:f>
        <x:v>HELD — COVERAGE</x:v>
      </x:c>
      <x:c r="Y114" s="13" t="str">
        <x:f>IF(L114&lt;&gt;"COVERED","HELD — COVERAGE",IF(P114="YES — MANAGED ACCESS","D ACTIONABLE","NO D FIELD"))</x:f>
        <x:v>HELD — COVERAGE</x:v>
      </x:c>
      <x:c r="Z114" s="13" t="str">
        <x:f>IF(L114&lt;&gt;"COVERED","HELD — COVERAGE",IF(OR(R114="PAIRED SYNCHRONIZED",R114="TRILATERAL SYNCHRONIZED"),"E ACTIONABLE","INDEPENDENT"))</x:f>
        <x:v>HELD — COVERAGE</x:v>
      </x:c>
      <x:c r="AA114" s="13" t="str">
        <x:f>IF(L114&lt;&gt;"COVERED","HELD — COVERAGE","WAIT FOR UPSTREAM COMPLETION")</x:f>
        <x:v>HELD — COVERAGE</x:v>
      </x:c>
      <x:c r="AB114" s="13" t="str">
        <x:f>IF(L114&lt;&gt;"COVERED","HELD — COVERAGE",IF(T114="UNRESOLVED","G DECISION REQUIRED",IF(T114="NOT APPLICABLE","G N/A","G ACTIONABLE")))</x:f>
        <x:v>HELD — COVERAGE</x:v>
      </x:c>
      <x:c r="AC114" s="13" t="str">
        <x:f>IF(L114="UNRESOLVED","COVERAGE FIRST",IF(OR(L114="EXCLUDED",L114="OUT OF SCOPE"),"CLOSED BY COVERAGE",IF(AND(L114="COVERED",T114&lt;&gt;"UNRESOLVED"),"PARTIALLY ADOPTED","DECISIONS REMAIN")))</x:f>
        <x:v>COVERAGE FIRST</x:v>
      </x:c>
    </x:row>
    <x:row r="115">
      <x:c r="A115" s="13" t="str">
        <x:v>NAAFTC-HS6-030222</x:v>
      </x:c>
      <x:c r="B115" s="13" t="str">
        <x:v>030222</x:v>
      </x:c>
      <x:c r="C115" s="13" t="str">
        <x:v>03</x:v>
      </x:c>
      <x:c r="D115" s="13" t="str">
        <x:v>TRILATERAL_1_TO_1_TO_1</x:v>
      </x:c>
      <x:c r="E115" s="13" t="str">
        <x:v>Pending</x:v>
      </x:c>
      <x:c r="F115" s="13" t="n">
        <x:v>1</x:v>
      </x:c>
      <x:c r="G115" s="13" t="n">
        <x:v>1</x:v>
      </x:c>
      <x:c r="H115" s="13" t="n">
        <x:v>1</x:v>
      </x:c>
      <x:c r="I115" s="13" t="str">
        <x:v>0302220000</x:v>
      </x:c>
      <x:c r="J115" s="13" t="str">
        <x:v>0302220100</x:v>
      </x:c>
      <x:c r="K115" s="13" t="str">
        <x:v>0302220000</x:v>
      </x:c>
      <x:c r="L115" s="13" t="str">
        <x:v>UNRESOLVED</x:v>
      </x:c>
      <x:c r="M115" s="13" t="str"/>
      <x:c r="N115" s="13" t="str">
        <x:v>NO / DEFAULT</x:v>
      </x:c>
      <x:c r="O115" s="13" t="str"/>
      <x:c r="P115" s="13" t="str">
        <x:v>NO / DEFAULT</x:v>
      </x:c>
      <x:c r="Q115" s="13" t="str"/>
      <x:c r="R115" s="13" t="str">
        <x:v>INDEPENDENT / DEFAULT</x:v>
      </x:c>
      <x:c r="S115" s="13" t="str"/>
      <x:c r="T115" s="13" t="str">
        <x:v>UNRESOLVED</x:v>
      </x:c>
      <x:c r="U115" s="13" t="str"/>
      <x:c r="V115" s="13" t="str"/>
      <x:c r="W115" s="13" t="str"/>
      <x:c r="X115" s="13" t="str">
        <x:f>IF(L115&lt;&gt;"COVERED","HELD — COVERAGE",IF(N115="YES — SENSITIVE","C ACTIONABLE","CHAPTER 5 DEFAULT"))</x:f>
        <x:v>HELD — COVERAGE</x:v>
      </x:c>
      <x:c r="Y115" s="13" t="str">
        <x:f>IF(L115&lt;&gt;"COVERED","HELD — COVERAGE",IF(P115="YES — MANAGED ACCESS","D ACTIONABLE","NO D FIELD"))</x:f>
        <x:v>HELD — COVERAGE</x:v>
      </x:c>
      <x:c r="Z115" s="13" t="str">
        <x:f>IF(L115&lt;&gt;"COVERED","HELD — COVERAGE",IF(OR(R115="PAIRED SYNCHRONIZED",R115="TRILATERAL SYNCHRONIZED"),"E ACTIONABLE","INDEPENDENT"))</x:f>
        <x:v>HELD — COVERAGE</x:v>
      </x:c>
      <x:c r="AA115" s="13" t="str">
        <x:f>IF(L115&lt;&gt;"COVERED","HELD — COVERAGE","WAIT FOR UPSTREAM COMPLETION")</x:f>
        <x:v>HELD — COVERAGE</x:v>
      </x:c>
      <x:c r="AB115" s="13" t="str">
        <x:f>IF(L115&lt;&gt;"COVERED","HELD — COVERAGE",IF(T115="UNRESOLVED","G DECISION REQUIRED",IF(T115="NOT APPLICABLE","G N/A","G ACTIONABLE")))</x:f>
        <x:v>HELD — COVERAGE</x:v>
      </x:c>
      <x:c r="AC115" s="13" t="str">
        <x:f>IF(L115="UNRESOLVED","COVERAGE FIRST",IF(OR(L115="EXCLUDED",L115="OUT OF SCOPE"),"CLOSED BY COVERAGE",IF(AND(L115="COVERED",T115&lt;&gt;"UNRESOLVED"),"PARTIALLY ADOPTED","DECISIONS REMAIN")))</x:f>
        <x:v>COVERAGE FIRST</x:v>
      </x:c>
    </x:row>
    <x:row r="116">
      <x:c r="A116" s="13" t="str">
        <x:v>NAAFTC-HS6-030223</x:v>
      </x:c>
      <x:c r="B116" s="13" t="str">
        <x:v>030223</x:v>
      </x:c>
      <x:c r="C116" s="13" t="str">
        <x:v>03</x:v>
      </x:c>
      <x:c r="D116" s="13" t="str">
        <x:v>TRILATERAL_1_TO_1_TO_1</x:v>
      </x:c>
      <x:c r="E116" s="13" t="str">
        <x:v>Pending</x:v>
      </x:c>
      <x:c r="F116" s="13" t="n">
        <x:v>1</x:v>
      </x:c>
      <x:c r="G116" s="13" t="n">
        <x:v>1</x:v>
      </x:c>
      <x:c r="H116" s="13" t="n">
        <x:v>1</x:v>
      </x:c>
      <x:c r="I116" s="13" t="str">
        <x:v>0302230000</x:v>
      </x:c>
      <x:c r="J116" s="13" t="str">
        <x:v>0302230100</x:v>
      </x:c>
      <x:c r="K116" s="13" t="str">
        <x:v>0302230000</x:v>
      </x:c>
      <x:c r="L116" s="13" t="str">
        <x:v>UNRESOLVED</x:v>
      </x:c>
      <x:c r="M116" s="13" t="str"/>
      <x:c r="N116" s="13" t="str">
        <x:v>NO / DEFAULT</x:v>
      </x:c>
      <x:c r="O116" s="13" t="str"/>
      <x:c r="P116" s="13" t="str">
        <x:v>NO / DEFAULT</x:v>
      </x:c>
      <x:c r="Q116" s="13" t="str"/>
      <x:c r="R116" s="13" t="str">
        <x:v>INDEPENDENT / DEFAULT</x:v>
      </x:c>
      <x:c r="S116" s="13" t="str"/>
      <x:c r="T116" s="13" t="str">
        <x:v>UNRESOLVED</x:v>
      </x:c>
      <x:c r="U116" s="13" t="str"/>
      <x:c r="V116" s="13" t="str"/>
      <x:c r="W116" s="13" t="str"/>
      <x:c r="X116" s="13" t="str">
        <x:f>IF(L116&lt;&gt;"COVERED","HELD — COVERAGE",IF(N116="YES — SENSITIVE","C ACTIONABLE","CHAPTER 5 DEFAULT"))</x:f>
        <x:v>HELD — COVERAGE</x:v>
      </x:c>
      <x:c r="Y116" s="13" t="str">
        <x:f>IF(L116&lt;&gt;"COVERED","HELD — COVERAGE",IF(P116="YES — MANAGED ACCESS","D ACTIONABLE","NO D FIELD"))</x:f>
        <x:v>HELD — COVERAGE</x:v>
      </x:c>
      <x:c r="Z116" s="13" t="str">
        <x:f>IF(L116&lt;&gt;"COVERED","HELD — COVERAGE",IF(OR(R116="PAIRED SYNCHRONIZED",R116="TRILATERAL SYNCHRONIZED"),"E ACTIONABLE","INDEPENDENT"))</x:f>
        <x:v>HELD — COVERAGE</x:v>
      </x:c>
      <x:c r="AA116" s="13" t="str">
        <x:f>IF(L116&lt;&gt;"COVERED","HELD — COVERAGE","WAIT FOR UPSTREAM COMPLETION")</x:f>
        <x:v>HELD — COVERAGE</x:v>
      </x:c>
      <x:c r="AB116" s="13" t="str">
        <x:f>IF(L116&lt;&gt;"COVERED","HELD — COVERAGE",IF(T116="UNRESOLVED","G DECISION REQUIRED",IF(T116="NOT APPLICABLE","G N/A","G ACTIONABLE")))</x:f>
        <x:v>HELD — COVERAGE</x:v>
      </x:c>
      <x:c r="AC116" s="13" t="str">
        <x:f>IF(L116="UNRESOLVED","COVERAGE FIRST",IF(OR(L116="EXCLUDED",L116="OUT OF SCOPE"),"CLOSED BY COVERAGE",IF(AND(L116="COVERED",T116&lt;&gt;"UNRESOLVED"),"PARTIALLY ADOPTED","DECISIONS REMAIN")))</x:f>
        <x:v>COVERAGE FIRST</x:v>
      </x:c>
    </x:row>
    <x:row r="117">
      <x:c r="A117" s="13" t="str">
        <x:v>NAAFTC-HS6-030224</x:v>
      </x:c>
      <x:c r="B117" s="13" t="str">
        <x:v>030224</x:v>
      </x:c>
      <x:c r="C117" s="13" t="str">
        <x:v>03</x:v>
      </x:c>
      <x:c r="D117" s="13" t="str">
        <x:v>TRILATERAL_1_TO_1_TO_1</x:v>
      </x:c>
      <x:c r="E117" s="13" t="str">
        <x:v>Pending</x:v>
      </x:c>
      <x:c r="F117" s="13" t="n">
        <x:v>1</x:v>
      </x:c>
      <x:c r="G117" s="13" t="n">
        <x:v>1</x:v>
      </x:c>
      <x:c r="H117" s="13" t="n">
        <x:v>1</x:v>
      </x:c>
      <x:c r="I117" s="13" t="str">
        <x:v>0302240000</x:v>
      </x:c>
      <x:c r="J117" s="13" t="str">
        <x:v>0302240100</x:v>
      </x:c>
      <x:c r="K117" s="13" t="str">
        <x:v>0302240000</x:v>
      </x:c>
      <x:c r="L117" s="13" t="str">
        <x:v>UNRESOLVED</x:v>
      </x:c>
      <x:c r="M117" s="13" t="str"/>
      <x:c r="N117" s="13" t="str">
        <x:v>NO / DEFAULT</x:v>
      </x:c>
      <x:c r="O117" s="13" t="str"/>
      <x:c r="P117" s="13" t="str">
        <x:v>NO / DEFAULT</x:v>
      </x:c>
      <x:c r="Q117" s="13" t="str"/>
      <x:c r="R117" s="13" t="str">
        <x:v>INDEPENDENT / DEFAULT</x:v>
      </x:c>
      <x:c r="S117" s="13" t="str"/>
      <x:c r="T117" s="13" t="str">
        <x:v>UNRESOLVED</x:v>
      </x:c>
      <x:c r="U117" s="13" t="str"/>
      <x:c r="V117" s="13" t="str"/>
      <x:c r="W117" s="13" t="str"/>
      <x:c r="X117" s="13" t="str">
        <x:f>IF(L117&lt;&gt;"COVERED","HELD — COVERAGE",IF(N117="YES — SENSITIVE","C ACTIONABLE","CHAPTER 5 DEFAULT"))</x:f>
        <x:v>HELD — COVERAGE</x:v>
      </x:c>
      <x:c r="Y117" s="13" t="str">
        <x:f>IF(L117&lt;&gt;"COVERED","HELD — COVERAGE",IF(P117="YES — MANAGED ACCESS","D ACTIONABLE","NO D FIELD"))</x:f>
        <x:v>HELD — COVERAGE</x:v>
      </x:c>
      <x:c r="Z117" s="13" t="str">
        <x:f>IF(L117&lt;&gt;"COVERED","HELD — COVERAGE",IF(OR(R117="PAIRED SYNCHRONIZED",R117="TRILATERAL SYNCHRONIZED"),"E ACTIONABLE","INDEPENDENT"))</x:f>
        <x:v>HELD — COVERAGE</x:v>
      </x:c>
      <x:c r="AA117" s="13" t="str">
        <x:f>IF(L117&lt;&gt;"COVERED","HELD — COVERAGE","WAIT FOR UPSTREAM COMPLETION")</x:f>
        <x:v>HELD — COVERAGE</x:v>
      </x:c>
      <x:c r="AB117" s="13" t="str">
        <x:f>IF(L117&lt;&gt;"COVERED","HELD — COVERAGE",IF(T117="UNRESOLVED","G DECISION REQUIRED",IF(T117="NOT APPLICABLE","G N/A","G ACTIONABLE")))</x:f>
        <x:v>HELD — COVERAGE</x:v>
      </x:c>
      <x:c r="AC117" s="13" t="str">
        <x:f>IF(L117="UNRESOLVED","COVERAGE FIRST",IF(OR(L117="EXCLUDED",L117="OUT OF SCOPE"),"CLOSED BY COVERAGE",IF(AND(L117="COVERED",T117&lt;&gt;"UNRESOLVED"),"PARTIALLY ADOPTED","DECISIONS REMAIN")))</x:f>
        <x:v>COVERAGE FIRST</x:v>
      </x:c>
    </x:row>
    <x:row r="118">
      <x:c r="A118" s="13" t="str">
        <x:v>NAAFTC-HS6-030229</x:v>
      </x:c>
      <x:c r="B118" s="13" t="str">
        <x:v>030229</x:v>
      </x:c>
      <x:c r="C118" s="13" t="str">
        <x:v>03</x:v>
      </x:c>
      <x:c r="D118" s="13" t="str">
        <x:v>TRILATERAL_SPLIT_MERGE</x:v>
      </x:c>
      <x:c r="E118" s="13" t="str">
        <x:v>Pending</x:v>
      </x:c>
      <x:c r="F118" s="13" t="n">
        <x:v>2</x:v>
      </x:c>
      <x:c r="G118" s="13" t="n">
        <x:v>1</x:v>
      </x:c>
      <x:c r="H118" s="13" t="n">
        <x:v>1</x:v>
      </x:c>
      <x:c r="I118" s="13" t="str">
        <x:v>0302290110; 0302290190</x:v>
      </x:c>
      <x:c r="J118" s="13" t="str">
        <x:v>0302299900</x:v>
      </x:c>
      <x:c r="K118" s="13" t="str">
        <x:v>0302290000</x:v>
      </x:c>
      <x:c r="L118" s="13" t="str">
        <x:v>UNRESOLVED</x:v>
      </x:c>
      <x:c r="M118" s="13" t="str"/>
      <x:c r="N118" s="13" t="str">
        <x:v>NO / DEFAULT</x:v>
      </x:c>
      <x:c r="O118" s="13" t="str"/>
      <x:c r="P118" s="13" t="str">
        <x:v>NO / DEFAULT</x:v>
      </x:c>
      <x:c r="Q118" s="13" t="str"/>
      <x:c r="R118" s="13" t="str">
        <x:v>INDEPENDENT / DEFAULT</x:v>
      </x:c>
      <x:c r="S118" s="13" t="str"/>
      <x:c r="T118" s="13" t="str">
        <x:v>UNRESOLVED</x:v>
      </x:c>
      <x:c r="U118" s="13" t="str"/>
      <x:c r="V118" s="13" t="str"/>
      <x:c r="W118" s="13" t="str"/>
      <x:c r="X118" s="13" t="str">
        <x:f>IF(L118&lt;&gt;"COVERED","HELD — COVERAGE",IF(N118="YES — SENSITIVE","C ACTIONABLE","CHAPTER 5 DEFAULT"))</x:f>
        <x:v>HELD — COVERAGE</x:v>
      </x:c>
      <x:c r="Y118" s="13" t="str">
        <x:f>IF(L118&lt;&gt;"COVERED","HELD — COVERAGE",IF(P118="YES — MANAGED ACCESS","D ACTIONABLE","NO D FIELD"))</x:f>
        <x:v>HELD — COVERAGE</x:v>
      </x:c>
      <x:c r="Z118" s="13" t="str">
        <x:f>IF(L118&lt;&gt;"COVERED","HELD — COVERAGE",IF(OR(R118="PAIRED SYNCHRONIZED",R118="TRILATERAL SYNCHRONIZED"),"E ACTIONABLE","INDEPENDENT"))</x:f>
        <x:v>HELD — COVERAGE</x:v>
      </x:c>
      <x:c r="AA118" s="13" t="str">
        <x:f>IF(L118&lt;&gt;"COVERED","HELD — COVERAGE","WAIT FOR UPSTREAM COMPLETION")</x:f>
        <x:v>HELD — COVERAGE</x:v>
      </x:c>
      <x:c r="AB118" s="13" t="str">
        <x:f>IF(L118&lt;&gt;"COVERED","HELD — COVERAGE",IF(T118="UNRESOLVED","G DECISION REQUIRED",IF(T118="NOT APPLICABLE","G N/A","G ACTIONABLE")))</x:f>
        <x:v>HELD — COVERAGE</x:v>
      </x:c>
      <x:c r="AC118" s="13" t="str">
        <x:f>IF(L118="UNRESOLVED","COVERAGE FIRST",IF(OR(L118="EXCLUDED",L118="OUT OF SCOPE"),"CLOSED BY COVERAGE",IF(AND(L118="COVERED",T118&lt;&gt;"UNRESOLVED"),"PARTIALLY ADOPTED","DECISIONS REMAIN")))</x:f>
        <x:v>COVERAGE FIRST</x:v>
      </x:c>
    </x:row>
    <x:row r="119">
      <x:c r="A119" s="13" t="str">
        <x:v>NAAFTC-HS6-030231</x:v>
      </x:c>
      <x:c r="B119" s="13" t="str">
        <x:v>030231</x:v>
      </x:c>
      <x:c r="C119" s="13" t="str">
        <x:v>03</x:v>
      </x:c>
      <x:c r="D119" s="13" t="str">
        <x:v>TRILATERAL_1_TO_1_TO_1</x:v>
      </x:c>
      <x:c r="E119" s="13" t="str">
        <x:v>Pending</x:v>
      </x:c>
      <x:c r="F119" s="13" t="n">
        <x:v>1</x:v>
      </x:c>
      <x:c r="G119" s="13" t="n">
        <x:v>1</x:v>
      </x:c>
      <x:c r="H119" s="13" t="n">
        <x:v>1</x:v>
      </x:c>
      <x:c r="I119" s="13" t="str">
        <x:v>0302310000</x:v>
      </x:c>
      <x:c r="J119" s="13" t="str">
        <x:v>0302310100</x:v>
      </x:c>
      <x:c r="K119" s="13" t="str">
        <x:v>0302310000</x:v>
      </x:c>
      <x:c r="L119" s="13" t="str">
        <x:v>UNRESOLVED</x:v>
      </x:c>
      <x:c r="M119" s="13" t="str"/>
      <x:c r="N119" s="13" t="str">
        <x:v>NO / DEFAULT</x:v>
      </x:c>
      <x:c r="O119" s="13" t="str"/>
      <x:c r="P119" s="13" t="str">
        <x:v>NO / DEFAULT</x:v>
      </x:c>
      <x:c r="Q119" s="13" t="str"/>
      <x:c r="R119" s="13" t="str">
        <x:v>INDEPENDENT / DEFAULT</x:v>
      </x:c>
      <x:c r="S119" s="13" t="str"/>
      <x:c r="T119" s="13" t="str">
        <x:v>UNRESOLVED</x:v>
      </x:c>
      <x:c r="U119" s="13" t="str"/>
      <x:c r="V119" s="13" t="str"/>
      <x:c r="W119" s="13" t="str"/>
      <x:c r="X119" s="13" t="str">
        <x:f>IF(L119&lt;&gt;"COVERED","HELD — COVERAGE",IF(N119="YES — SENSITIVE","C ACTIONABLE","CHAPTER 5 DEFAULT"))</x:f>
        <x:v>HELD — COVERAGE</x:v>
      </x:c>
      <x:c r="Y119" s="13" t="str">
        <x:f>IF(L119&lt;&gt;"COVERED","HELD — COVERAGE",IF(P119="YES — MANAGED ACCESS","D ACTIONABLE","NO D FIELD"))</x:f>
        <x:v>HELD — COVERAGE</x:v>
      </x:c>
      <x:c r="Z119" s="13" t="str">
        <x:f>IF(L119&lt;&gt;"COVERED","HELD — COVERAGE",IF(OR(R119="PAIRED SYNCHRONIZED",R119="TRILATERAL SYNCHRONIZED"),"E ACTIONABLE","INDEPENDENT"))</x:f>
        <x:v>HELD — COVERAGE</x:v>
      </x:c>
      <x:c r="AA119" s="13" t="str">
        <x:f>IF(L119&lt;&gt;"COVERED","HELD — COVERAGE","WAIT FOR UPSTREAM COMPLETION")</x:f>
        <x:v>HELD — COVERAGE</x:v>
      </x:c>
      <x:c r="AB119" s="13" t="str">
        <x:f>IF(L119&lt;&gt;"COVERED","HELD — COVERAGE",IF(T119="UNRESOLVED","G DECISION REQUIRED",IF(T119="NOT APPLICABLE","G N/A","G ACTIONABLE")))</x:f>
        <x:v>HELD — COVERAGE</x:v>
      </x:c>
      <x:c r="AC119" s="13" t="str">
        <x:f>IF(L119="UNRESOLVED","COVERAGE FIRST",IF(OR(L119="EXCLUDED",L119="OUT OF SCOPE"),"CLOSED BY COVERAGE",IF(AND(L119="COVERED",T119&lt;&gt;"UNRESOLVED"),"PARTIALLY ADOPTED","DECISIONS REMAIN")))</x:f>
        <x:v>COVERAGE FIRST</x:v>
      </x:c>
    </x:row>
    <x:row r="120">
      <x:c r="A120" s="13" t="str">
        <x:v>NAAFTC-HS6-030232</x:v>
      </x:c>
      <x:c r="B120" s="13" t="str">
        <x:v>030232</x:v>
      </x:c>
      <x:c r="C120" s="13" t="str">
        <x:v>03</x:v>
      </x:c>
      <x:c r="D120" s="13" t="str">
        <x:v>TRILATERAL_1_TO_1_TO_1</x:v>
      </x:c>
      <x:c r="E120" s="13" t="str">
        <x:v>Pending</x:v>
      </x:c>
      <x:c r="F120" s="13" t="n">
        <x:v>1</x:v>
      </x:c>
      <x:c r="G120" s="13" t="n">
        <x:v>1</x:v>
      </x:c>
      <x:c r="H120" s="13" t="n">
        <x:v>1</x:v>
      </x:c>
      <x:c r="I120" s="13" t="str">
        <x:v>0302320000</x:v>
      </x:c>
      <x:c r="J120" s="13" t="str">
        <x:v>0302320100</x:v>
      </x:c>
      <x:c r="K120" s="13" t="str">
        <x:v>0302320000</x:v>
      </x:c>
      <x:c r="L120" s="13" t="str">
        <x:v>UNRESOLVED</x:v>
      </x:c>
      <x:c r="M120" s="13" t="str"/>
      <x:c r="N120" s="13" t="str">
        <x:v>NO / DEFAULT</x:v>
      </x:c>
      <x:c r="O120" s="13" t="str"/>
      <x:c r="P120" s="13" t="str">
        <x:v>NO / DEFAULT</x:v>
      </x:c>
      <x:c r="Q120" s="13" t="str"/>
      <x:c r="R120" s="13" t="str">
        <x:v>INDEPENDENT / DEFAULT</x:v>
      </x:c>
      <x:c r="S120" s="13" t="str"/>
      <x:c r="T120" s="13" t="str">
        <x:v>UNRESOLVED</x:v>
      </x:c>
      <x:c r="U120" s="13" t="str"/>
      <x:c r="V120" s="13" t="str"/>
      <x:c r="W120" s="13" t="str"/>
      <x:c r="X120" s="13" t="str">
        <x:f>IF(L120&lt;&gt;"COVERED","HELD — COVERAGE",IF(N120="YES — SENSITIVE","C ACTIONABLE","CHAPTER 5 DEFAULT"))</x:f>
        <x:v>HELD — COVERAGE</x:v>
      </x:c>
      <x:c r="Y120" s="13" t="str">
        <x:f>IF(L120&lt;&gt;"COVERED","HELD — COVERAGE",IF(P120="YES — MANAGED ACCESS","D ACTIONABLE","NO D FIELD"))</x:f>
        <x:v>HELD — COVERAGE</x:v>
      </x:c>
      <x:c r="Z120" s="13" t="str">
        <x:f>IF(L120&lt;&gt;"COVERED","HELD — COVERAGE",IF(OR(R120="PAIRED SYNCHRONIZED",R120="TRILATERAL SYNCHRONIZED"),"E ACTIONABLE","INDEPENDENT"))</x:f>
        <x:v>HELD — COVERAGE</x:v>
      </x:c>
      <x:c r="AA120" s="13" t="str">
        <x:f>IF(L120&lt;&gt;"COVERED","HELD — COVERAGE","WAIT FOR UPSTREAM COMPLETION")</x:f>
        <x:v>HELD — COVERAGE</x:v>
      </x:c>
      <x:c r="AB120" s="13" t="str">
        <x:f>IF(L120&lt;&gt;"COVERED","HELD — COVERAGE",IF(T120="UNRESOLVED","G DECISION REQUIRED",IF(T120="NOT APPLICABLE","G N/A","G ACTIONABLE")))</x:f>
        <x:v>HELD — COVERAGE</x:v>
      </x:c>
      <x:c r="AC120" s="13" t="str">
        <x:f>IF(L120="UNRESOLVED","COVERAGE FIRST",IF(OR(L120="EXCLUDED",L120="OUT OF SCOPE"),"CLOSED BY COVERAGE",IF(AND(L120="COVERED",T120&lt;&gt;"UNRESOLVED"),"PARTIALLY ADOPTED","DECISIONS REMAIN")))</x:f>
        <x:v>COVERAGE FIRST</x:v>
      </x:c>
    </x:row>
    <x:row r="121">
      <x:c r="A121" s="13" t="str">
        <x:v>NAAFTC-HS6-030233</x:v>
      </x:c>
      <x:c r="B121" s="13" t="str">
        <x:v>030233</x:v>
      </x:c>
      <x:c r="C121" s="13" t="str">
        <x:v>03</x:v>
      </x:c>
      <x:c r="D121" s="13" t="str">
        <x:v>TRILATERAL_1_TO_1_TO_1</x:v>
      </x:c>
      <x:c r="E121" s="13" t="str">
        <x:v>Pending</x:v>
      </x:c>
      <x:c r="F121" s="13" t="n">
        <x:v>1</x:v>
      </x:c>
      <x:c r="G121" s="13" t="n">
        <x:v>1</x:v>
      </x:c>
      <x:c r="H121" s="13" t="n">
        <x:v>1</x:v>
      </x:c>
      <x:c r="I121" s="13" t="str">
        <x:v>0302330000</x:v>
      </x:c>
      <x:c r="J121" s="13" t="str">
        <x:v>0302330100</x:v>
      </x:c>
      <x:c r="K121" s="13" t="str">
        <x:v>0302330000</x:v>
      </x:c>
      <x:c r="L121" s="13" t="str">
        <x:v>UNRESOLVED</x:v>
      </x:c>
      <x:c r="M121" s="13" t="str"/>
      <x:c r="N121" s="13" t="str">
        <x:v>NO / DEFAULT</x:v>
      </x:c>
      <x:c r="O121" s="13" t="str"/>
      <x:c r="P121" s="13" t="str">
        <x:v>NO / DEFAULT</x:v>
      </x:c>
      <x:c r="Q121" s="13" t="str"/>
      <x:c r="R121" s="13" t="str">
        <x:v>INDEPENDENT / DEFAULT</x:v>
      </x:c>
      <x:c r="S121" s="13" t="str"/>
      <x:c r="T121" s="13" t="str">
        <x:v>UNRESOLVED</x:v>
      </x:c>
      <x:c r="U121" s="13" t="str"/>
      <x:c r="V121" s="13" t="str"/>
      <x:c r="W121" s="13" t="str"/>
      <x:c r="X121" s="13" t="str">
        <x:f>IF(L121&lt;&gt;"COVERED","HELD — COVERAGE",IF(N121="YES — SENSITIVE","C ACTIONABLE","CHAPTER 5 DEFAULT"))</x:f>
        <x:v>HELD — COVERAGE</x:v>
      </x:c>
      <x:c r="Y121" s="13" t="str">
        <x:f>IF(L121&lt;&gt;"COVERED","HELD — COVERAGE",IF(P121="YES — MANAGED ACCESS","D ACTIONABLE","NO D FIELD"))</x:f>
        <x:v>HELD — COVERAGE</x:v>
      </x:c>
      <x:c r="Z121" s="13" t="str">
        <x:f>IF(L121&lt;&gt;"COVERED","HELD — COVERAGE",IF(OR(R121="PAIRED SYNCHRONIZED",R121="TRILATERAL SYNCHRONIZED"),"E ACTIONABLE","INDEPENDENT"))</x:f>
        <x:v>HELD — COVERAGE</x:v>
      </x:c>
      <x:c r="AA121" s="13" t="str">
        <x:f>IF(L121&lt;&gt;"COVERED","HELD — COVERAGE","WAIT FOR UPSTREAM COMPLETION")</x:f>
        <x:v>HELD — COVERAGE</x:v>
      </x:c>
      <x:c r="AB121" s="13" t="str">
        <x:f>IF(L121&lt;&gt;"COVERED","HELD — COVERAGE",IF(T121="UNRESOLVED","G DECISION REQUIRED",IF(T121="NOT APPLICABLE","G N/A","G ACTIONABLE")))</x:f>
        <x:v>HELD — COVERAGE</x:v>
      </x:c>
      <x:c r="AC121" s="13" t="str">
        <x:f>IF(L121="UNRESOLVED","COVERAGE FIRST",IF(OR(L121="EXCLUDED",L121="OUT OF SCOPE"),"CLOSED BY COVERAGE",IF(AND(L121="COVERED",T121&lt;&gt;"UNRESOLVED"),"PARTIALLY ADOPTED","DECISIONS REMAIN")))</x:f>
        <x:v>COVERAGE FIRST</x:v>
      </x:c>
    </x:row>
    <x:row r="122">
      <x:c r="A122" s="13" t="str">
        <x:v>NAAFTC-HS6-030234</x:v>
      </x:c>
      <x:c r="B122" s="13" t="str">
        <x:v>030234</x:v>
      </x:c>
      <x:c r="C122" s="13" t="str">
        <x:v>03</x:v>
      </x:c>
      <x:c r="D122" s="13" t="str">
        <x:v>TRILATERAL_1_TO_1_TO_1</x:v>
      </x:c>
      <x:c r="E122" s="13" t="str">
        <x:v>Pending</x:v>
      </x:c>
      <x:c r="F122" s="13" t="n">
        <x:v>1</x:v>
      </x:c>
      <x:c r="G122" s="13" t="n">
        <x:v>1</x:v>
      </x:c>
      <x:c r="H122" s="13" t="n">
        <x:v>1</x:v>
      </x:c>
      <x:c r="I122" s="13" t="str">
        <x:v>0302340000</x:v>
      </x:c>
      <x:c r="J122" s="13" t="str">
        <x:v>0302340100</x:v>
      </x:c>
      <x:c r="K122" s="13" t="str">
        <x:v>0302340000</x:v>
      </x:c>
      <x:c r="L122" s="13" t="str">
        <x:v>UNRESOLVED</x:v>
      </x:c>
      <x:c r="M122" s="13" t="str"/>
      <x:c r="N122" s="13" t="str">
        <x:v>NO / DEFAULT</x:v>
      </x:c>
      <x:c r="O122" s="13" t="str"/>
      <x:c r="P122" s="13" t="str">
        <x:v>NO / DEFAULT</x:v>
      </x:c>
      <x:c r="Q122" s="13" t="str"/>
      <x:c r="R122" s="13" t="str">
        <x:v>INDEPENDENT / DEFAULT</x:v>
      </x:c>
      <x:c r="S122" s="13" t="str"/>
      <x:c r="T122" s="13" t="str">
        <x:v>UNRESOLVED</x:v>
      </x:c>
      <x:c r="U122" s="13" t="str"/>
      <x:c r="V122" s="13" t="str"/>
      <x:c r="W122" s="13" t="str"/>
      <x:c r="X122" s="13" t="str">
        <x:f>IF(L122&lt;&gt;"COVERED","HELD — COVERAGE",IF(N122="YES — SENSITIVE","C ACTIONABLE","CHAPTER 5 DEFAULT"))</x:f>
        <x:v>HELD — COVERAGE</x:v>
      </x:c>
      <x:c r="Y122" s="13" t="str">
        <x:f>IF(L122&lt;&gt;"COVERED","HELD — COVERAGE",IF(P122="YES — MANAGED ACCESS","D ACTIONABLE","NO D FIELD"))</x:f>
        <x:v>HELD — COVERAGE</x:v>
      </x:c>
      <x:c r="Z122" s="13" t="str">
        <x:f>IF(L122&lt;&gt;"COVERED","HELD — COVERAGE",IF(OR(R122="PAIRED SYNCHRONIZED",R122="TRILATERAL SYNCHRONIZED"),"E ACTIONABLE","INDEPENDENT"))</x:f>
        <x:v>HELD — COVERAGE</x:v>
      </x:c>
      <x:c r="AA122" s="13" t="str">
        <x:f>IF(L122&lt;&gt;"COVERED","HELD — COVERAGE","WAIT FOR UPSTREAM COMPLETION")</x:f>
        <x:v>HELD — COVERAGE</x:v>
      </x:c>
      <x:c r="AB122" s="13" t="str">
        <x:f>IF(L122&lt;&gt;"COVERED","HELD — COVERAGE",IF(T122="UNRESOLVED","G DECISION REQUIRED",IF(T122="NOT APPLICABLE","G N/A","G ACTIONABLE")))</x:f>
        <x:v>HELD — COVERAGE</x:v>
      </x:c>
      <x:c r="AC122" s="13" t="str">
        <x:f>IF(L122="UNRESOLVED","COVERAGE FIRST",IF(OR(L122="EXCLUDED",L122="OUT OF SCOPE"),"CLOSED BY COVERAGE",IF(AND(L122="COVERED",T122&lt;&gt;"UNRESOLVED"),"PARTIALLY ADOPTED","DECISIONS REMAIN")))</x:f>
        <x:v>COVERAGE FIRST</x:v>
      </x:c>
    </x:row>
    <x:row r="123">
      <x:c r="A123" s="13" t="str">
        <x:v>NAAFTC-HS6-030235</x:v>
      </x:c>
      <x:c r="B123" s="13" t="str">
        <x:v>030235</x:v>
      </x:c>
      <x:c r="C123" s="13" t="str">
        <x:v>03</x:v>
      </x:c>
      <x:c r="D123" s="13" t="str">
        <x:v>TRILATERAL_1_TO_1_TO_1</x:v>
      </x:c>
      <x:c r="E123" s="13" t="str">
        <x:v>Pending</x:v>
      </x:c>
      <x:c r="F123" s="13" t="n">
        <x:v>1</x:v>
      </x:c>
      <x:c r="G123" s="13" t="n">
        <x:v>1</x:v>
      </x:c>
      <x:c r="H123" s="13" t="n">
        <x:v>1</x:v>
      </x:c>
      <x:c r="I123" s="13" t="str">
        <x:v>0302350100</x:v>
      </x:c>
      <x:c r="J123" s="13" t="str">
        <x:v>0302350100</x:v>
      </x:c>
      <x:c r="K123" s="13" t="str">
        <x:v>0302350000</x:v>
      </x:c>
      <x:c r="L123" s="13" t="str">
        <x:v>UNRESOLVED</x:v>
      </x:c>
      <x:c r="M123" s="13" t="str"/>
      <x:c r="N123" s="13" t="str">
        <x:v>NO / DEFAULT</x:v>
      </x:c>
      <x:c r="O123" s="13" t="str"/>
      <x:c r="P123" s="13" t="str">
        <x:v>NO / DEFAULT</x:v>
      </x:c>
      <x:c r="Q123" s="13" t="str"/>
      <x:c r="R123" s="13" t="str">
        <x:v>INDEPENDENT / DEFAULT</x:v>
      </x:c>
      <x:c r="S123" s="13" t="str"/>
      <x:c r="T123" s="13" t="str">
        <x:v>UNRESOLVED</x:v>
      </x:c>
      <x:c r="U123" s="13" t="str"/>
      <x:c r="V123" s="13" t="str"/>
      <x:c r="W123" s="13" t="str"/>
      <x:c r="X123" s="13" t="str">
        <x:f>IF(L123&lt;&gt;"COVERED","HELD — COVERAGE",IF(N123="YES — SENSITIVE","C ACTIONABLE","CHAPTER 5 DEFAULT"))</x:f>
        <x:v>HELD — COVERAGE</x:v>
      </x:c>
      <x:c r="Y123" s="13" t="str">
        <x:f>IF(L123&lt;&gt;"COVERED","HELD — COVERAGE",IF(P123="YES — MANAGED ACCESS","D ACTIONABLE","NO D FIELD"))</x:f>
        <x:v>HELD — COVERAGE</x:v>
      </x:c>
      <x:c r="Z123" s="13" t="str">
        <x:f>IF(L123&lt;&gt;"COVERED","HELD — COVERAGE",IF(OR(R123="PAIRED SYNCHRONIZED",R123="TRILATERAL SYNCHRONIZED"),"E ACTIONABLE","INDEPENDENT"))</x:f>
        <x:v>HELD — COVERAGE</x:v>
      </x:c>
      <x:c r="AA123" s="13" t="str">
        <x:f>IF(L123&lt;&gt;"COVERED","HELD — COVERAGE","WAIT FOR UPSTREAM COMPLETION")</x:f>
        <x:v>HELD — COVERAGE</x:v>
      </x:c>
      <x:c r="AB123" s="13" t="str">
        <x:f>IF(L123&lt;&gt;"COVERED","HELD — COVERAGE",IF(T123="UNRESOLVED","G DECISION REQUIRED",IF(T123="NOT APPLICABLE","G N/A","G ACTIONABLE")))</x:f>
        <x:v>HELD — COVERAGE</x:v>
      </x:c>
      <x:c r="AC123" s="13" t="str">
        <x:f>IF(L123="UNRESOLVED","COVERAGE FIRST",IF(OR(L123="EXCLUDED",L123="OUT OF SCOPE"),"CLOSED BY COVERAGE",IF(AND(L123="COVERED",T123&lt;&gt;"UNRESOLVED"),"PARTIALLY ADOPTED","DECISIONS REMAIN")))</x:f>
        <x:v>COVERAGE FIRST</x:v>
      </x:c>
    </x:row>
    <x:row r="124">
      <x:c r="A124" s="13" t="str">
        <x:v>NAAFTC-HS6-030236</x:v>
      </x:c>
      <x:c r="B124" s="13" t="str">
        <x:v>030236</x:v>
      </x:c>
      <x:c r="C124" s="13" t="str">
        <x:v>03</x:v>
      </x:c>
      <x:c r="D124" s="13" t="str">
        <x:v>TRILATERAL_1_TO_1_TO_1</x:v>
      </x:c>
      <x:c r="E124" s="13" t="str">
        <x:v>Pending</x:v>
      </x:c>
      <x:c r="F124" s="13" t="n">
        <x:v>1</x:v>
      </x:c>
      <x:c r="G124" s="13" t="n">
        <x:v>1</x:v>
      </x:c>
      <x:c r="H124" s="13" t="n">
        <x:v>1</x:v>
      </x:c>
      <x:c r="I124" s="13" t="str">
        <x:v>0302360000</x:v>
      </x:c>
      <x:c r="J124" s="13" t="str">
        <x:v>0302360100</x:v>
      </x:c>
      <x:c r="K124" s="13" t="str">
        <x:v>0302360000</x:v>
      </x:c>
      <x:c r="L124" s="13" t="str">
        <x:v>UNRESOLVED</x:v>
      </x:c>
      <x:c r="M124" s="13" t="str"/>
      <x:c r="N124" s="13" t="str">
        <x:v>NO / DEFAULT</x:v>
      </x:c>
      <x:c r="O124" s="13" t="str"/>
      <x:c r="P124" s="13" t="str">
        <x:v>NO / DEFAULT</x:v>
      </x:c>
      <x:c r="Q124" s="13" t="str"/>
      <x:c r="R124" s="13" t="str">
        <x:v>INDEPENDENT / DEFAULT</x:v>
      </x:c>
      <x:c r="S124" s="13" t="str"/>
      <x:c r="T124" s="13" t="str">
        <x:v>UNRESOLVED</x:v>
      </x:c>
      <x:c r="U124" s="13" t="str"/>
      <x:c r="V124" s="13" t="str"/>
      <x:c r="W124" s="13" t="str"/>
      <x:c r="X124" s="13" t="str">
        <x:f>IF(L124&lt;&gt;"COVERED","HELD — COVERAGE",IF(N124="YES — SENSITIVE","C ACTIONABLE","CHAPTER 5 DEFAULT"))</x:f>
        <x:v>HELD — COVERAGE</x:v>
      </x:c>
      <x:c r="Y124" s="13" t="str">
        <x:f>IF(L124&lt;&gt;"COVERED","HELD — COVERAGE",IF(P124="YES — MANAGED ACCESS","D ACTIONABLE","NO D FIELD"))</x:f>
        <x:v>HELD — COVERAGE</x:v>
      </x:c>
      <x:c r="Z124" s="13" t="str">
        <x:f>IF(L124&lt;&gt;"COVERED","HELD — COVERAGE",IF(OR(R124="PAIRED SYNCHRONIZED",R124="TRILATERAL SYNCHRONIZED"),"E ACTIONABLE","INDEPENDENT"))</x:f>
        <x:v>HELD — COVERAGE</x:v>
      </x:c>
      <x:c r="AA124" s="13" t="str">
        <x:f>IF(L124&lt;&gt;"COVERED","HELD — COVERAGE","WAIT FOR UPSTREAM COMPLETION")</x:f>
        <x:v>HELD — COVERAGE</x:v>
      </x:c>
      <x:c r="AB124" s="13" t="str">
        <x:f>IF(L124&lt;&gt;"COVERED","HELD — COVERAGE",IF(T124="UNRESOLVED","G DECISION REQUIRED",IF(T124="NOT APPLICABLE","G N/A","G ACTIONABLE")))</x:f>
        <x:v>HELD — COVERAGE</x:v>
      </x:c>
      <x:c r="AC124" s="13" t="str">
        <x:f>IF(L124="UNRESOLVED","COVERAGE FIRST",IF(OR(L124="EXCLUDED",L124="OUT OF SCOPE"),"CLOSED BY COVERAGE",IF(AND(L124="COVERED",T124&lt;&gt;"UNRESOLVED"),"PARTIALLY ADOPTED","DECISIONS REMAIN")))</x:f>
        <x:v>COVERAGE FIRST</x:v>
      </x:c>
    </x:row>
    <x:row r="125">
      <x:c r="A125" s="13" t="str">
        <x:v>NAAFTC-HS6-030239</x:v>
      </x:c>
      <x:c r="B125" s="13" t="str">
        <x:v>030239</x:v>
      </x:c>
      <x:c r="C125" s="13" t="str">
        <x:v>03</x:v>
      </x:c>
      <x:c r="D125" s="13" t="str">
        <x:v>TRILATERAL_1_TO_1_TO_1</x:v>
      </x:c>
      <x:c r="E125" s="13" t="str">
        <x:v>Pending</x:v>
      </x:c>
      <x:c r="F125" s="13" t="n">
        <x:v>1</x:v>
      </x:c>
      <x:c r="G125" s="13" t="n">
        <x:v>1</x:v>
      </x:c>
      <x:c r="H125" s="13" t="n">
        <x:v>1</x:v>
      </x:c>
      <x:c r="I125" s="13" t="str">
        <x:v>0302390200</x:v>
      </x:c>
      <x:c r="J125" s="13" t="str">
        <x:v>0302399900</x:v>
      </x:c>
      <x:c r="K125" s="13" t="str">
        <x:v>0302390000</x:v>
      </x:c>
      <x:c r="L125" s="13" t="str">
        <x:v>UNRESOLVED</x:v>
      </x:c>
      <x:c r="M125" s="13" t="str"/>
      <x:c r="N125" s="13" t="str">
        <x:v>NO / DEFAULT</x:v>
      </x:c>
      <x:c r="O125" s="13" t="str"/>
      <x:c r="P125" s="13" t="str">
        <x:v>NO / DEFAULT</x:v>
      </x:c>
      <x:c r="Q125" s="13" t="str"/>
      <x:c r="R125" s="13" t="str">
        <x:v>INDEPENDENT / DEFAULT</x:v>
      </x:c>
      <x:c r="S125" s="13" t="str"/>
      <x:c r="T125" s="13" t="str">
        <x:v>UNRESOLVED</x:v>
      </x:c>
      <x:c r="U125" s="13" t="str"/>
      <x:c r="V125" s="13" t="str"/>
      <x:c r="W125" s="13" t="str"/>
      <x:c r="X125" s="13" t="str">
        <x:f>IF(L125&lt;&gt;"COVERED","HELD — COVERAGE",IF(N125="YES — SENSITIVE","C ACTIONABLE","CHAPTER 5 DEFAULT"))</x:f>
        <x:v>HELD — COVERAGE</x:v>
      </x:c>
      <x:c r="Y125" s="13" t="str">
        <x:f>IF(L125&lt;&gt;"COVERED","HELD — COVERAGE",IF(P125="YES — MANAGED ACCESS","D ACTIONABLE","NO D FIELD"))</x:f>
        <x:v>HELD — COVERAGE</x:v>
      </x:c>
      <x:c r="Z125" s="13" t="str">
        <x:f>IF(L125&lt;&gt;"COVERED","HELD — COVERAGE",IF(OR(R125="PAIRED SYNCHRONIZED",R125="TRILATERAL SYNCHRONIZED"),"E ACTIONABLE","INDEPENDENT"))</x:f>
        <x:v>HELD — COVERAGE</x:v>
      </x:c>
      <x:c r="AA125" s="13" t="str">
        <x:f>IF(L125&lt;&gt;"COVERED","HELD — COVERAGE","WAIT FOR UPSTREAM COMPLETION")</x:f>
        <x:v>HELD — COVERAGE</x:v>
      </x:c>
      <x:c r="AB125" s="13" t="str">
        <x:f>IF(L125&lt;&gt;"COVERED","HELD — COVERAGE",IF(T125="UNRESOLVED","G DECISION REQUIRED",IF(T125="NOT APPLICABLE","G N/A","G ACTIONABLE")))</x:f>
        <x:v>HELD — COVERAGE</x:v>
      </x:c>
      <x:c r="AC125" s="13" t="str">
        <x:f>IF(L125="UNRESOLVED","COVERAGE FIRST",IF(OR(L125="EXCLUDED",L125="OUT OF SCOPE"),"CLOSED BY COVERAGE",IF(AND(L125="COVERED",T125&lt;&gt;"UNRESOLVED"),"PARTIALLY ADOPTED","DECISIONS REMAIN")))</x:f>
        <x:v>COVERAGE FIRST</x:v>
      </x:c>
    </x:row>
    <x:row r="126">
      <x:c r="A126" s="13" t="str">
        <x:v>NAAFTC-HS6-030241</x:v>
      </x:c>
      <x:c r="B126" s="13" t="str">
        <x:v>030241</x:v>
      </x:c>
      <x:c r="C126" s="13" t="str">
        <x:v>03</x:v>
      </x:c>
      <x:c r="D126" s="13" t="str">
        <x:v>TRILATERAL_1_TO_1_TO_1</x:v>
      </x:c>
      <x:c r="E126" s="13" t="str">
        <x:v>Pending</x:v>
      </x:c>
      <x:c r="F126" s="13" t="n">
        <x:v>1</x:v>
      </x:c>
      <x:c r="G126" s="13" t="n">
        <x:v>1</x:v>
      </x:c>
      <x:c r="H126" s="13" t="n">
        <x:v>1</x:v>
      </x:c>
      <x:c r="I126" s="13" t="str">
        <x:v>0302410000</x:v>
      </x:c>
      <x:c r="J126" s="13" t="str">
        <x:v>0302410100</x:v>
      </x:c>
      <x:c r="K126" s="13" t="str">
        <x:v>0302410000</x:v>
      </x:c>
      <x:c r="L126" s="13" t="str">
        <x:v>UNRESOLVED</x:v>
      </x:c>
      <x:c r="M126" s="13" t="str"/>
      <x:c r="N126" s="13" t="str">
        <x:v>NO / DEFAULT</x:v>
      </x:c>
      <x:c r="O126" s="13" t="str"/>
      <x:c r="P126" s="13" t="str">
        <x:v>NO / DEFAULT</x:v>
      </x:c>
      <x:c r="Q126" s="13" t="str"/>
      <x:c r="R126" s="13" t="str">
        <x:v>INDEPENDENT / DEFAULT</x:v>
      </x:c>
      <x:c r="S126" s="13" t="str"/>
      <x:c r="T126" s="13" t="str">
        <x:v>UNRESOLVED</x:v>
      </x:c>
      <x:c r="U126" s="13" t="str"/>
      <x:c r="V126" s="13" t="str"/>
      <x:c r="W126" s="13" t="str"/>
      <x:c r="X126" s="13" t="str">
        <x:f>IF(L126&lt;&gt;"COVERED","HELD — COVERAGE",IF(N126="YES — SENSITIVE","C ACTIONABLE","CHAPTER 5 DEFAULT"))</x:f>
        <x:v>HELD — COVERAGE</x:v>
      </x:c>
      <x:c r="Y126" s="13" t="str">
        <x:f>IF(L126&lt;&gt;"COVERED","HELD — COVERAGE",IF(P126="YES — MANAGED ACCESS","D ACTIONABLE","NO D FIELD"))</x:f>
        <x:v>HELD — COVERAGE</x:v>
      </x:c>
      <x:c r="Z126" s="13" t="str">
        <x:f>IF(L126&lt;&gt;"COVERED","HELD — COVERAGE",IF(OR(R126="PAIRED SYNCHRONIZED",R126="TRILATERAL SYNCHRONIZED"),"E ACTIONABLE","INDEPENDENT"))</x:f>
        <x:v>HELD — COVERAGE</x:v>
      </x:c>
      <x:c r="AA126" s="13" t="str">
        <x:f>IF(L126&lt;&gt;"COVERED","HELD — COVERAGE","WAIT FOR UPSTREAM COMPLETION")</x:f>
        <x:v>HELD — COVERAGE</x:v>
      </x:c>
      <x:c r="AB126" s="13" t="str">
        <x:f>IF(L126&lt;&gt;"COVERED","HELD — COVERAGE",IF(T126="UNRESOLVED","G DECISION REQUIRED",IF(T126="NOT APPLICABLE","G N/A","G ACTIONABLE")))</x:f>
        <x:v>HELD — COVERAGE</x:v>
      </x:c>
      <x:c r="AC126" s="13" t="str">
        <x:f>IF(L126="UNRESOLVED","COVERAGE FIRST",IF(OR(L126="EXCLUDED",L126="OUT OF SCOPE"),"CLOSED BY COVERAGE",IF(AND(L126="COVERED",T126&lt;&gt;"UNRESOLVED"),"PARTIALLY ADOPTED","DECISIONS REMAIN")))</x:f>
        <x:v>COVERAGE FIRST</x:v>
      </x:c>
    </x:row>
    <x:row r="127">
      <x:c r="A127" s="13" t="str">
        <x:v>NAAFTC-HS6-030242</x:v>
      </x:c>
      <x:c r="B127" s="13" t="str">
        <x:v>030242</x:v>
      </x:c>
      <x:c r="C127" s="13" t="str">
        <x:v>03</x:v>
      </x:c>
      <x:c r="D127" s="13" t="str">
        <x:v>TRILATERAL_1_TO_1_TO_1</x:v>
      </x:c>
      <x:c r="E127" s="13" t="str">
        <x:v>Pending</x:v>
      </x:c>
      <x:c r="F127" s="13" t="n">
        <x:v>1</x:v>
      </x:c>
      <x:c r="G127" s="13" t="n">
        <x:v>1</x:v>
      </x:c>
      <x:c r="H127" s="13" t="n">
        <x:v>1</x:v>
      </x:c>
      <x:c r="I127" s="13" t="str">
        <x:v>0302420000</x:v>
      </x:c>
      <x:c r="J127" s="13" t="str">
        <x:v>0302420100</x:v>
      </x:c>
      <x:c r="K127" s="13" t="str">
        <x:v>0302420000</x:v>
      </x:c>
      <x:c r="L127" s="13" t="str">
        <x:v>UNRESOLVED</x:v>
      </x:c>
      <x:c r="M127" s="13" t="str"/>
      <x:c r="N127" s="13" t="str">
        <x:v>NO / DEFAULT</x:v>
      </x:c>
      <x:c r="O127" s="13" t="str"/>
      <x:c r="P127" s="13" t="str">
        <x:v>NO / DEFAULT</x:v>
      </x:c>
      <x:c r="Q127" s="13" t="str"/>
      <x:c r="R127" s="13" t="str">
        <x:v>INDEPENDENT / DEFAULT</x:v>
      </x:c>
      <x:c r="S127" s="13" t="str"/>
      <x:c r="T127" s="13" t="str">
        <x:v>UNRESOLVED</x:v>
      </x:c>
      <x:c r="U127" s="13" t="str"/>
      <x:c r="V127" s="13" t="str"/>
      <x:c r="W127" s="13" t="str"/>
      <x:c r="X127" s="13" t="str">
        <x:f>IF(L127&lt;&gt;"COVERED","HELD — COVERAGE",IF(N127="YES — SENSITIVE","C ACTIONABLE","CHAPTER 5 DEFAULT"))</x:f>
        <x:v>HELD — COVERAGE</x:v>
      </x:c>
      <x:c r="Y127" s="13" t="str">
        <x:f>IF(L127&lt;&gt;"COVERED","HELD — COVERAGE",IF(P127="YES — MANAGED ACCESS","D ACTIONABLE","NO D FIELD"))</x:f>
        <x:v>HELD — COVERAGE</x:v>
      </x:c>
      <x:c r="Z127" s="13" t="str">
        <x:f>IF(L127&lt;&gt;"COVERED","HELD — COVERAGE",IF(OR(R127="PAIRED SYNCHRONIZED",R127="TRILATERAL SYNCHRONIZED"),"E ACTIONABLE","INDEPENDENT"))</x:f>
        <x:v>HELD — COVERAGE</x:v>
      </x:c>
      <x:c r="AA127" s="13" t="str">
        <x:f>IF(L127&lt;&gt;"COVERED","HELD — COVERAGE","WAIT FOR UPSTREAM COMPLETION")</x:f>
        <x:v>HELD — COVERAGE</x:v>
      </x:c>
      <x:c r="AB127" s="13" t="str">
        <x:f>IF(L127&lt;&gt;"COVERED","HELD — COVERAGE",IF(T127="UNRESOLVED","G DECISION REQUIRED",IF(T127="NOT APPLICABLE","G N/A","G ACTIONABLE")))</x:f>
        <x:v>HELD — COVERAGE</x:v>
      </x:c>
      <x:c r="AC127" s="13" t="str">
        <x:f>IF(L127="UNRESOLVED","COVERAGE FIRST",IF(OR(L127="EXCLUDED",L127="OUT OF SCOPE"),"CLOSED BY COVERAGE",IF(AND(L127="COVERED",T127&lt;&gt;"UNRESOLVED"),"PARTIALLY ADOPTED","DECISIONS REMAIN")))</x:f>
        <x:v>COVERAGE FIRST</x:v>
      </x:c>
    </x:row>
    <x:row r="128">
      <x:c r="A128" s="13" t="str">
        <x:v>NAAFTC-HS6-030243</x:v>
      </x:c>
      <x:c r="B128" s="13" t="str">
        <x:v>030243</x:v>
      </x:c>
      <x:c r="C128" s="13" t="str">
        <x:v>03</x:v>
      </x:c>
      <x:c r="D128" s="13" t="str">
        <x:v>TRILATERAL_1_TO_1_TO_1</x:v>
      </x:c>
      <x:c r="E128" s="13" t="str">
        <x:v>Pending</x:v>
      </x:c>
      <x:c r="F128" s="13" t="n">
        <x:v>1</x:v>
      </x:c>
      <x:c r="G128" s="13" t="n">
        <x:v>1</x:v>
      </x:c>
      <x:c r="H128" s="13" t="n">
        <x:v>1</x:v>
      </x:c>
      <x:c r="I128" s="13" t="str">
        <x:v>0302430000</x:v>
      </x:c>
      <x:c r="J128" s="13" t="str">
        <x:v>0302430100</x:v>
      </x:c>
      <x:c r="K128" s="13" t="str">
        <x:v>0302430000</x:v>
      </x:c>
      <x:c r="L128" s="13" t="str">
        <x:v>UNRESOLVED</x:v>
      </x:c>
      <x:c r="M128" s="13" t="str"/>
      <x:c r="N128" s="13" t="str">
        <x:v>NO / DEFAULT</x:v>
      </x:c>
      <x:c r="O128" s="13" t="str"/>
      <x:c r="P128" s="13" t="str">
        <x:v>NO / DEFAULT</x:v>
      </x:c>
      <x:c r="Q128" s="13" t="str"/>
      <x:c r="R128" s="13" t="str">
        <x:v>INDEPENDENT / DEFAULT</x:v>
      </x:c>
      <x:c r="S128" s="13" t="str"/>
      <x:c r="T128" s="13" t="str">
        <x:v>UNRESOLVED</x:v>
      </x:c>
      <x:c r="U128" s="13" t="str"/>
      <x:c r="V128" s="13" t="str"/>
      <x:c r="W128" s="13" t="str"/>
      <x:c r="X128" s="13" t="str">
        <x:f>IF(L128&lt;&gt;"COVERED","HELD — COVERAGE",IF(N128="YES — SENSITIVE","C ACTIONABLE","CHAPTER 5 DEFAULT"))</x:f>
        <x:v>HELD — COVERAGE</x:v>
      </x:c>
      <x:c r="Y128" s="13" t="str">
        <x:f>IF(L128&lt;&gt;"COVERED","HELD — COVERAGE",IF(P128="YES — MANAGED ACCESS","D ACTIONABLE","NO D FIELD"))</x:f>
        <x:v>HELD — COVERAGE</x:v>
      </x:c>
      <x:c r="Z128" s="13" t="str">
        <x:f>IF(L128&lt;&gt;"COVERED","HELD — COVERAGE",IF(OR(R128="PAIRED SYNCHRONIZED",R128="TRILATERAL SYNCHRONIZED"),"E ACTIONABLE","INDEPENDENT"))</x:f>
        <x:v>HELD — COVERAGE</x:v>
      </x:c>
      <x:c r="AA128" s="13" t="str">
        <x:f>IF(L128&lt;&gt;"COVERED","HELD — COVERAGE","WAIT FOR UPSTREAM COMPLETION")</x:f>
        <x:v>HELD — COVERAGE</x:v>
      </x:c>
      <x:c r="AB128" s="13" t="str">
        <x:f>IF(L128&lt;&gt;"COVERED","HELD — COVERAGE",IF(T128="UNRESOLVED","G DECISION REQUIRED",IF(T128="NOT APPLICABLE","G N/A","G ACTIONABLE")))</x:f>
        <x:v>HELD — COVERAGE</x:v>
      </x:c>
      <x:c r="AC128" s="13" t="str">
        <x:f>IF(L128="UNRESOLVED","COVERAGE FIRST",IF(OR(L128="EXCLUDED",L128="OUT OF SCOPE"),"CLOSED BY COVERAGE",IF(AND(L128="COVERED",T128&lt;&gt;"UNRESOLVED"),"PARTIALLY ADOPTED","DECISIONS REMAIN")))</x:f>
        <x:v>COVERAGE FIRST</x:v>
      </x:c>
    </x:row>
    <x:row r="129">
      <x:c r="A129" s="13" t="str">
        <x:v>NAAFTC-HS6-030244</x:v>
      </x:c>
      <x:c r="B129" s="13" t="str">
        <x:v>030244</x:v>
      </x:c>
      <x:c r="C129" s="13" t="str">
        <x:v>03</x:v>
      </x:c>
      <x:c r="D129" s="13" t="str">
        <x:v>TRILATERAL_1_TO_1_TO_1</x:v>
      </x:c>
      <x:c r="E129" s="13" t="str">
        <x:v>Pending</x:v>
      </x:c>
      <x:c r="F129" s="13" t="n">
        <x:v>1</x:v>
      </x:c>
      <x:c r="G129" s="13" t="n">
        <x:v>1</x:v>
      </x:c>
      <x:c r="H129" s="13" t="n">
        <x:v>1</x:v>
      </x:c>
      <x:c r="I129" s="13" t="str">
        <x:v>0302440000</x:v>
      </x:c>
      <x:c r="J129" s="13" t="str">
        <x:v>0302440100</x:v>
      </x:c>
      <x:c r="K129" s="13" t="str">
        <x:v>0302440000</x:v>
      </x:c>
      <x:c r="L129" s="13" t="str">
        <x:v>UNRESOLVED</x:v>
      </x:c>
      <x:c r="M129" s="13" t="str"/>
      <x:c r="N129" s="13" t="str">
        <x:v>NO / DEFAULT</x:v>
      </x:c>
      <x:c r="O129" s="13" t="str"/>
      <x:c r="P129" s="13" t="str">
        <x:v>NO / DEFAULT</x:v>
      </x:c>
      <x:c r="Q129" s="13" t="str"/>
      <x:c r="R129" s="13" t="str">
        <x:v>INDEPENDENT / DEFAULT</x:v>
      </x:c>
      <x:c r="S129" s="13" t="str"/>
      <x:c r="T129" s="13" t="str">
        <x:v>UNRESOLVED</x:v>
      </x:c>
      <x:c r="U129" s="13" t="str"/>
      <x:c r="V129" s="13" t="str"/>
      <x:c r="W129" s="13" t="str"/>
      <x:c r="X129" s="13" t="str">
        <x:f>IF(L129&lt;&gt;"COVERED","HELD — COVERAGE",IF(N129="YES — SENSITIVE","C ACTIONABLE","CHAPTER 5 DEFAULT"))</x:f>
        <x:v>HELD — COVERAGE</x:v>
      </x:c>
      <x:c r="Y129" s="13" t="str">
        <x:f>IF(L129&lt;&gt;"COVERED","HELD — COVERAGE",IF(P129="YES — MANAGED ACCESS","D ACTIONABLE","NO D FIELD"))</x:f>
        <x:v>HELD — COVERAGE</x:v>
      </x:c>
      <x:c r="Z129" s="13" t="str">
        <x:f>IF(L129&lt;&gt;"COVERED","HELD — COVERAGE",IF(OR(R129="PAIRED SYNCHRONIZED",R129="TRILATERAL SYNCHRONIZED"),"E ACTIONABLE","INDEPENDENT"))</x:f>
        <x:v>HELD — COVERAGE</x:v>
      </x:c>
      <x:c r="AA129" s="13" t="str">
        <x:f>IF(L129&lt;&gt;"COVERED","HELD — COVERAGE","WAIT FOR UPSTREAM COMPLETION")</x:f>
        <x:v>HELD — COVERAGE</x:v>
      </x:c>
      <x:c r="AB129" s="13" t="str">
        <x:f>IF(L129&lt;&gt;"COVERED","HELD — COVERAGE",IF(T129="UNRESOLVED","G DECISION REQUIRED",IF(T129="NOT APPLICABLE","G N/A","G ACTIONABLE")))</x:f>
        <x:v>HELD — COVERAGE</x:v>
      </x:c>
      <x:c r="AC129" s="13" t="str">
        <x:f>IF(L129="UNRESOLVED","COVERAGE FIRST",IF(OR(L129="EXCLUDED",L129="OUT OF SCOPE"),"CLOSED BY COVERAGE",IF(AND(L129="COVERED",T129&lt;&gt;"UNRESOLVED"),"PARTIALLY ADOPTED","DECISIONS REMAIN")))</x:f>
        <x:v>COVERAGE FIRST</x:v>
      </x:c>
    </x:row>
    <x:row r="130">
      <x:c r="A130" s="13" t="str">
        <x:v>NAAFTC-HS6-030245</x:v>
      </x:c>
      <x:c r="B130" s="13" t="str">
        <x:v>030245</x:v>
      </x:c>
      <x:c r="C130" s="13" t="str">
        <x:v>03</x:v>
      </x:c>
      <x:c r="D130" s="13" t="str">
        <x:v>TRILATERAL_SPLIT_MERGE</x:v>
      </x:c>
      <x:c r="E130" s="13" t="str">
        <x:v>Pending</x:v>
      </x:c>
      <x:c r="F130" s="13" t="n">
        <x:v>2</x:v>
      </x:c>
      <x:c r="G130" s="13" t="n">
        <x:v>1</x:v>
      </x:c>
      <x:c r="H130" s="13" t="n">
        <x:v>1</x:v>
      </x:c>
      <x:c r="I130" s="13" t="str">
        <x:v>0302451100; 0302455000</x:v>
      </x:c>
      <x:c r="J130" s="13" t="str">
        <x:v>0302450100</x:v>
      </x:c>
      <x:c r="K130" s="13" t="str">
        <x:v>0302450000</x:v>
      </x:c>
      <x:c r="L130" s="13" t="str">
        <x:v>UNRESOLVED</x:v>
      </x:c>
      <x:c r="M130" s="13" t="str"/>
      <x:c r="N130" s="13" t="str">
        <x:v>NO / DEFAULT</x:v>
      </x:c>
      <x:c r="O130" s="13" t="str"/>
      <x:c r="P130" s="13" t="str">
        <x:v>NO / DEFAULT</x:v>
      </x:c>
      <x:c r="Q130" s="13" t="str"/>
      <x:c r="R130" s="13" t="str">
        <x:v>INDEPENDENT / DEFAULT</x:v>
      </x:c>
      <x:c r="S130" s="13" t="str"/>
      <x:c r="T130" s="13" t="str">
        <x:v>UNRESOLVED</x:v>
      </x:c>
      <x:c r="U130" s="13" t="str"/>
      <x:c r="V130" s="13" t="str"/>
      <x:c r="W130" s="13" t="str"/>
      <x:c r="X130" s="13" t="str">
        <x:f>IF(L130&lt;&gt;"COVERED","HELD — COVERAGE",IF(N130="YES — SENSITIVE","C ACTIONABLE","CHAPTER 5 DEFAULT"))</x:f>
        <x:v>HELD — COVERAGE</x:v>
      </x:c>
      <x:c r="Y130" s="13" t="str">
        <x:f>IF(L130&lt;&gt;"COVERED","HELD — COVERAGE",IF(P130="YES — MANAGED ACCESS","D ACTIONABLE","NO D FIELD"))</x:f>
        <x:v>HELD — COVERAGE</x:v>
      </x:c>
      <x:c r="Z130" s="13" t="str">
        <x:f>IF(L130&lt;&gt;"COVERED","HELD — COVERAGE",IF(OR(R130="PAIRED SYNCHRONIZED",R130="TRILATERAL SYNCHRONIZED"),"E ACTIONABLE","INDEPENDENT"))</x:f>
        <x:v>HELD — COVERAGE</x:v>
      </x:c>
      <x:c r="AA130" s="13" t="str">
        <x:f>IF(L130&lt;&gt;"COVERED","HELD — COVERAGE","WAIT FOR UPSTREAM COMPLETION")</x:f>
        <x:v>HELD — COVERAGE</x:v>
      </x:c>
      <x:c r="AB130" s="13" t="str">
        <x:f>IF(L130&lt;&gt;"COVERED","HELD — COVERAGE",IF(T130="UNRESOLVED","G DECISION REQUIRED",IF(T130="NOT APPLICABLE","G N/A","G ACTIONABLE")))</x:f>
        <x:v>HELD — COVERAGE</x:v>
      </x:c>
      <x:c r="AC130" s="13" t="str">
        <x:f>IF(L130="UNRESOLVED","COVERAGE FIRST",IF(OR(L130="EXCLUDED",L130="OUT OF SCOPE"),"CLOSED BY COVERAGE",IF(AND(L130="COVERED",T130&lt;&gt;"UNRESOLVED"),"PARTIALLY ADOPTED","DECISIONS REMAIN")))</x:f>
        <x:v>COVERAGE FIRST</x:v>
      </x:c>
    </x:row>
    <x:row r="131">
      <x:c r="A131" s="13" t="str">
        <x:v>NAAFTC-HS6-030246</x:v>
      </x:c>
      <x:c r="B131" s="13" t="str">
        <x:v>030246</x:v>
      </x:c>
      <x:c r="C131" s="13" t="str">
        <x:v>03</x:v>
      </x:c>
      <x:c r="D131" s="13" t="str">
        <x:v>TRILATERAL_SPLIT_MERGE</x:v>
      </x:c>
      <x:c r="E131" s="13" t="str">
        <x:v>Pending</x:v>
      </x:c>
      <x:c r="F131" s="13" t="n">
        <x:v>2</x:v>
      </x:c>
      <x:c r="G131" s="13" t="n">
        <x:v>1</x:v>
      </x:c>
      <x:c r="H131" s="13" t="n">
        <x:v>1</x:v>
      </x:c>
      <x:c r="I131" s="13" t="str">
        <x:v>0302461100; 0302465000</x:v>
      </x:c>
      <x:c r="J131" s="13" t="str">
        <x:v>0302460100</x:v>
      </x:c>
      <x:c r="K131" s="13" t="str">
        <x:v>0302460000</x:v>
      </x:c>
      <x:c r="L131" s="13" t="str">
        <x:v>UNRESOLVED</x:v>
      </x:c>
      <x:c r="M131" s="13" t="str"/>
      <x:c r="N131" s="13" t="str">
        <x:v>NO / DEFAULT</x:v>
      </x:c>
      <x:c r="O131" s="13" t="str"/>
      <x:c r="P131" s="13" t="str">
        <x:v>NO / DEFAULT</x:v>
      </x:c>
      <x:c r="Q131" s="13" t="str"/>
      <x:c r="R131" s="13" t="str">
        <x:v>INDEPENDENT / DEFAULT</x:v>
      </x:c>
      <x:c r="S131" s="13" t="str"/>
      <x:c r="T131" s="13" t="str">
        <x:v>UNRESOLVED</x:v>
      </x:c>
      <x:c r="U131" s="13" t="str"/>
      <x:c r="V131" s="13" t="str"/>
      <x:c r="W131" s="13" t="str"/>
      <x:c r="X131" s="13" t="str">
        <x:f>IF(L131&lt;&gt;"COVERED","HELD — COVERAGE",IF(N131="YES — SENSITIVE","C ACTIONABLE","CHAPTER 5 DEFAULT"))</x:f>
        <x:v>HELD — COVERAGE</x:v>
      </x:c>
      <x:c r="Y131" s="13" t="str">
        <x:f>IF(L131&lt;&gt;"COVERED","HELD — COVERAGE",IF(P131="YES — MANAGED ACCESS","D ACTIONABLE","NO D FIELD"))</x:f>
        <x:v>HELD — COVERAGE</x:v>
      </x:c>
      <x:c r="Z131" s="13" t="str">
        <x:f>IF(L131&lt;&gt;"COVERED","HELD — COVERAGE",IF(OR(R131="PAIRED SYNCHRONIZED",R131="TRILATERAL SYNCHRONIZED"),"E ACTIONABLE","INDEPENDENT"))</x:f>
        <x:v>HELD — COVERAGE</x:v>
      </x:c>
      <x:c r="AA131" s="13" t="str">
        <x:f>IF(L131&lt;&gt;"COVERED","HELD — COVERAGE","WAIT FOR UPSTREAM COMPLETION")</x:f>
        <x:v>HELD — COVERAGE</x:v>
      </x:c>
      <x:c r="AB131" s="13" t="str">
        <x:f>IF(L131&lt;&gt;"COVERED","HELD — COVERAGE",IF(T131="UNRESOLVED","G DECISION REQUIRED",IF(T131="NOT APPLICABLE","G N/A","G ACTIONABLE")))</x:f>
        <x:v>HELD — COVERAGE</x:v>
      </x:c>
      <x:c r="AC131" s="13" t="str">
        <x:f>IF(L131="UNRESOLVED","COVERAGE FIRST",IF(OR(L131="EXCLUDED",L131="OUT OF SCOPE"),"CLOSED BY COVERAGE",IF(AND(L131="COVERED",T131&lt;&gt;"UNRESOLVED"),"PARTIALLY ADOPTED","DECISIONS REMAIN")))</x:f>
        <x:v>COVERAGE FIRST</x:v>
      </x:c>
    </x:row>
    <x:row r="132">
      <x:c r="A132" s="13" t="str">
        <x:v>NAAFTC-HS6-030247</x:v>
      </x:c>
      <x:c r="B132" s="13" t="str">
        <x:v>030247</x:v>
      </x:c>
      <x:c r="C132" s="13" t="str">
        <x:v>03</x:v>
      </x:c>
      <x:c r="D132" s="13" t="str">
        <x:v>TRILATERAL_SPLIT_MERGE</x:v>
      </x:c>
      <x:c r="E132" s="13" t="str">
        <x:v>Pending</x:v>
      </x:c>
      <x:c r="F132" s="13" t="n">
        <x:v>2</x:v>
      </x:c>
      <x:c r="G132" s="13" t="n">
        <x:v>1</x:v>
      </x:c>
      <x:c r="H132" s="13" t="n">
        <x:v>1</x:v>
      </x:c>
      <x:c r="I132" s="13" t="str">
        <x:v>0302470010; 0302470090</x:v>
      </x:c>
      <x:c r="J132" s="13" t="str">
        <x:v>0302470100</x:v>
      </x:c>
      <x:c r="K132" s="13" t="str">
        <x:v>0302470000</x:v>
      </x:c>
      <x:c r="L132" s="13" t="str">
        <x:v>UNRESOLVED</x:v>
      </x:c>
      <x:c r="M132" s="13" t="str"/>
      <x:c r="N132" s="13" t="str">
        <x:v>NO / DEFAULT</x:v>
      </x:c>
      <x:c r="O132" s="13" t="str"/>
      <x:c r="P132" s="13" t="str">
        <x:v>NO / DEFAULT</x:v>
      </x:c>
      <x:c r="Q132" s="13" t="str"/>
      <x:c r="R132" s="13" t="str">
        <x:v>INDEPENDENT / DEFAULT</x:v>
      </x:c>
      <x:c r="S132" s="13" t="str"/>
      <x:c r="T132" s="13" t="str">
        <x:v>UNRESOLVED</x:v>
      </x:c>
      <x:c r="U132" s="13" t="str"/>
      <x:c r="V132" s="13" t="str"/>
      <x:c r="W132" s="13" t="str"/>
      <x:c r="X132" s="13" t="str">
        <x:f>IF(L132&lt;&gt;"COVERED","HELD — COVERAGE",IF(N132="YES — SENSITIVE","C ACTIONABLE","CHAPTER 5 DEFAULT"))</x:f>
        <x:v>HELD — COVERAGE</x:v>
      </x:c>
      <x:c r="Y132" s="13" t="str">
        <x:f>IF(L132&lt;&gt;"COVERED","HELD — COVERAGE",IF(P132="YES — MANAGED ACCESS","D ACTIONABLE","NO D FIELD"))</x:f>
        <x:v>HELD — COVERAGE</x:v>
      </x:c>
      <x:c r="Z132" s="13" t="str">
        <x:f>IF(L132&lt;&gt;"COVERED","HELD — COVERAGE",IF(OR(R132="PAIRED SYNCHRONIZED",R132="TRILATERAL SYNCHRONIZED"),"E ACTIONABLE","INDEPENDENT"))</x:f>
        <x:v>HELD — COVERAGE</x:v>
      </x:c>
      <x:c r="AA132" s="13" t="str">
        <x:f>IF(L132&lt;&gt;"COVERED","HELD — COVERAGE","WAIT FOR UPSTREAM COMPLETION")</x:f>
        <x:v>HELD — COVERAGE</x:v>
      </x:c>
      <x:c r="AB132" s="13" t="str">
        <x:f>IF(L132&lt;&gt;"COVERED","HELD — COVERAGE",IF(T132="UNRESOLVED","G DECISION REQUIRED",IF(T132="NOT APPLICABLE","G N/A","G ACTIONABLE")))</x:f>
        <x:v>HELD — COVERAGE</x:v>
      </x:c>
      <x:c r="AC132" s="13" t="str">
        <x:f>IF(L132="UNRESOLVED","COVERAGE FIRST",IF(OR(L132="EXCLUDED",L132="OUT OF SCOPE"),"CLOSED BY COVERAGE",IF(AND(L132="COVERED",T132&lt;&gt;"UNRESOLVED"),"PARTIALLY ADOPTED","DECISIONS REMAIN")))</x:f>
        <x:v>COVERAGE FIRST</x:v>
      </x:c>
    </x:row>
    <x:row r="133">
      <x:c r="A133" s="13" t="str">
        <x:v>NAAFTC-HS6-030249</x:v>
      </x:c>
      <x:c r="B133" s="13" t="str">
        <x:v>030249</x:v>
      </x:c>
      <x:c r="C133" s="13" t="str">
        <x:v>03</x:v>
      </x:c>
      <x:c r="D133" s="13" t="str">
        <x:v>TRILATERAL_1_TO_1_TO_1</x:v>
      </x:c>
      <x:c r="E133" s="13" t="str">
        <x:v>Pending</x:v>
      </x:c>
      <x:c r="F133" s="13" t="n">
        <x:v>1</x:v>
      </x:c>
      <x:c r="G133" s="13" t="n">
        <x:v>1</x:v>
      </x:c>
      <x:c r="H133" s="13" t="n">
        <x:v>1</x:v>
      </x:c>
      <x:c r="I133" s="13" t="str">
        <x:v>0302490000</x:v>
      </x:c>
      <x:c r="J133" s="13" t="str">
        <x:v>0302499900</x:v>
      </x:c>
      <x:c r="K133" s="13" t="str">
        <x:v>0302490000</x:v>
      </x:c>
      <x:c r="L133" s="13" t="str">
        <x:v>UNRESOLVED</x:v>
      </x:c>
      <x:c r="M133" s="13" t="str"/>
      <x:c r="N133" s="13" t="str">
        <x:v>NO / DEFAULT</x:v>
      </x:c>
      <x:c r="O133" s="13" t="str"/>
      <x:c r="P133" s="13" t="str">
        <x:v>NO / DEFAULT</x:v>
      </x:c>
      <x:c r="Q133" s="13" t="str"/>
      <x:c r="R133" s="13" t="str">
        <x:v>INDEPENDENT / DEFAULT</x:v>
      </x:c>
      <x:c r="S133" s="13" t="str"/>
      <x:c r="T133" s="13" t="str">
        <x:v>UNRESOLVED</x:v>
      </x:c>
      <x:c r="U133" s="13" t="str"/>
      <x:c r="V133" s="13" t="str"/>
      <x:c r="W133" s="13" t="str"/>
      <x:c r="X133" s="13" t="str">
        <x:f>IF(L133&lt;&gt;"COVERED","HELD — COVERAGE",IF(N133="YES — SENSITIVE","C ACTIONABLE","CHAPTER 5 DEFAULT"))</x:f>
        <x:v>HELD — COVERAGE</x:v>
      </x:c>
      <x:c r="Y133" s="13" t="str">
        <x:f>IF(L133&lt;&gt;"COVERED","HELD — COVERAGE",IF(P133="YES — MANAGED ACCESS","D ACTIONABLE","NO D FIELD"))</x:f>
        <x:v>HELD — COVERAGE</x:v>
      </x:c>
      <x:c r="Z133" s="13" t="str">
        <x:f>IF(L133&lt;&gt;"COVERED","HELD — COVERAGE",IF(OR(R133="PAIRED SYNCHRONIZED",R133="TRILATERAL SYNCHRONIZED"),"E ACTIONABLE","INDEPENDENT"))</x:f>
        <x:v>HELD — COVERAGE</x:v>
      </x:c>
      <x:c r="AA133" s="13" t="str">
        <x:f>IF(L133&lt;&gt;"COVERED","HELD — COVERAGE","WAIT FOR UPSTREAM COMPLETION")</x:f>
        <x:v>HELD — COVERAGE</x:v>
      </x:c>
      <x:c r="AB133" s="13" t="str">
        <x:f>IF(L133&lt;&gt;"COVERED","HELD — COVERAGE",IF(T133="UNRESOLVED","G DECISION REQUIRED",IF(T133="NOT APPLICABLE","G N/A","G ACTIONABLE")))</x:f>
        <x:v>HELD — COVERAGE</x:v>
      </x:c>
      <x:c r="AC133" s="13" t="str">
        <x:f>IF(L133="UNRESOLVED","COVERAGE FIRST",IF(OR(L133="EXCLUDED",L133="OUT OF SCOPE"),"CLOSED BY COVERAGE",IF(AND(L133="COVERED",T133&lt;&gt;"UNRESOLVED"),"PARTIALLY ADOPTED","DECISIONS REMAIN")))</x:f>
        <x:v>COVERAGE FIRST</x:v>
      </x:c>
    </x:row>
    <x:row r="134">
      <x:c r="A134" s="13" t="str">
        <x:v>NAAFTC-HS6-030251</x:v>
      </x:c>
      <x:c r="B134" s="13" t="str">
        <x:v>030251</x:v>
      </x:c>
      <x:c r="C134" s="13" t="str">
        <x:v>03</x:v>
      </x:c>
      <x:c r="D134" s="13" t="str">
        <x:v>TRILATERAL_SPLIT_MERGE</x:v>
      </x:c>
      <x:c r="E134" s="13" t="str">
        <x:v>Pending</x:v>
      </x:c>
      <x:c r="F134" s="13" t="n">
        <x:v>2</x:v>
      </x:c>
      <x:c r="G134" s="13" t="n">
        <x:v>1</x:v>
      </x:c>
      <x:c r="H134" s="13" t="n">
        <x:v>1</x:v>
      </x:c>
      <x:c r="I134" s="13" t="str">
        <x:v>0302510010; 0302510090</x:v>
      </x:c>
      <x:c r="J134" s="13" t="str">
        <x:v>0302510100</x:v>
      </x:c>
      <x:c r="K134" s="13" t="str">
        <x:v>03025100</x:v>
      </x:c>
      <x:c r="L134" s="13" t="str">
        <x:v>UNRESOLVED</x:v>
      </x:c>
      <x:c r="M134" s="13" t="str"/>
      <x:c r="N134" s="13" t="str">
        <x:v>NO / DEFAULT</x:v>
      </x:c>
      <x:c r="O134" s="13" t="str"/>
      <x:c r="P134" s="13" t="str">
        <x:v>NO / DEFAULT</x:v>
      </x:c>
      <x:c r="Q134" s="13" t="str"/>
      <x:c r="R134" s="13" t="str">
        <x:v>INDEPENDENT / DEFAULT</x:v>
      </x:c>
      <x:c r="S134" s="13" t="str"/>
      <x:c r="T134" s="13" t="str">
        <x:v>UNRESOLVED</x:v>
      </x:c>
      <x:c r="U134" s="13" t="str"/>
      <x:c r="V134" s="13" t="str"/>
      <x:c r="W134" s="13" t="str"/>
      <x:c r="X134" s="13" t="str">
        <x:f>IF(L134&lt;&gt;"COVERED","HELD — COVERAGE",IF(N134="YES — SENSITIVE","C ACTIONABLE","CHAPTER 5 DEFAULT"))</x:f>
        <x:v>HELD — COVERAGE</x:v>
      </x:c>
      <x:c r="Y134" s="13" t="str">
        <x:f>IF(L134&lt;&gt;"COVERED","HELD — COVERAGE",IF(P134="YES — MANAGED ACCESS","D ACTIONABLE","NO D FIELD"))</x:f>
        <x:v>HELD — COVERAGE</x:v>
      </x:c>
      <x:c r="Z134" s="13" t="str">
        <x:f>IF(L134&lt;&gt;"COVERED","HELD — COVERAGE",IF(OR(R134="PAIRED SYNCHRONIZED",R134="TRILATERAL SYNCHRONIZED"),"E ACTIONABLE","INDEPENDENT"))</x:f>
        <x:v>HELD — COVERAGE</x:v>
      </x:c>
      <x:c r="AA134" s="13" t="str">
        <x:f>IF(L134&lt;&gt;"COVERED","HELD — COVERAGE","WAIT FOR UPSTREAM COMPLETION")</x:f>
        <x:v>HELD — COVERAGE</x:v>
      </x:c>
      <x:c r="AB134" s="13" t="str">
        <x:f>IF(L134&lt;&gt;"COVERED","HELD — COVERAGE",IF(T134="UNRESOLVED","G DECISION REQUIRED",IF(T134="NOT APPLICABLE","G N/A","G ACTIONABLE")))</x:f>
        <x:v>HELD — COVERAGE</x:v>
      </x:c>
      <x:c r="AC134" s="13" t="str">
        <x:f>IF(L134="UNRESOLVED","COVERAGE FIRST",IF(OR(L134="EXCLUDED",L134="OUT OF SCOPE"),"CLOSED BY COVERAGE",IF(AND(L134="COVERED",T134&lt;&gt;"UNRESOLVED"),"PARTIALLY ADOPTED","DECISIONS REMAIN")))</x:f>
        <x:v>COVERAGE FIRST</x:v>
      </x:c>
    </x:row>
    <x:row r="135">
      <x:c r="A135" s="13" t="str">
        <x:v>NAAFTC-HS6-030252</x:v>
      </x:c>
      <x:c r="B135" s="13" t="str">
        <x:v>030252</x:v>
      </x:c>
      <x:c r="C135" s="13" t="str">
        <x:v>03</x:v>
      </x:c>
      <x:c r="D135" s="13" t="str">
        <x:v>TRILATERAL_1_TO_1_TO_1</x:v>
      </x:c>
      <x:c r="E135" s="13" t="str">
        <x:v>Pending</x:v>
      </x:c>
      <x:c r="F135" s="13" t="n">
        <x:v>1</x:v>
      </x:c>
      <x:c r="G135" s="13" t="n">
        <x:v>1</x:v>
      </x:c>
      <x:c r="H135" s="13" t="n">
        <x:v>1</x:v>
      </x:c>
      <x:c r="I135" s="13" t="str">
        <x:v>0302520000</x:v>
      </x:c>
      <x:c r="J135" s="13" t="str">
        <x:v>0302520100</x:v>
      </x:c>
      <x:c r="K135" s="13" t="str">
        <x:v>0302520000</x:v>
      </x:c>
      <x:c r="L135" s="13" t="str">
        <x:v>UNRESOLVED</x:v>
      </x:c>
      <x:c r="M135" s="13" t="str"/>
      <x:c r="N135" s="13" t="str">
        <x:v>NO / DEFAULT</x:v>
      </x:c>
      <x:c r="O135" s="13" t="str"/>
      <x:c r="P135" s="13" t="str">
        <x:v>NO / DEFAULT</x:v>
      </x:c>
      <x:c r="Q135" s="13" t="str"/>
      <x:c r="R135" s="13" t="str">
        <x:v>INDEPENDENT / DEFAULT</x:v>
      </x:c>
      <x:c r="S135" s="13" t="str"/>
      <x:c r="T135" s="13" t="str">
        <x:v>UNRESOLVED</x:v>
      </x:c>
      <x:c r="U135" s="13" t="str"/>
      <x:c r="V135" s="13" t="str"/>
      <x:c r="W135" s="13" t="str"/>
      <x:c r="X135" s="13" t="str">
        <x:f>IF(L135&lt;&gt;"COVERED","HELD — COVERAGE",IF(N135="YES — SENSITIVE","C ACTIONABLE","CHAPTER 5 DEFAULT"))</x:f>
        <x:v>HELD — COVERAGE</x:v>
      </x:c>
      <x:c r="Y135" s="13" t="str">
        <x:f>IF(L135&lt;&gt;"COVERED","HELD — COVERAGE",IF(P135="YES — MANAGED ACCESS","D ACTIONABLE","NO D FIELD"))</x:f>
        <x:v>HELD — COVERAGE</x:v>
      </x:c>
      <x:c r="Z135" s="13" t="str">
        <x:f>IF(L135&lt;&gt;"COVERED","HELD — COVERAGE",IF(OR(R135="PAIRED SYNCHRONIZED",R135="TRILATERAL SYNCHRONIZED"),"E ACTIONABLE","INDEPENDENT"))</x:f>
        <x:v>HELD — COVERAGE</x:v>
      </x:c>
      <x:c r="AA135" s="13" t="str">
        <x:f>IF(L135&lt;&gt;"COVERED","HELD — COVERAGE","WAIT FOR UPSTREAM COMPLETION")</x:f>
        <x:v>HELD — COVERAGE</x:v>
      </x:c>
      <x:c r="AB135" s="13" t="str">
        <x:f>IF(L135&lt;&gt;"COVERED","HELD — COVERAGE",IF(T135="UNRESOLVED","G DECISION REQUIRED",IF(T135="NOT APPLICABLE","G N/A","G ACTIONABLE")))</x:f>
        <x:v>HELD — COVERAGE</x:v>
      </x:c>
      <x:c r="AC135" s="13" t="str">
        <x:f>IF(L135="UNRESOLVED","COVERAGE FIRST",IF(OR(L135="EXCLUDED",L135="OUT OF SCOPE"),"CLOSED BY COVERAGE",IF(AND(L135="COVERED",T135&lt;&gt;"UNRESOLVED"),"PARTIALLY ADOPTED","DECISIONS REMAIN")))</x:f>
        <x:v>COVERAGE FIRST</x:v>
      </x:c>
    </x:row>
    <x:row r="136">
      <x:c r="A136" s="13" t="str">
        <x:v>NAAFTC-HS6-030253</x:v>
      </x:c>
      <x:c r="B136" s="13" t="str">
        <x:v>030253</x:v>
      </x:c>
      <x:c r="C136" s="13" t="str">
        <x:v>03</x:v>
      </x:c>
      <x:c r="D136" s="13" t="str">
        <x:v>TRILATERAL_1_TO_1_TO_1</x:v>
      </x:c>
      <x:c r="E136" s="13" t="str">
        <x:v>Pending</x:v>
      </x:c>
      <x:c r="F136" s="13" t="n">
        <x:v>1</x:v>
      </x:c>
      <x:c r="G136" s="13" t="n">
        <x:v>1</x:v>
      </x:c>
      <x:c r="H136" s="13" t="n">
        <x:v>1</x:v>
      </x:c>
      <x:c r="I136" s="13" t="str">
        <x:v>0302530000</x:v>
      </x:c>
      <x:c r="J136" s="13" t="str">
        <x:v>0302530100</x:v>
      </x:c>
      <x:c r="K136" s="13" t="str">
        <x:v>0302530000</x:v>
      </x:c>
      <x:c r="L136" s="13" t="str">
        <x:v>UNRESOLVED</x:v>
      </x:c>
      <x:c r="M136" s="13" t="str"/>
      <x:c r="N136" s="13" t="str">
        <x:v>NO / DEFAULT</x:v>
      </x:c>
      <x:c r="O136" s="13" t="str"/>
      <x:c r="P136" s="13" t="str">
        <x:v>NO / DEFAULT</x:v>
      </x:c>
      <x:c r="Q136" s="13" t="str"/>
      <x:c r="R136" s="13" t="str">
        <x:v>INDEPENDENT / DEFAULT</x:v>
      </x:c>
      <x:c r="S136" s="13" t="str"/>
      <x:c r="T136" s="13" t="str">
        <x:v>UNRESOLVED</x:v>
      </x:c>
      <x:c r="U136" s="13" t="str"/>
      <x:c r="V136" s="13" t="str"/>
      <x:c r="W136" s="13" t="str"/>
      <x:c r="X136" s="13" t="str">
        <x:f>IF(L136&lt;&gt;"COVERED","HELD — COVERAGE",IF(N136="YES — SENSITIVE","C ACTIONABLE","CHAPTER 5 DEFAULT"))</x:f>
        <x:v>HELD — COVERAGE</x:v>
      </x:c>
      <x:c r="Y136" s="13" t="str">
        <x:f>IF(L136&lt;&gt;"COVERED","HELD — COVERAGE",IF(P136="YES — MANAGED ACCESS","D ACTIONABLE","NO D FIELD"))</x:f>
        <x:v>HELD — COVERAGE</x:v>
      </x:c>
      <x:c r="Z136" s="13" t="str">
        <x:f>IF(L136&lt;&gt;"COVERED","HELD — COVERAGE",IF(OR(R136="PAIRED SYNCHRONIZED",R136="TRILATERAL SYNCHRONIZED"),"E ACTIONABLE","INDEPENDENT"))</x:f>
        <x:v>HELD — COVERAGE</x:v>
      </x:c>
      <x:c r="AA136" s="13" t="str">
        <x:f>IF(L136&lt;&gt;"COVERED","HELD — COVERAGE","WAIT FOR UPSTREAM COMPLETION")</x:f>
        <x:v>HELD — COVERAGE</x:v>
      </x:c>
      <x:c r="AB136" s="13" t="str">
        <x:f>IF(L136&lt;&gt;"COVERED","HELD — COVERAGE",IF(T136="UNRESOLVED","G DECISION REQUIRED",IF(T136="NOT APPLICABLE","G N/A","G ACTIONABLE")))</x:f>
        <x:v>HELD — COVERAGE</x:v>
      </x:c>
      <x:c r="AC136" s="13" t="str">
        <x:f>IF(L136="UNRESOLVED","COVERAGE FIRST",IF(OR(L136="EXCLUDED",L136="OUT OF SCOPE"),"CLOSED BY COVERAGE",IF(AND(L136="COVERED",T136&lt;&gt;"UNRESOLVED"),"PARTIALLY ADOPTED","DECISIONS REMAIN")))</x:f>
        <x:v>COVERAGE FIRST</x:v>
      </x:c>
    </x:row>
    <x:row r="137">
      <x:c r="A137" s="13" t="str">
        <x:v>NAAFTC-HS6-030254</x:v>
      </x:c>
      <x:c r="B137" s="13" t="str">
        <x:v>030254</x:v>
      </x:c>
      <x:c r="C137" s="13" t="str">
        <x:v>03</x:v>
      </x:c>
      <x:c r="D137" s="13" t="str">
        <x:v>TRILATERAL_SPLIT_MERGE</x:v>
      </x:c>
      <x:c r="E137" s="13" t="str">
        <x:v>Pending</x:v>
      </x:c>
      <x:c r="F137" s="13" t="n">
        <x:v>2</x:v>
      </x:c>
      <x:c r="G137" s="13" t="n">
        <x:v>1</x:v>
      </x:c>
      <x:c r="H137" s="13" t="n">
        <x:v>1</x:v>
      </x:c>
      <x:c r="I137" s="13" t="str">
        <x:v>0302541100; 0302545000</x:v>
      </x:c>
      <x:c r="J137" s="13" t="str">
        <x:v>0302540100</x:v>
      </x:c>
      <x:c r="K137" s="13" t="str">
        <x:v>0302540000</x:v>
      </x:c>
      <x:c r="L137" s="13" t="str">
        <x:v>UNRESOLVED</x:v>
      </x:c>
      <x:c r="M137" s="13" t="str"/>
      <x:c r="N137" s="13" t="str">
        <x:v>NO / DEFAULT</x:v>
      </x:c>
      <x:c r="O137" s="13" t="str"/>
      <x:c r="P137" s="13" t="str">
        <x:v>NO / DEFAULT</x:v>
      </x:c>
      <x:c r="Q137" s="13" t="str"/>
      <x:c r="R137" s="13" t="str">
        <x:v>INDEPENDENT / DEFAULT</x:v>
      </x:c>
      <x:c r="S137" s="13" t="str"/>
      <x:c r="T137" s="13" t="str">
        <x:v>UNRESOLVED</x:v>
      </x:c>
      <x:c r="U137" s="13" t="str"/>
      <x:c r="V137" s="13" t="str"/>
      <x:c r="W137" s="13" t="str"/>
      <x:c r="X137" s="13" t="str">
        <x:f>IF(L137&lt;&gt;"COVERED","HELD — COVERAGE",IF(N137="YES — SENSITIVE","C ACTIONABLE","CHAPTER 5 DEFAULT"))</x:f>
        <x:v>HELD — COVERAGE</x:v>
      </x:c>
      <x:c r="Y137" s="13" t="str">
        <x:f>IF(L137&lt;&gt;"COVERED","HELD — COVERAGE",IF(P137="YES — MANAGED ACCESS","D ACTIONABLE","NO D FIELD"))</x:f>
        <x:v>HELD — COVERAGE</x:v>
      </x:c>
      <x:c r="Z137" s="13" t="str">
        <x:f>IF(L137&lt;&gt;"COVERED","HELD — COVERAGE",IF(OR(R137="PAIRED SYNCHRONIZED",R137="TRILATERAL SYNCHRONIZED"),"E ACTIONABLE","INDEPENDENT"))</x:f>
        <x:v>HELD — COVERAGE</x:v>
      </x:c>
      <x:c r="AA137" s="13" t="str">
        <x:f>IF(L137&lt;&gt;"COVERED","HELD — COVERAGE","WAIT FOR UPSTREAM COMPLETION")</x:f>
        <x:v>HELD — COVERAGE</x:v>
      </x:c>
      <x:c r="AB137" s="13" t="str">
        <x:f>IF(L137&lt;&gt;"COVERED","HELD — COVERAGE",IF(T137="UNRESOLVED","G DECISION REQUIRED",IF(T137="NOT APPLICABLE","G N/A","G ACTIONABLE")))</x:f>
        <x:v>HELD — COVERAGE</x:v>
      </x:c>
      <x:c r="AC137" s="13" t="str">
        <x:f>IF(L137="UNRESOLVED","COVERAGE FIRST",IF(OR(L137="EXCLUDED",L137="OUT OF SCOPE"),"CLOSED BY COVERAGE",IF(AND(L137="COVERED",T137&lt;&gt;"UNRESOLVED"),"PARTIALLY ADOPTED","DECISIONS REMAIN")))</x:f>
        <x:v>COVERAGE FIRST</x:v>
      </x:c>
    </x:row>
    <x:row r="138">
      <x:c r="A138" s="13" t="str">
        <x:v>NAAFTC-HS6-030255</x:v>
      </x:c>
      <x:c r="B138" s="13" t="str">
        <x:v>030255</x:v>
      </x:c>
      <x:c r="C138" s="13" t="str">
        <x:v>03</x:v>
      </x:c>
      <x:c r="D138" s="13" t="str">
        <x:v>TRILATERAL_SPLIT_MERGE</x:v>
      </x:c>
      <x:c r="E138" s="13" t="str">
        <x:v>Pending</x:v>
      </x:c>
      <x:c r="F138" s="13" t="n">
        <x:v>2</x:v>
      </x:c>
      <x:c r="G138" s="13" t="n">
        <x:v>1</x:v>
      </x:c>
      <x:c r="H138" s="13" t="n">
        <x:v>1</x:v>
      </x:c>
      <x:c r="I138" s="13" t="str">
        <x:v>0302551100; 0302555000</x:v>
      </x:c>
      <x:c r="J138" s="13" t="str">
        <x:v>0302550100</x:v>
      </x:c>
      <x:c r="K138" s="13" t="str">
        <x:v>0302550000</x:v>
      </x:c>
      <x:c r="L138" s="13" t="str">
        <x:v>UNRESOLVED</x:v>
      </x:c>
      <x:c r="M138" s="13" t="str"/>
      <x:c r="N138" s="13" t="str">
        <x:v>NO / DEFAULT</x:v>
      </x:c>
      <x:c r="O138" s="13" t="str"/>
      <x:c r="P138" s="13" t="str">
        <x:v>NO / DEFAULT</x:v>
      </x:c>
      <x:c r="Q138" s="13" t="str"/>
      <x:c r="R138" s="13" t="str">
        <x:v>INDEPENDENT / DEFAULT</x:v>
      </x:c>
      <x:c r="S138" s="13" t="str"/>
      <x:c r="T138" s="13" t="str">
        <x:v>UNRESOLVED</x:v>
      </x:c>
      <x:c r="U138" s="13" t="str"/>
      <x:c r="V138" s="13" t="str"/>
      <x:c r="W138" s="13" t="str"/>
      <x:c r="X138" s="13" t="str">
        <x:f>IF(L138&lt;&gt;"COVERED","HELD — COVERAGE",IF(N138="YES — SENSITIVE","C ACTIONABLE","CHAPTER 5 DEFAULT"))</x:f>
        <x:v>HELD — COVERAGE</x:v>
      </x:c>
      <x:c r="Y138" s="13" t="str">
        <x:f>IF(L138&lt;&gt;"COVERED","HELD — COVERAGE",IF(P138="YES — MANAGED ACCESS","D ACTIONABLE","NO D FIELD"))</x:f>
        <x:v>HELD — COVERAGE</x:v>
      </x:c>
      <x:c r="Z138" s="13" t="str">
        <x:f>IF(L138&lt;&gt;"COVERED","HELD — COVERAGE",IF(OR(R138="PAIRED SYNCHRONIZED",R138="TRILATERAL SYNCHRONIZED"),"E ACTIONABLE","INDEPENDENT"))</x:f>
        <x:v>HELD — COVERAGE</x:v>
      </x:c>
      <x:c r="AA138" s="13" t="str">
        <x:f>IF(L138&lt;&gt;"COVERED","HELD — COVERAGE","WAIT FOR UPSTREAM COMPLETION")</x:f>
        <x:v>HELD — COVERAGE</x:v>
      </x:c>
      <x:c r="AB138" s="13" t="str">
        <x:f>IF(L138&lt;&gt;"COVERED","HELD — COVERAGE",IF(T138="UNRESOLVED","G DECISION REQUIRED",IF(T138="NOT APPLICABLE","G N/A","G ACTIONABLE")))</x:f>
        <x:v>HELD — COVERAGE</x:v>
      </x:c>
      <x:c r="AC138" s="13" t="str">
        <x:f>IF(L138="UNRESOLVED","COVERAGE FIRST",IF(OR(L138="EXCLUDED",L138="OUT OF SCOPE"),"CLOSED BY COVERAGE",IF(AND(L138="COVERED",T138&lt;&gt;"UNRESOLVED"),"PARTIALLY ADOPTED","DECISIONS REMAIN")))</x:f>
        <x:v>COVERAGE FIRST</x:v>
      </x:c>
    </x:row>
    <x:row r="139">
      <x:c r="A139" s="13" t="str">
        <x:v>NAAFTC-HS6-030256</x:v>
      </x:c>
      <x:c r="B139" s="13" t="str">
        <x:v>030256</x:v>
      </x:c>
      <x:c r="C139" s="13" t="str">
        <x:v>03</x:v>
      </x:c>
      <x:c r="D139" s="13" t="str">
        <x:v>TRILATERAL_SPLIT_MERGE</x:v>
      </x:c>
      <x:c r="E139" s="13" t="str">
        <x:v>Pending</x:v>
      </x:c>
      <x:c r="F139" s="13" t="n">
        <x:v>2</x:v>
      </x:c>
      <x:c r="G139" s="13" t="n">
        <x:v>1</x:v>
      </x:c>
      <x:c r="H139" s="13" t="n">
        <x:v>1</x:v>
      </x:c>
      <x:c r="I139" s="13" t="str">
        <x:v>0302561100; 0302565000</x:v>
      </x:c>
      <x:c r="J139" s="13" t="str">
        <x:v>0302560100</x:v>
      </x:c>
      <x:c r="K139" s="13" t="str">
        <x:v>0302560000</x:v>
      </x:c>
      <x:c r="L139" s="13" t="str">
        <x:v>UNRESOLVED</x:v>
      </x:c>
      <x:c r="M139" s="13" t="str"/>
      <x:c r="N139" s="13" t="str">
        <x:v>NO / DEFAULT</x:v>
      </x:c>
      <x:c r="O139" s="13" t="str"/>
      <x:c r="P139" s="13" t="str">
        <x:v>NO / DEFAULT</x:v>
      </x:c>
      <x:c r="Q139" s="13" t="str"/>
      <x:c r="R139" s="13" t="str">
        <x:v>INDEPENDENT / DEFAULT</x:v>
      </x:c>
      <x:c r="S139" s="13" t="str"/>
      <x:c r="T139" s="13" t="str">
        <x:v>UNRESOLVED</x:v>
      </x:c>
      <x:c r="U139" s="13" t="str"/>
      <x:c r="V139" s="13" t="str"/>
      <x:c r="W139" s="13" t="str"/>
      <x:c r="X139" s="13" t="str">
        <x:f>IF(L139&lt;&gt;"COVERED","HELD — COVERAGE",IF(N139="YES — SENSITIVE","C ACTIONABLE","CHAPTER 5 DEFAULT"))</x:f>
        <x:v>HELD — COVERAGE</x:v>
      </x:c>
      <x:c r="Y139" s="13" t="str">
        <x:f>IF(L139&lt;&gt;"COVERED","HELD — COVERAGE",IF(P139="YES — MANAGED ACCESS","D ACTIONABLE","NO D FIELD"))</x:f>
        <x:v>HELD — COVERAGE</x:v>
      </x:c>
      <x:c r="Z139" s="13" t="str">
        <x:f>IF(L139&lt;&gt;"COVERED","HELD — COVERAGE",IF(OR(R139="PAIRED SYNCHRONIZED",R139="TRILATERAL SYNCHRONIZED"),"E ACTIONABLE","INDEPENDENT"))</x:f>
        <x:v>HELD — COVERAGE</x:v>
      </x:c>
      <x:c r="AA139" s="13" t="str">
        <x:f>IF(L139&lt;&gt;"COVERED","HELD — COVERAGE","WAIT FOR UPSTREAM COMPLETION")</x:f>
        <x:v>HELD — COVERAGE</x:v>
      </x:c>
      <x:c r="AB139" s="13" t="str">
        <x:f>IF(L139&lt;&gt;"COVERED","HELD — COVERAGE",IF(T139="UNRESOLVED","G DECISION REQUIRED",IF(T139="NOT APPLICABLE","G N/A","G ACTIONABLE")))</x:f>
        <x:v>HELD — COVERAGE</x:v>
      </x:c>
      <x:c r="AC139" s="13" t="str">
        <x:f>IF(L139="UNRESOLVED","COVERAGE FIRST",IF(OR(L139="EXCLUDED",L139="OUT OF SCOPE"),"CLOSED BY COVERAGE",IF(AND(L139="COVERED",T139&lt;&gt;"UNRESOLVED"),"PARTIALLY ADOPTED","DECISIONS REMAIN")))</x:f>
        <x:v>COVERAGE FIRST</x:v>
      </x:c>
    </x:row>
    <x:row r="140">
      <x:c r="A140" s="13" t="str">
        <x:v>NAAFTC-HS6-030259</x:v>
      </x:c>
      <x:c r="B140" s="13" t="str">
        <x:v>030259</x:v>
      </x:c>
      <x:c r="C140" s="13" t="str">
        <x:v>03</x:v>
      </x:c>
      <x:c r="D140" s="13" t="str">
        <x:v>TRILATERAL_SPLIT_MERGE</x:v>
      </x:c>
      <x:c r="E140" s="13" t="str">
        <x:v>Pending</x:v>
      </x:c>
      <x:c r="F140" s="13" t="n">
        <x:v>3</x:v>
      </x:c>
      <x:c r="G140" s="13" t="n">
        <x:v>1</x:v>
      </x:c>
      <x:c r="H140" s="13" t="n">
        <x:v>1</x:v>
      </x:c>
      <x:c r="I140" s="13" t="str">
        <x:v>0302591100; 0302595010; 0302595090</x:v>
      </x:c>
      <x:c r="J140" s="13" t="str">
        <x:v>0302599900</x:v>
      </x:c>
      <x:c r="K140" s="13" t="str">
        <x:v>0302590000</x:v>
      </x:c>
      <x:c r="L140" s="13" t="str">
        <x:v>UNRESOLVED</x:v>
      </x:c>
      <x:c r="M140" s="13" t="str"/>
      <x:c r="N140" s="13" t="str">
        <x:v>NO / DEFAULT</x:v>
      </x:c>
      <x:c r="O140" s="13" t="str"/>
      <x:c r="P140" s="13" t="str">
        <x:v>NO / DEFAULT</x:v>
      </x:c>
      <x:c r="Q140" s="13" t="str"/>
      <x:c r="R140" s="13" t="str">
        <x:v>INDEPENDENT / DEFAULT</x:v>
      </x:c>
      <x:c r="S140" s="13" t="str"/>
      <x:c r="T140" s="13" t="str">
        <x:v>UNRESOLVED</x:v>
      </x:c>
      <x:c r="U140" s="13" t="str"/>
      <x:c r="V140" s="13" t="str"/>
      <x:c r="W140" s="13" t="str"/>
      <x:c r="X140" s="13" t="str">
        <x:f>IF(L140&lt;&gt;"COVERED","HELD — COVERAGE",IF(N140="YES — SENSITIVE","C ACTIONABLE","CHAPTER 5 DEFAULT"))</x:f>
        <x:v>HELD — COVERAGE</x:v>
      </x:c>
      <x:c r="Y140" s="13" t="str">
        <x:f>IF(L140&lt;&gt;"COVERED","HELD — COVERAGE",IF(P140="YES — MANAGED ACCESS","D ACTIONABLE","NO D FIELD"))</x:f>
        <x:v>HELD — COVERAGE</x:v>
      </x:c>
      <x:c r="Z140" s="13" t="str">
        <x:f>IF(L140&lt;&gt;"COVERED","HELD — COVERAGE",IF(OR(R140="PAIRED SYNCHRONIZED",R140="TRILATERAL SYNCHRONIZED"),"E ACTIONABLE","INDEPENDENT"))</x:f>
        <x:v>HELD — COVERAGE</x:v>
      </x:c>
      <x:c r="AA140" s="13" t="str">
        <x:f>IF(L140&lt;&gt;"COVERED","HELD — COVERAGE","WAIT FOR UPSTREAM COMPLETION")</x:f>
        <x:v>HELD — COVERAGE</x:v>
      </x:c>
      <x:c r="AB140" s="13" t="str">
        <x:f>IF(L140&lt;&gt;"COVERED","HELD — COVERAGE",IF(T140="UNRESOLVED","G DECISION REQUIRED",IF(T140="NOT APPLICABLE","G N/A","G ACTIONABLE")))</x:f>
        <x:v>HELD — COVERAGE</x:v>
      </x:c>
      <x:c r="AC140" s="13" t="str">
        <x:f>IF(L140="UNRESOLVED","COVERAGE FIRST",IF(OR(L140="EXCLUDED",L140="OUT OF SCOPE"),"CLOSED BY COVERAGE",IF(AND(L140="COVERED",T140&lt;&gt;"UNRESOLVED"),"PARTIALLY ADOPTED","DECISIONS REMAIN")))</x:f>
        <x:v>COVERAGE FIRST</x:v>
      </x:c>
    </x:row>
    <x:row r="141">
      <x:c r="A141" s="13" t="str">
        <x:v>NAAFTC-HS6-030271</x:v>
      </x:c>
      <x:c r="B141" s="13" t="str">
        <x:v>030271</x:v>
      </x:c>
      <x:c r="C141" s="13" t="str">
        <x:v>03</x:v>
      </x:c>
      <x:c r="D141" s="13" t="str">
        <x:v>TRILATERAL_SPLIT_MERGE</x:v>
      </x:c>
      <x:c r="E141" s="13" t="str">
        <x:v>Pending</x:v>
      </x:c>
      <x:c r="F141" s="13" t="n">
        <x:v>2</x:v>
      </x:c>
      <x:c r="G141" s="13" t="n">
        <x:v>1</x:v>
      </x:c>
      <x:c r="H141" s="13" t="n">
        <x:v>1</x:v>
      </x:c>
      <x:c r="I141" s="13" t="str">
        <x:v>0302711100; 0302715000</x:v>
      </x:c>
      <x:c r="J141" s="13" t="str">
        <x:v>0302710100</x:v>
      </x:c>
      <x:c r="K141" s="13" t="str">
        <x:v>0302710000</x:v>
      </x:c>
      <x:c r="L141" s="13" t="str">
        <x:v>UNRESOLVED</x:v>
      </x:c>
      <x:c r="M141" s="13" t="str"/>
      <x:c r="N141" s="13" t="str">
        <x:v>NO / DEFAULT</x:v>
      </x:c>
      <x:c r="O141" s="13" t="str"/>
      <x:c r="P141" s="13" t="str">
        <x:v>NO / DEFAULT</x:v>
      </x:c>
      <x:c r="Q141" s="13" t="str"/>
      <x:c r="R141" s="13" t="str">
        <x:v>INDEPENDENT / DEFAULT</x:v>
      </x:c>
      <x:c r="S141" s="13" t="str"/>
      <x:c r="T141" s="13" t="str">
        <x:v>UNRESOLVED</x:v>
      </x:c>
      <x:c r="U141" s="13" t="str"/>
      <x:c r="V141" s="13" t="str"/>
      <x:c r="W141" s="13" t="str"/>
      <x:c r="X141" s="13" t="str">
        <x:f>IF(L141&lt;&gt;"COVERED","HELD — COVERAGE",IF(N141="YES — SENSITIVE","C ACTIONABLE","CHAPTER 5 DEFAULT"))</x:f>
        <x:v>HELD — COVERAGE</x:v>
      </x:c>
      <x:c r="Y141" s="13" t="str">
        <x:f>IF(L141&lt;&gt;"COVERED","HELD — COVERAGE",IF(P141="YES — MANAGED ACCESS","D ACTIONABLE","NO D FIELD"))</x:f>
        <x:v>HELD — COVERAGE</x:v>
      </x:c>
      <x:c r="Z141" s="13" t="str">
        <x:f>IF(L141&lt;&gt;"COVERED","HELD — COVERAGE",IF(OR(R141="PAIRED SYNCHRONIZED",R141="TRILATERAL SYNCHRONIZED"),"E ACTIONABLE","INDEPENDENT"))</x:f>
        <x:v>HELD — COVERAGE</x:v>
      </x:c>
      <x:c r="AA141" s="13" t="str">
        <x:f>IF(L141&lt;&gt;"COVERED","HELD — COVERAGE","WAIT FOR UPSTREAM COMPLETION")</x:f>
        <x:v>HELD — COVERAGE</x:v>
      </x:c>
      <x:c r="AB141" s="13" t="str">
        <x:f>IF(L141&lt;&gt;"COVERED","HELD — COVERAGE",IF(T141="UNRESOLVED","G DECISION REQUIRED",IF(T141="NOT APPLICABLE","G N/A","G ACTIONABLE")))</x:f>
        <x:v>HELD — COVERAGE</x:v>
      </x:c>
      <x:c r="AC141" s="13" t="str">
        <x:f>IF(L141="UNRESOLVED","COVERAGE FIRST",IF(OR(L141="EXCLUDED",L141="OUT OF SCOPE"),"CLOSED BY COVERAGE",IF(AND(L141="COVERED",T141&lt;&gt;"UNRESOLVED"),"PARTIALLY ADOPTED","DECISIONS REMAIN")))</x:f>
        <x:v>COVERAGE FIRST</x:v>
      </x:c>
    </x:row>
    <x:row r="142">
      <x:c r="A142" s="13" t="str">
        <x:v>NAAFTC-HS6-030272</x:v>
      </x:c>
      <x:c r="B142" s="13" t="str">
        <x:v>030272</x:v>
      </x:c>
      <x:c r="C142" s="13" t="str">
        <x:v>03</x:v>
      </x:c>
      <x:c r="D142" s="13" t="str">
        <x:v>TRILATERAL_SPLIT_MERGE</x:v>
      </x:c>
      <x:c r="E142" s="13" t="str">
        <x:v>Pending</x:v>
      </x:c>
      <x:c r="F142" s="13" t="n">
        <x:v>4</x:v>
      </x:c>
      <x:c r="G142" s="13" t="n">
        <x:v>1</x:v>
      </x:c>
      <x:c r="H142" s="13" t="n">
        <x:v>1</x:v>
      </x:c>
      <x:c r="I142" s="13" t="str">
        <x:v>0302721100; 0302725001; 0302725004; 0302725034</x:v>
      </x:c>
      <x:c r="J142" s="13" t="str">
        <x:v>0302720100</x:v>
      </x:c>
      <x:c r="K142" s="13" t="str">
        <x:v>0302720000</x:v>
      </x:c>
      <x:c r="L142" s="13" t="str">
        <x:v>UNRESOLVED</x:v>
      </x:c>
      <x:c r="M142" s="13" t="str"/>
      <x:c r="N142" s="13" t="str">
        <x:v>NO / DEFAULT</x:v>
      </x:c>
      <x:c r="O142" s="13" t="str"/>
      <x:c r="P142" s="13" t="str">
        <x:v>NO / DEFAULT</x:v>
      </x:c>
      <x:c r="Q142" s="13" t="str"/>
      <x:c r="R142" s="13" t="str">
        <x:v>INDEPENDENT / DEFAULT</x:v>
      </x:c>
      <x:c r="S142" s="13" t="str"/>
      <x:c r="T142" s="13" t="str">
        <x:v>UNRESOLVED</x:v>
      </x:c>
      <x:c r="U142" s="13" t="str"/>
      <x:c r="V142" s="13" t="str"/>
      <x:c r="W142" s="13" t="str"/>
      <x:c r="X142" s="13" t="str">
        <x:f>IF(L142&lt;&gt;"COVERED","HELD — COVERAGE",IF(N142="YES — SENSITIVE","C ACTIONABLE","CHAPTER 5 DEFAULT"))</x:f>
        <x:v>HELD — COVERAGE</x:v>
      </x:c>
      <x:c r="Y142" s="13" t="str">
        <x:f>IF(L142&lt;&gt;"COVERED","HELD — COVERAGE",IF(P142="YES — MANAGED ACCESS","D ACTIONABLE","NO D FIELD"))</x:f>
        <x:v>HELD — COVERAGE</x:v>
      </x:c>
      <x:c r="Z142" s="13" t="str">
        <x:f>IF(L142&lt;&gt;"COVERED","HELD — COVERAGE",IF(OR(R142="PAIRED SYNCHRONIZED",R142="TRILATERAL SYNCHRONIZED"),"E ACTIONABLE","INDEPENDENT"))</x:f>
        <x:v>HELD — COVERAGE</x:v>
      </x:c>
      <x:c r="AA142" s="13" t="str">
        <x:f>IF(L142&lt;&gt;"COVERED","HELD — COVERAGE","WAIT FOR UPSTREAM COMPLETION")</x:f>
        <x:v>HELD — COVERAGE</x:v>
      </x:c>
      <x:c r="AB142" s="13" t="str">
        <x:f>IF(L142&lt;&gt;"COVERED","HELD — COVERAGE",IF(T142="UNRESOLVED","G DECISION REQUIRED",IF(T142="NOT APPLICABLE","G N/A","G ACTIONABLE")))</x:f>
        <x:v>HELD — COVERAGE</x:v>
      </x:c>
      <x:c r="AC142" s="13" t="str">
        <x:f>IF(L142="UNRESOLVED","COVERAGE FIRST",IF(OR(L142="EXCLUDED",L142="OUT OF SCOPE"),"CLOSED BY COVERAGE",IF(AND(L142="COVERED",T142&lt;&gt;"UNRESOLVED"),"PARTIALLY ADOPTED","DECISIONS REMAIN")))</x:f>
        <x:v>COVERAGE FIRST</x:v>
      </x:c>
    </x:row>
    <x:row r="143">
      <x:c r="A143" s="13" t="str">
        <x:v>NAAFTC-HS6-030273</x:v>
      </x:c>
      <x:c r="B143" s="13" t="str">
        <x:v>030273</x:v>
      </x:c>
      <x:c r="C143" s="13" t="str">
        <x:v>03</x:v>
      </x:c>
      <x:c r="D143" s="13" t="str">
        <x:v>TRILATERAL_SPLIT_MERGE</x:v>
      </x:c>
      <x:c r="E143" s="13" t="str">
        <x:v>Pending</x:v>
      </x:c>
      <x:c r="F143" s="13" t="n">
        <x:v>2</x:v>
      </x:c>
      <x:c r="G143" s="13" t="n">
        <x:v>1</x:v>
      </x:c>
      <x:c r="H143" s="13" t="n">
        <x:v>1</x:v>
      </x:c>
      <x:c r="I143" s="13" t="str">
        <x:v>0302731100; 0302735000</x:v>
      </x:c>
      <x:c r="J143" s="13" t="str">
        <x:v>0302730100</x:v>
      </x:c>
      <x:c r="K143" s="13" t="str">
        <x:v>0302730000</x:v>
      </x:c>
      <x:c r="L143" s="13" t="str">
        <x:v>UNRESOLVED</x:v>
      </x:c>
      <x:c r="M143" s="13" t="str"/>
      <x:c r="N143" s="13" t="str">
        <x:v>NO / DEFAULT</x:v>
      </x:c>
      <x:c r="O143" s="13" t="str"/>
      <x:c r="P143" s="13" t="str">
        <x:v>NO / DEFAULT</x:v>
      </x:c>
      <x:c r="Q143" s="13" t="str"/>
      <x:c r="R143" s="13" t="str">
        <x:v>INDEPENDENT / DEFAULT</x:v>
      </x:c>
      <x:c r="S143" s="13" t="str"/>
      <x:c r="T143" s="13" t="str">
        <x:v>UNRESOLVED</x:v>
      </x:c>
      <x:c r="U143" s="13" t="str"/>
      <x:c r="V143" s="13" t="str"/>
      <x:c r="W143" s="13" t="str"/>
      <x:c r="X143" s="13" t="str">
        <x:f>IF(L143&lt;&gt;"COVERED","HELD — COVERAGE",IF(N143="YES — SENSITIVE","C ACTIONABLE","CHAPTER 5 DEFAULT"))</x:f>
        <x:v>HELD — COVERAGE</x:v>
      </x:c>
      <x:c r="Y143" s="13" t="str">
        <x:f>IF(L143&lt;&gt;"COVERED","HELD — COVERAGE",IF(P143="YES — MANAGED ACCESS","D ACTIONABLE","NO D FIELD"))</x:f>
        <x:v>HELD — COVERAGE</x:v>
      </x:c>
      <x:c r="Z143" s="13" t="str">
        <x:f>IF(L143&lt;&gt;"COVERED","HELD — COVERAGE",IF(OR(R143="PAIRED SYNCHRONIZED",R143="TRILATERAL SYNCHRONIZED"),"E ACTIONABLE","INDEPENDENT"))</x:f>
        <x:v>HELD — COVERAGE</x:v>
      </x:c>
      <x:c r="AA143" s="13" t="str">
        <x:f>IF(L143&lt;&gt;"COVERED","HELD — COVERAGE","WAIT FOR UPSTREAM COMPLETION")</x:f>
        <x:v>HELD — COVERAGE</x:v>
      </x:c>
      <x:c r="AB143" s="13" t="str">
        <x:f>IF(L143&lt;&gt;"COVERED","HELD — COVERAGE",IF(T143="UNRESOLVED","G DECISION REQUIRED",IF(T143="NOT APPLICABLE","G N/A","G ACTIONABLE")))</x:f>
        <x:v>HELD — COVERAGE</x:v>
      </x:c>
      <x:c r="AC143" s="13" t="str">
        <x:f>IF(L143="UNRESOLVED","COVERAGE FIRST",IF(OR(L143="EXCLUDED",L143="OUT OF SCOPE"),"CLOSED BY COVERAGE",IF(AND(L143="COVERED",T143&lt;&gt;"UNRESOLVED"),"PARTIALLY ADOPTED","DECISIONS REMAIN")))</x:f>
        <x:v>COVERAGE FIRST</x:v>
      </x:c>
    </x:row>
    <x:row r="144">
      <x:c r="A144" s="13" t="str">
        <x:v>NAAFTC-HS6-030274</x:v>
      </x:c>
      <x:c r="B144" s="13" t="str">
        <x:v>030274</x:v>
      </x:c>
      <x:c r="C144" s="13" t="str">
        <x:v>03</x:v>
      </x:c>
      <x:c r="D144" s="13" t="str">
        <x:v>TRILATERAL_1_TO_1_TO_1</x:v>
      </x:c>
      <x:c r="E144" s="13" t="str">
        <x:v>Pending</x:v>
      </x:c>
      <x:c r="F144" s="13" t="n">
        <x:v>1</x:v>
      </x:c>
      <x:c r="G144" s="13" t="n">
        <x:v>1</x:v>
      </x:c>
      <x:c r="H144" s="13" t="n">
        <x:v>1</x:v>
      </x:c>
      <x:c r="I144" s="13" t="str">
        <x:v>0302740000</x:v>
      </x:c>
      <x:c r="J144" s="13" t="str">
        <x:v>0302740100</x:v>
      </x:c>
      <x:c r="K144" s="13" t="str">
        <x:v>0302740000</x:v>
      </x:c>
      <x:c r="L144" s="13" t="str">
        <x:v>UNRESOLVED</x:v>
      </x:c>
      <x:c r="M144" s="13" t="str"/>
      <x:c r="N144" s="13" t="str">
        <x:v>NO / DEFAULT</x:v>
      </x:c>
      <x:c r="O144" s="13" t="str"/>
      <x:c r="P144" s="13" t="str">
        <x:v>NO / DEFAULT</x:v>
      </x:c>
      <x:c r="Q144" s="13" t="str"/>
      <x:c r="R144" s="13" t="str">
        <x:v>INDEPENDENT / DEFAULT</x:v>
      </x:c>
      <x:c r="S144" s="13" t="str"/>
      <x:c r="T144" s="13" t="str">
        <x:v>UNRESOLVED</x:v>
      </x:c>
      <x:c r="U144" s="13" t="str"/>
      <x:c r="V144" s="13" t="str"/>
      <x:c r="W144" s="13" t="str"/>
      <x:c r="X144" s="13" t="str">
        <x:f>IF(L144&lt;&gt;"COVERED","HELD — COVERAGE",IF(N144="YES — SENSITIVE","C ACTIONABLE","CHAPTER 5 DEFAULT"))</x:f>
        <x:v>HELD — COVERAGE</x:v>
      </x:c>
      <x:c r="Y144" s="13" t="str">
        <x:f>IF(L144&lt;&gt;"COVERED","HELD — COVERAGE",IF(P144="YES — MANAGED ACCESS","D ACTIONABLE","NO D FIELD"))</x:f>
        <x:v>HELD — COVERAGE</x:v>
      </x:c>
      <x:c r="Z144" s="13" t="str">
        <x:f>IF(L144&lt;&gt;"COVERED","HELD — COVERAGE",IF(OR(R144="PAIRED SYNCHRONIZED",R144="TRILATERAL SYNCHRONIZED"),"E ACTIONABLE","INDEPENDENT"))</x:f>
        <x:v>HELD — COVERAGE</x:v>
      </x:c>
      <x:c r="AA144" s="13" t="str">
        <x:f>IF(L144&lt;&gt;"COVERED","HELD — COVERAGE","WAIT FOR UPSTREAM COMPLETION")</x:f>
        <x:v>HELD — COVERAGE</x:v>
      </x:c>
      <x:c r="AB144" s="13" t="str">
        <x:f>IF(L144&lt;&gt;"COVERED","HELD — COVERAGE",IF(T144="UNRESOLVED","G DECISION REQUIRED",IF(T144="NOT APPLICABLE","G N/A","G ACTIONABLE")))</x:f>
        <x:v>HELD — COVERAGE</x:v>
      </x:c>
      <x:c r="AC144" s="13" t="str">
        <x:f>IF(L144="UNRESOLVED","COVERAGE FIRST",IF(OR(L144="EXCLUDED",L144="OUT OF SCOPE"),"CLOSED BY COVERAGE",IF(AND(L144="COVERED",T144&lt;&gt;"UNRESOLVED"),"PARTIALLY ADOPTED","DECISIONS REMAIN")))</x:f>
        <x:v>COVERAGE FIRST</x:v>
      </x:c>
    </x:row>
    <x:row r="145">
      <x:c r="A145" s="13" t="str">
        <x:v>NAAFTC-HS6-030279</x:v>
      </x:c>
      <x:c r="B145" s="13" t="str">
        <x:v>030279</x:v>
      </x:c>
      <x:c r="C145" s="13" t="str">
        <x:v>03</x:v>
      </x:c>
      <x:c r="D145" s="13" t="str">
        <x:v>TRILATERAL_SPLIT_MERGE</x:v>
      </x:c>
      <x:c r="E145" s="13" t="str">
        <x:v>Pending</x:v>
      </x:c>
      <x:c r="F145" s="13" t="n">
        <x:v>3</x:v>
      </x:c>
      <x:c r="G145" s="13" t="n">
        <x:v>1</x:v>
      </x:c>
      <x:c r="H145" s="13" t="n">
        <x:v>1</x:v>
      </x:c>
      <x:c r="I145" s="13" t="str">
        <x:v>0302791100; 0302795025; 0302795076</x:v>
      </x:c>
      <x:c r="J145" s="13" t="str">
        <x:v>0302799900</x:v>
      </x:c>
      <x:c r="K145" s="13" t="str">
        <x:v>0302790000</x:v>
      </x:c>
      <x:c r="L145" s="13" t="str">
        <x:v>UNRESOLVED</x:v>
      </x:c>
      <x:c r="M145" s="13" t="str"/>
      <x:c r="N145" s="13" t="str">
        <x:v>NO / DEFAULT</x:v>
      </x:c>
      <x:c r="O145" s="13" t="str"/>
      <x:c r="P145" s="13" t="str">
        <x:v>NO / DEFAULT</x:v>
      </x:c>
      <x:c r="Q145" s="13" t="str"/>
      <x:c r="R145" s="13" t="str">
        <x:v>INDEPENDENT / DEFAULT</x:v>
      </x:c>
      <x:c r="S145" s="13" t="str"/>
      <x:c r="T145" s="13" t="str">
        <x:v>UNRESOLVED</x:v>
      </x:c>
      <x:c r="U145" s="13" t="str"/>
      <x:c r="V145" s="13" t="str"/>
      <x:c r="W145" s="13" t="str"/>
      <x:c r="X145" s="13" t="str">
        <x:f>IF(L145&lt;&gt;"COVERED","HELD — COVERAGE",IF(N145="YES — SENSITIVE","C ACTIONABLE","CHAPTER 5 DEFAULT"))</x:f>
        <x:v>HELD — COVERAGE</x:v>
      </x:c>
      <x:c r="Y145" s="13" t="str">
        <x:f>IF(L145&lt;&gt;"COVERED","HELD — COVERAGE",IF(P145="YES — MANAGED ACCESS","D ACTIONABLE","NO D FIELD"))</x:f>
        <x:v>HELD — COVERAGE</x:v>
      </x:c>
      <x:c r="Z145" s="13" t="str">
        <x:f>IF(L145&lt;&gt;"COVERED","HELD — COVERAGE",IF(OR(R145="PAIRED SYNCHRONIZED",R145="TRILATERAL SYNCHRONIZED"),"E ACTIONABLE","INDEPENDENT"))</x:f>
        <x:v>HELD — COVERAGE</x:v>
      </x:c>
      <x:c r="AA145" s="13" t="str">
        <x:f>IF(L145&lt;&gt;"COVERED","HELD — COVERAGE","WAIT FOR UPSTREAM COMPLETION")</x:f>
        <x:v>HELD — COVERAGE</x:v>
      </x:c>
      <x:c r="AB145" s="13" t="str">
        <x:f>IF(L145&lt;&gt;"COVERED","HELD — COVERAGE",IF(T145="UNRESOLVED","G DECISION REQUIRED",IF(T145="NOT APPLICABLE","G N/A","G ACTIONABLE")))</x:f>
        <x:v>HELD — COVERAGE</x:v>
      </x:c>
      <x:c r="AC145" s="13" t="str">
        <x:f>IF(L145="UNRESOLVED","COVERAGE FIRST",IF(OR(L145="EXCLUDED",L145="OUT OF SCOPE"),"CLOSED BY COVERAGE",IF(AND(L145="COVERED",T145&lt;&gt;"UNRESOLVED"),"PARTIALLY ADOPTED","DECISIONS REMAIN")))</x:f>
        <x:v>COVERAGE FIRST</x:v>
      </x:c>
    </x:row>
    <x:row r="146">
      <x:c r="A146" s="13" t="str">
        <x:v>NAAFTC-HS6-030281</x:v>
      </x:c>
      <x:c r="B146" s="13" t="str">
        <x:v>030281</x:v>
      </x:c>
      <x:c r="C146" s="13" t="str">
        <x:v>03</x:v>
      </x:c>
      <x:c r="D146" s="13" t="str">
        <x:v>TRILATERAL_SPLIT_MERGE</x:v>
      </x:c>
      <x:c r="E146" s="13" t="str">
        <x:v>Pending</x:v>
      </x:c>
      <x:c r="F146" s="13" t="n">
        <x:v>2</x:v>
      </x:c>
      <x:c r="G146" s="13" t="n">
        <x:v>1</x:v>
      </x:c>
      <x:c r="H146" s="13" t="n">
        <x:v>1</x:v>
      </x:c>
      <x:c r="I146" s="13" t="str">
        <x:v>0302810011; 0302810091</x:v>
      </x:c>
      <x:c r="J146" s="13" t="str">
        <x:v>0302810100</x:v>
      </x:c>
      <x:c r="K146" s="13" t="str">
        <x:v>03028100</x:v>
      </x:c>
      <x:c r="L146" s="13" t="str">
        <x:v>UNRESOLVED</x:v>
      </x:c>
      <x:c r="M146" s="13" t="str"/>
      <x:c r="N146" s="13" t="str">
        <x:v>NO / DEFAULT</x:v>
      </x:c>
      <x:c r="O146" s="13" t="str"/>
      <x:c r="P146" s="13" t="str">
        <x:v>NO / DEFAULT</x:v>
      </x:c>
      <x:c r="Q146" s="13" t="str"/>
      <x:c r="R146" s="13" t="str">
        <x:v>INDEPENDENT / DEFAULT</x:v>
      </x:c>
      <x:c r="S146" s="13" t="str"/>
      <x:c r="T146" s="13" t="str">
        <x:v>UNRESOLVED</x:v>
      </x:c>
      <x:c r="U146" s="13" t="str"/>
      <x:c r="V146" s="13" t="str"/>
      <x:c r="W146" s="13" t="str"/>
      <x:c r="X146" s="13" t="str">
        <x:f>IF(L146&lt;&gt;"COVERED","HELD — COVERAGE",IF(N146="YES — SENSITIVE","C ACTIONABLE","CHAPTER 5 DEFAULT"))</x:f>
        <x:v>HELD — COVERAGE</x:v>
      </x:c>
      <x:c r="Y146" s="13" t="str">
        <x:f>IF(L146&lt;&gt;"COVERED","HELD — COVERAGE",IF(P146="YES — MANAGED ACCESS","D ACTIONABLE","NO D FIELD"))</x:f>
        <x:v>HELD — COVERAGE</x:v>
      </x:c>
      <x:c r="Z146" s="13" t="str">
        <x:f>IF(L146&lt;&gt;"COVERED","HELD — COVERAGE",IF(OR(R146="PAIRED SYNCHRONIZED",R146="TRILATERAL SYNCHRONIZED"),"E ACTIONABLE","INDEPENDENT"))</x:f>
        <x:v>HELD — COVERAGE</x:v>
      </x:c>
      <x:c r="AA146" s="13" t="str">
        <x:f>IF(L146&lt;&gt;"COVERED","HELD — COVERAGE","WAIT FOR UPSTREAM COMPLETION")</x:f>
        <x:v>HELD — COVERAGE</x:v>
      </x:c>
      <x:c r="AB146" s="13" t="str">
        <x:f>IF(L146&lt;&gt;"COVERED","HELD — COVERAGE",IF(T146="UNRESOLVED","G DECISION REQUIRED",IF(T146="NOT APPLICABLE","G N/A","G ACTIONABLE")))</x:f>
        <x:v>HELD — COVERAGE</x:v>
      </x:c>
      <x:c r="AC146" s="13" t="str">
        <x:f>IF(L146="UNRESOLVED","COVERAGE FIRST",IF(OR(L146="EXCLUDED",L146="OUT OF SCOPE"),"CLOSED BY COVERAGE",IF(AND(L146="COVERED",T146&lt;&gt;"UNRESOLVED"),"PARTIALLY ADOPTED","DECISIONS REMAIN")))</x:f>
        <x:v>COVERAGE FIRST</x:v>
      </x:c>
    </x:row>
    <x:row r="147">
      <x:c r="A147" s="13" t="str">
        <x:v>NAAFTC-HS6-030282</x:v>
      </x:c>
      <x:c r="B147" s="13" t="str">
        <x:v>030282</x:v>
      </x:c>
      <x:c r="C147" s="13" t="str">
        <x:v>03</x:v>
      </x:c>
      <x:c r="D147" s="13" t="str">
        <x:v>TRILATERAL_1_TO_1_TO_1</x:v>
      </x:c>
      <x:c r="E147" s="13" t="str">
        <x:v>Pending</x:v>
      </x:c>
      <x:c r="F147" s="13" t="n">
        <x:v>1</x:v>
      </x:c>
      <x:c r="G147" s="13" t="n">
        <x:v>1</x:v>
      </x:c>
      <x:c r="H147" s="13" t="n">
        <x:v>1</x:v>
      </x:c>
      <x:c r="I147" s="13" t="str">
        <x:v>0302820000</x:v>
      </x:c>
      <x:c r="J147" s="13" t="str">
        <x:v>0302820100</x:v>
      </x:c>
      <x:c r="K147" s="13" t="str">
        <x:v>0302820000</x:v>
      </x:c>
      <x:c r="L147" s="13" t="str">
        <x:v>UNRESOLVED</x:v>
      </x:c>
      <x:c r="M147" s="13" t="str"/>
      <x:c r="N147" s="13" t="str">
        <x:v>NO / DEFAULT</x:v>
      </x:c>
      <x:c r="O147" s="13" t="str"/>
      <x:c r="P147" s="13" t="str">
        <x:v>NO / DEFAULT</x:v>
      </x:c>
      <x:c r="Q147" s="13" t="str"/>
      <x:c r="R147" s="13" t="str">
        <x:v>INDEPENDENT / DEFAULT</x:v>
      </x:c>
      <x:c r="S147" s="13" t="str"/>
      <x:c r="T147" s="13" t="str">
        <x:v>UNRESOLVED</x:v>
      </x:c>
      <x:c r="U147" s="13" t="str"/>
      <x:c r="V147" s="13" t="str"/>
      <x:c r="W147" s="13" t="str"/>
      <x:c r="X147" s="13" t="str">
        <x:f>IF(L147&lt;&gt;"COVERED","HELD — COVERAGE",IF(N147="YES — SENSITIVE","C ACTIONABLE","CHAPTER 5 DEFAULT"))</x:f>
        <x:v>HELD — COVERAGE</x:v>
      </x:c>
      <x:c r="Y147" s="13" t="str">
        <x:f>IF(L147&lt;&gt;"COVERED","HELD — COVERAGE",IF(P147="YES — MANAGED ACCESS","D ACTIONABLE","NO D FIELD"))</x:f>
        <x:v>HELD — COVERAGE</x:v>
      </x:c>
      <x:c r="Z147" s="13" t="str">
        <x:f>IF(L147&lt;&gt;"COVERED","HELD — COVERAGE",IF(OR(R147="PAIRED SYNCHRONIZED",R147="TRILATERAL SYNCHRONIZED"),"E ACTIONABLE","INDEPENDENT"))</x:f>
        <x:v>HELD — COVERAGE</x:v>
      </x:c>
      <x:c r="AA147" s="13" t="str">
        <x:f>IF(L147&lt;&gt;"COVERED","HELD — COVERAGE","WAIT FOR UPSTREAM COMPLETION")</x:f>
        <x:v>HELD — COVERAGE</x:v>
      </x:c>
      <x:c r="AB147" s="13" t="str">
        <x:f>IF(L147&lt;&gt;"COVERED","HELD — COVERAGE",IF(T147="UNRESOLVED","G DECISION REQUIRED",IF(T147="NOT APPLICABLE","G N/A","G ACTIONABLE")))</x:f>
        <x:v>HELD — COVERAGE</x:v>
      </x:c>
      <x:c r="AC147" s="13" t="str">
        <x:f>IF(L147="UNRESOLVED","COVERAGE FIRST",IF(OR(L147="EXCLUDED",L147="OUT OF SCOPE"),"CLOSED BY COVERAGE",IF(AND(L147="COVERED",T147&lt;&gt;"UNRESOLVED"),"PARTIALLY ADOPTED","DECISIONS REMAIN")))</x:f>
        <x:v>COVERAGE FIRST</x:v>
      </x:c>
    </x:row>
    <x:row r="148">
      <x:c r="A148" s="13" t="str">
        <x:v>NAAFTC-HS6-030283</x:v>
      </x:c>
      <x:c r="B148" s="13" t="str">
        <x:v>030283</x:v>
      </x:c>
      <x:c r="C148" s="13" t="str">
        <x:v>03</x:v>
      </x:c>
      <x:c r="D148" s="13" t="str">
        <x:v>TRILATERAL_1_TO_1_TO_1</x:v>
      </x:c>
      <x:c r="E148" s="13" t="str">
        <x:v>Pending</x:v>
      </x:c>
      <x:c r="F148" s="13" t="n">
        <x:v>1</x:v>
      </x:c>
      <x:c r="G148" s="13" t="n">
        <x:v>1</x:v>
      </x:c>
      <x:c r="H148" s="13" t="n">
        <x:v>1</x:v>
      </x:c>
      <x:c r="I148" s="13" t="str">
        <x:v>0302830000</x:v>
      </x:c>
      <x:c r="J148" s="13" t="str">
        <x:v>0302830100</x:v>
      </x:c>
      <x:c r="K148" s="13" t="str">
        <x:v>0302830000</x:v>
      </x:c>
      <x:c r="L148" s="13" t="str">
        <x:v>UNRESOLVED</x:v>
      </x:c>
      <x:c r="M148" s="13" t="str"/>
      <x:c r="N148" s="13" t="str">
        <x:v>NO / DEFAULT</x:v>
      </x:c>
      <x:c r="O148" s="13" t="str"/>
      <x:c r="P148" s="13" t="str">
        <x:v>NO / DEFAULT</x:v>
      </x:c>
      <x:c r="Q148" s="13" t="str"/>
      <x:c r="R148" s="13" t="str">
        <x:v>INDEPENDENT / DEFAULT</x:v>
      </x:c>
      <x:c r="S148" s="13" t="str"/>
      <x:c r="T148" s="13" t="str">
        <x:v>UNRESOLVED</x:v>
      </x:c>
      <x:c r="U148" s="13" t="str"/>
      <x:c r="V148" s="13" t="str"/>
      <x:c r="W148" s="13" t="str"/>
      <x:c r="X148" s="13" t="str">
        <x:f>IF(L148&lt;&gt;"COVERED","HELD — COVERAGE",IF(N148="YES — SENSITIVE","C ACTIONABLE","CHAPTER 5 DEFAULT"))</x:f>
        <x:v>HELD — COVERAGE</x:v>
      </x:c>
      <x:c r="Y148" s="13" t="str">
        <x:f>IF(L148&lt;&gt;"COVERED","HELD — COVERAGE",IF(P148="YES — MANAGED ACCESS","D ACTIONABLE","NO D FIELD"))</x:f>
        <x:v>HELD — COVERAGE</x:v>
      </x:c>
      <x:c r="Z148" s="13" t="str">
        <x:f>IF(L148&lt;&gt;"COVERED","HELD — COVERAGE",IF(OR(R148="PAIRED SYNCHRONIZED",R148="TRILATERAL SYNCHRONIZED"),"E ACTIONABLE","INDEPENDENT"))</x:f>
        <x:v>HELD — COVERAGE</x:v>
      </x:c>
      <x:c r="AA148" s="13" t="str">
        <x:f>IF(L148&lt;&gt;"COVERED","HELD — COVERAGE","WAIT FOR UPSTREAM COMPLETION")</x:f>
        <x:v>HELD — COVERAGE</x:v>
      </x:c>
      <x:c r="AB148" s="13" t="str">
        <x:f>IF(L148&lt;&gt;"COVERED","HELD — COVERAGE",IF(T148="UNRESOLVED","G DECISION REQUIRED",IF(T148="NOT APPLICABLE","G N/A","G ACTIONABLE")))</x:f>
        <x:v>HELD — COVERAGE</x:v>
      </x:c>
      <x:c r="AC148" s="13" t="str">
        <x:f>IF(L148="UNRESOLVED","COVERAGE FIRST",IF(OR(L148="EXCLUDED",L148="OUT OF SCOPE"),"CLOSED BY COVERAGE",IF(AND(L148="COVERED",T148&lt;&gt;"UNRESOLVED"),"PARTIALLY ADOPTED","DECISIONS REMAIN")))</x:f>
        <x:v>COVERAGE FIRST</x:v>
      </x:c>
    </x:row>
    <x:row r="149">
      <x:c r="A149" s="13" t="str">
        <x:v>NAAFTC-HS6-030284</x:v>
      </x:c>
      <x:c r="B149" s="13" t="str">
        <x:v>030284</x:v>
      </x:c>
      <x:c r="C149" s="13" t="str">
        <x:v>03</x:v>
      </x:c>
      <x:c r="D149" s="13" t="str">
        <x:v>TRILATERAL_SPLIT_MERGE</x:v>
      </x:c>
      <x:c r="E149" s="13" t="str">
        <x:v>Pending</x:v>
      </x:c>
      <x:c r="F149" s="13" t="n">
        <x:v>2</x:v>
      </x:c>
      <x:c r="G149" s="13" t="n">
        <x:v>1</x:v>
      </x:c>
      <x:c r="H149" s="13" t="n">
        <x:v>1</x:v>
      </x:c>
      <x:c r="I149" s="13" t="str">
        <x:v>0302841100; 0302845000</x:v>
      </x:c>
      <x:c r="J149" s="13" t="str">
        <x:v>0302840100</x:v>
      </x:c>
      <x:c r="K149" s="13" t="str">
        <x:v>0302840000</x:v>
      </x:c>
      <x:c r="L149" s="13" t="str">
        <x:v>UNRESOLVED</x:v>
      </x:c>
      <x:c r="M149" s="13" t="str"/>
      <x:c r="N149" s="13" t="str">
        <x:v>NO / DEFAULT</x:v>
      </x:c>
      <x:c r="O149" s="13" t="str"/>
      <x:c r="P149" s="13" t="str">
        <x:v>NO / DEFAULT</x:v>
      </x:c>
      <x:c r="Q149" s="13" t="str"/>
      <x:c r="R149" s="13" t="str">
        <x:v>INDEPENDENT / DEFAULT</x:v>
      </x:c>
      <x:c r="S149" s="13" t="str"/>
      <x:c r="T149" s="13" t="str">
        <x:v>UNRESOLVED</x:v>
      </x:c>
      <x:c r="U149" s="13" t="str"/>
      <x:c r="V149" s="13" t="str"/>
      <x:c r="W149" s="13" t="str"/>
      <x:c r="X149" s="13" t="str">
        <x:f>IF(L149&lt;&gt;"COVERED","HELD — COVERAGE",IF(N149="YES — SENSITIVE","C ACTIONABLE","CHAPTER 5 DEFAULT"))</x:f>
        <x:v>HELD — COVERAGE</x:v>
      </x:c>
      <x:c r="Y149" s="13" t="str">
        <x:f>IF(L149&lt;&gt;"COVERED","HELD — COVERAGE",IF(P149="YES — MANAGED ACCESS","D ACTIONABLE","NO D FIELD"))</x:f>
        <x:v>HELD — COVERAGE</x:v>
      </x:c>
      <x:c r="Z149" s="13" t="str">
        <x:f>IF(L149&lt;&gt;"COVERED","HELD — COVERAGE",IF(OR(R149="PAIRED SYNCHRONIZED",R149="TRILATERAL SYNCHRONIZED"),"E ACTIONABLE","INDEPENDENT"))</x:f>
        <x:v>HELD — COVERAGE</x:v>
      </x:c>
      <x:c r="AA149" s="13" t="str">
        <x:f>IF(L149&lt;&gt;"COVERED","HELD — COVERAGE","WAIT FOR UPSTREAM COMPLETION")</x:f>
        <x:v>HELD — COVERAGE</x:v>
      </x:c>
      <x:c r="AB149" s="13" t="str">
        <x:f>IF(L149&lt;&gt;"COVERED","HELD — COVERAGE",IF(T149="UNRESOLVED","G DECISION REQUIRED",IF(T149="NOT APPLICABLE","G N/A","G ACTIONABLE")))</x:f>
        <x:v>HELD — COVERAGE</x:v>
      </x:c>
      <x:c r="AC149" s="13" t="str">
        <x:f>IF(L149="UNRESOLVED","COVERAGE FIRST",IF(OR(L149="EXCLUDED",L149="OUT OF SCOPE"),"CLOSED BY COVERAGE",IF(AND(L149="COVERED",T149&lt;&gt;"UNRESOLVED"),"PARTIALLY ADOPTED","DECISIONS REMAIN")))</x:f>
        <x:v>COVERAGE FIRST</x:v>
      </x:c>
    </x:row>
    <x:row r="150">
      <x:c r="A150" s="13" t="str">
        <x:v>NAAFTC-HS6-030285</x:v>
      </x:c>
      <x:c r="B150" s="13" t="str">
        <x:v>030285</x:v>
      </x:c>
      <x:c r="C150" s="13" t="str">
        <x:v>03</x:v>
      </x:c>
      <x:c r="D150" s="13" t="str">
        <x:v>TRILATERAL_SPLIT_MERGE</x:v>
      </x:c>
      <x:c r="E150" s="13" t="str">
        <x:v>Pending</x:v>
      </x:c>
      <x:c r="F150" s="13" t="n">
        <x:v>2</x:v>
      </x:c>
      <x:c r="G150" s="13" t="n">
        <x:v>1</x:v>
      </x:c>
      <x:c r="H150" s="13" t="n">
        <x:v>1</x:v>
      </x:c>
      <x:c r="I150" s="13" t="str">
        <x:v>0302851100; 0302855000</x:v>
      </x:c>
      <x:c r="J150" s="13" t="str">
        <x:v>0302850100</x:v>
      </x:c>
      <x:c r="K150" s="13" t="str">
        <x:v>0302850000</x:v>
      </x:c>
      <x:c r="L150" s="13" t="str">
        <x:v>UNRESOLVED</x:v>
      </x:c>
      <x:c r="M150" s="13" t="str"/>
      <x:c r="N150" s="13" t="str">
        <x:v>NO / DEFAULT</x:v>
      </x:c>
      <x:c r="O150" s="13" t="str"/>
      <x:c r="P150" s="13" t="str">
        <x:v>NO / DEFAULT</x:v>
      </x:c>
      <x:c r="Q150" s="13" t="str"/>
      <x:c r="R150" s="13" t="str">
        <x:v>INDEPENDENT / DEFAULT</x:v>
      </x:c>
      <x:c r="S150" s="13" t="str"/>
      <x:c r="T150" s="13" t="str">
        <x:v>UNRESOLVED</x:v>
      </x:c>
      <x:c r="U150" s="13" t="str"/>
      <x:c r="V150" s="13" t="str"/>
      <x:c r="W150" s="13" t="str"/>
      <x:c r="X150" s="13" t="str">
        <x:f>IF(L150&lt;&gt;"COVERED","HELD — COVERAGE",IF(N150="YES — SENSITIVE","C ACTIONABLE","CHAPTER 5 DEFAULT"))</x:f>
        <x:v>HELD — COVERAGE</x:v>
      </x:c>
      <x:c r="Y150" s="13" t="str">
        <x:f>IF(L150&lt;&gt;"COVERED","HELD — COVERAGE",IF(P150="YES — MANAGED ACCESS","D ACTIONABLE","NO D FIELD"))</x:f>
        <x:v>HELD — COVERAGE</x:v>
      </x:c>
      <x:c r="Z150" s="13" t="str">
        <x:f>IF(L150&lt;&gt;"COVERED","HELD — COVERAGE",IF(OR(R150="PAIRED SYNCHRONIZED",R150="TRILATERAL SYNCHRONIZED"),"E ACTIONABLE","INDEPENDENT"))</x:f>
        <x:v>HELD — COVERAGE</x:v>
      </x:c>
      <x:c r="AA150" s="13" t="str">
        <x:f>IF(L150&lt;&gt;"COVERED","HELD — COVERAGE","WAIT FOR UPSTREAM COMPLETION")</x:f>
        <x:v>HELD — COVERAGE</x:v>
      </x:c>
      <x:c r="AB150" s="13" t="str">
        <x:f>IF(L150&lt;&gt;"COVERED","HELD — COVERAGE",IF(T150="UNRESOLVED","G DECISION REQUIRED",IF(T150="NOT APPLICABLE","G N/A","G ACTIONABLE")))</x:f>
        <x:v>HELD — COVERAGE</x:v>
      </x:c>
      <x:c r="AC150" s="13" t="str">
        <x:f>IF(L150="UNRESOLVED","COVERAGE FIRST",IF(OR(L150="EXCLUDED",L150="OUT OF SCOPE"),"CLOSED BY COVERAGE",IF(AND(L150="COVERED",T150&lt;&gt;"UNRESOLVED"),"PARTIALLY ADOPTED","DECISIONS REMAIN")))</x:f>
        <x:v>COVERAGE FIRST</x:v>
      </x:c>
    </x:row>
    <x:row r="151">
      <x:c r="A151" s="13" t="str">
        <x:v>NAAFTC-HS6-030289</x:v>
      </x:c>
      <x:c r="B151" s="13" t="str">
        <x:v>030289</x:v>
      </x:c>
      <x:c r="C151" s="13" t="str">
        <x:v>03</x:v>
      </x:c>
      <x:c r="D151" s="13" t="str">
        <x:v>TRILATERAL_SPLIT_MERGE</x:v>
      </x:c>
      <x:c r="E151" s="13" t="str">
        <x:v>Pending</x:v>
      </x:c>
      <x:c r="F151" s="13" t="n">
        <x:v>21</x:v>
      </x:c>
      <x:c r="G151" s="13" t="n">
        <x:v>2</x:v>
      </x:c>
      <x:c r="H151" s="13" t="n">
        <x:v>1</x:v>
      </x:c>
      <x:c r="I151" s="13" t="str">
        <x:v>0302891120; 0302891140; 0302895007; 0302895010; 0302895013; 0302895025; +15 more</x:v>
      </x:c>
      <x:c r="J151" s="13" t="str">
        <x:v>0302890100; 0302899900</x:v>
      </x:c>
      <x:c r="K151" s="13" t="str">
        <x:v>03028900</x:v>
      </x:c>
      <x:c r="L151" s="13" t="str">
        <x:v>UNRESOLVED</x:v>
      </x:c>
      <x:c r="M151" s="13" t="str"/>
      <x:c r="N151" s="13" t="str">
        <x:v>NO / DEFAULT</x:v>
      </x:c>
      <x:c r="O151" s="13" t="str"/>
      <x:c r="P151" s="13" t="str">
        <x:v>NO / DEFAULT</x:v>
      </x:c>
      <x:c r="Q151" s="13" t="str"/>
      <x:c r="R151" s="13" t="str">
        <x:v>INDEPENDENT / DEFAULT</x:v>
      </x:c>
      <x:c r="S151" s="13" t="str"/>
      <x:c r="T151" s="13" t="str">
        <x:v>UNRESOLVED</x:v>
      </x:c>
      <x:c r="U151" s="13" t="str"/>
      <x:c r="V151" s="13" t="str"/>
      <x:c r="W151" s="13" t="str"/>
      <x:c r="X151" s="13" t="str">
        <x:f>IF(L151&lt;&gt;"COVERED","HELD — COVERAGE",IF(N151="YES — SENSITIVE","C ACTIONABLE","CHAPTER 5 DEFAULT"))</x:f>
        <x:v>HELD — COVERAGE</x:v>
      </x:c>
      <x:c r="Y151" s="13" t="str">
        <x:f>IF(L151&lt;&gt;"COVERED","HELD — COVERAGE",IF(P151="YES — MANAGED ACCESS","D ACTIONABLE","NO D FIELD"))</x:f>
        <x:v>HELD — COVERAGE</x:v>
      </x:c>
      <x:c r="Z151" s="13" t="str">
        <x:f>IF(L151&lt;&gt;"COVERED","HELD — COVERAGE",IF(OR(R151="PAIRED SYNCHRONIZED",R151="TRILATERAL SYNCHRONIZED"),"E ACTIONABLE","INDEPENDENT"))</x:f>
        <x:v>HELD — COVERAGE</x:v>
      </x:c>
      <x:c r="AA151" s="13" t="str">
        <x:f>IF(L151&lt;&gt;"COVERED","HELD — COVERAGE","WAIT FOR UPSTREAM COMPLETION")</x:f>
        <x:v>HELD — COVERAGE</x:v>
      </x:c>
      <x:c r="AB151" s="13" t="str">
        <x:f>IF(L151&lt;&gt;"COVERED","HELD — COVERAGE",IF(T151="UNRESOLVED","G DECISION REQUIRED",IF(T151="NOT APPLICABLE","G N/A","G ACTIONABLE")))</x:f>
        <x:v>HELD — COVERAGE</x:v>
      </x:c>
      <x:c r="AC151" s="13" t="str">
        <x:f>IF(L151="UNRESOLVED","COVERAGE FIRST",IF(OR(L151="EXCLUDED",L151="OUT OF SCOPE"),"CLOSED BY COVERAGE",IF(AND(L151="COVERED",T151&lt;&gt;"UNRESOLVED"),"PARTIALLY ADOPTED","DECISIONS REMAIN")))</x:f>
        <x:v>COVERAGE FIRST</x:v>
      </x:c>
    </x:row>
    <x:row r="152">
      <x:c r="A152" s="13" t="str">
        <x:v>NAAFTC-HS6-030291</x:v>
      </x:c>
      <x:c r="B152" s="13" t="str">
        <x:v>030291</x:v>
      </x:c>
      <x:c r="C152" s="13" t="str">
        <x:v>03</x:v>
      </x:c>
      <x:c r="D152" s="13" t="str">
        <x:v>TRILATERAL_SPLIT_MERGE</x:v>
      </x:c>
      <x:c r="E152" s="13" t="str">
        <x:v>Pending</x:v>
      </x:c>
      <x:c r="F152" s="13" t="n">
        <x:v>3</x:v>
      </x:c>
      <x:c r="G152" s="13" t="n">
        <x:v>1</x:v>
      </x:c>
      <x:c r="H152" s="13" t="n">
        <x:v>1</x:v>
      </x:c>
      <x:c r="I152" s="13" t="str">
        <x:v>0302912000; 0302914010; 0302914090</x:v>
      </x:c>
      <x:c r="J152" s="13" t="str">
        <x:v>0302910100</x:v>
      </x:c>
      <x:c r="K152" s="13" t="str">
        <x:v>03029100</x:v>
      </x:c>
      <x:c r="L152" s="13" t="str">
        <x:v>UNRESOLVED</x:v>
      </x:c>
      <x:c r="M152" s="13" t="str"/>
      <x:c r="N152" s="13" t="str">
        <x:v>NO / DEFAULT</x:v>
      </x:c>
      <x:c r="O152" s="13" t="str"/>
      <x:c r="P152" s="13" t="str">
        <x:v>NO / DEFAULT</x:v>
      </x:c>
      <x:c r="Q152" s="13" t="str"/>
      <x:c r="R152" s="13" t="str">
        <x:v>INDEPENDENT / DEFAULT</x:v>
      </x:c>
      <x:c r="S152" s="13" t="str"/>
      <x:c r="T152" s="13" t="str">
        <x:v>UNRESOLVED</x:v>
      </x:c>
      <x:c r="U152" s="13" t="str"/>
      <x:c r="V152" s="13" t="str"/>
      <x:c r="W152" s="13" t="str"/>
      <x:c r="X152" s="13" t="str">
        <x:f>IF(L152&lt;&gt;"COVERED","HELD — COVERAGE",IF(N152="YES — SENSITIVE","C ACTIONABLE","CHAPTER 5 DEFAULT"))</x:f>
        <x:v>HELD — COVERAGE</x:v>
      </x:c>
      <x:c r="Y152" s="13" t="str">
        <x:f>IF(L152&lt;&gt;"COVERED","HELD — COVERAGE",IF(P152="YES — MANAGED ACCESS","D ACTIONABLE","NO D FIELD"))</x:f>
        <x:v>HELD — COVERAGE</x:v>
      </x:c>
      <x:c r="Z152" s="13" t="str">
        <x:f>IF(L152&lt;&gt;"COVERED","HELD — COVERAGE",IF(OR(R152="PAIRED SYNCHRONIZED",R152="TRILATERAL SYNCHRONIZED"),"E ACTIONABLE","INDEPENDENT"))</x:f>
        <x:v>HELD — COVERAGE</x:v>
      </x:c>
      <x:c r="AA152" s="13" t="str">
        <x:f>IF(L152&lt;&gt;"COVERED","HELD — COVERAGE","WAIT FOR UPSTREAM COMPLETION")</x:f>
        <x:v>HELD — COVERAGE</x:v>
      </x:c>
      <x:c r="AB152" s="13" t="str">
        <x:f>IF(L152&lt;&gt;"COVERED","HELD — COVERAGE",IF(T152="UNRESOLVED","G DECISION REQUIRED",IF(T152="NOT APPLICABLE","G N/A","G ACTIONABLE")))</x:f>
        <x:v>HELD — COVERAGE</x:v>
      </x:c>
      <x:c r="AC152" s="13" t="str">
        <x:f>IF(L152="UNRESOLVED","COVERAGE FIRST",IF(OR(L152="EXCLUDED",L152="OUT OF SCOPE"),"CLOSED BY COVERAGE",IF(AND(L152="COVERED",T152&lt;&gt;"UNRESOLVED"),"PARTIALLY ADOPTED","DECISIONS REMAIN")))</x:f>
        <x:v>COVERAGE FIRST</x:v>
      </x:c>
    </x:row>
    <x:row r="153">
      <x:c r="A153" s="13" t="str">
        <x:v>NAAFTC-HS6-030292</x:v>
      </x:c>
      <x:c r="B153" s="13" t="str">
        <x:v>030292</x:v>
      </x:c>
      <x:c r="C153" s="13" t="str">
        <x:v>03</x:v>
      </x:c>
      <x:c r="D153" s="13" t="str">
        <x:v>TRILATERAL_1_TO_1_TO_1</x:v>
      </x:c>
      <x:c r="E153" s="13" t="str">
        <x:v>Pending</x:v>
      </x:c>
      <x:c r="F153" s="13" t="n">
        <x:v>1</x:v>
      </x:c>
      <x:c r="G153" s="13" t="n">
        <x:v>1</x:v>
      </x:c>
      <x:c r="H153" s="13" t="n">
        <x:v>1</x:v>
      </x:c>
      <x:c r="I153" s="13" t="str">
        <x:v>0302920000</x:v>
      </x:c>
      <x:c r="J153" s="13" t="str">
        <x:v>0302920100</x:v>
      </x:c>
      <x:c r="K153" s="13" t="str">
        <x:v>0302920000</x:v>
      </x:c>
      <x:c r="L153" s="13" t="str">
        <x:v>UNRESOLVED</x:v>
      </x:c>
      <x:c r="M153" s="13" t="str"/>
      <x:c r="N153" s="13" t="str">
        <x:v>NO / DEFAULT</x:v>
      </x:c>
      <x:c r="O153" s="13" t="str"/>
      <x:c r="P153" s="13" t="str">
        <x:v>NO / DEFAULT</x:v>
      </x:c>
      <x:c r="Q153" s="13" t="str"/>
      <x:c r="R153" s="13" t="str">
        <x:v>INDEPENDENT / DEFAULT</x:v>
      </x:c>
      <x:c r="S153" s="13" t="str"/>
      <x:c r="T153" s="13" t="str">
        <x:v>UNRESOLVED</x:v>
      </x:c>
      <x:c r="U153" s="13" t="str"/>
      <x:c r="V153" s="13" t="str"/>
      <x:c r="W153" s="13" t="str"/>
      <x:c r="X153" s="13" t="str">
        <x:f>IF(L153&lt;&gt;"COVERED","HELD — COVERAGE",IF(N153="YES — SENSITIVE","C ACTIONABLE","CHAPTER 5 DEFAULT"))</x:f>
        <x:v>HELD — COVERAGE</x:v>
      </x:c>
      <x:c r="Y153" s="13" t="str">
        <x:f>IF(L153&lt;&gt;"COVERED","HELD — COVERAGE",IF(P153="YES — MANAGED ACCESS","D ACTIONABLE","NO D FIELD"))</x:f>
        <x:v>HELD — COVERAGE</x:v>
      </x:c>
      <x:c r="Z153" s="13" t="str">
        <x:f>IF(L153&lt;&gt;"COVERED","HELD — COVERAGE",IF(OR(R153="PAIRED SYNCHRONIZED",R153="TRILATERAL SYNCHRONIZED"),"E ACTIONABLE","INDEPENDENT"))</x:f>
        <x:v>HELD — COVERAGE</x:v>
      </x:c>
      <x:c r="AA153" s="13" t="str">
        <x:f>IF(L153&lt;&gt;"COVERED","HELD — COVERAGE","WAIT FOR UPSTREAM COMPLETION")</x:f>
        <x:v>HELD — COVERAGE</x:v>
      </x:c>
      <x:c r="AB153" s="13" t="str">
        <x:f>IF(L153&lt;&gt;"COVERED","HELD — COVERAGE",IF(T153="UNRESOLVED","G DECISION REQUIRED",IF(T153="NOT APPLICABLE","G N/A","G ACTIONABLE")))</x:f>
        <x:v>HELD — COVERAGE</x:v>
      </x:c>
      <x:c r="AC153" s="13" t="str">
        <x:f>IF(L153="UNRESOLVED","COVERAGE FIRST",IF(OR(L153="EXCLUDED",L153="OUT OF SCOPE"),"CLOSED BY COVERAGE",IF(AND(L153="COVERED",T153&lt;&gt;"UNRESOLVED"),"PARTIALLY ADOPTED","DECISIONS REMAIN")))</x:f>
        <x:v>COVERAGE FIRST</x:v>
      </x:c>
    </x:row>
    <x:row r="154">
      <x:c r="A154" s="13" t="str">
        <x:v>NAAFTC-HS6-030299</x:v>
      </x:c>
      <x:c r="B154" s="13" t="str">
        <x:v>030299</x:v>
      </x:c>
      <x:c r="C154" s="13" t="str">
        <x:v>03</x:v>
      </x:c>
      <x:c r="D154" s="13" t="str">
        <x:v>TRILATERAL_SPLIT_MERGE</x:v>
      </x:c>
      <x:c r="E154" s="13" t="str">
        <x:v>Pending</x:v>
      </x:c>
      <x:c r="F154" s="13" t="n">
        <x:v>1</x:v>
      </x:c>
      <x:c r="G154" s="13" t="n">
        <x:v>4</x:v>
      </x:c>
      <x:c r="H154" s="13" t="n">
        <x:v>1</x:v>
      </x:c>
      <x:c r="I154" s="13" t="str">
        <x:v>0302990000</x:v>
      </x:c>
      <x:c r="J154" s="13" t="str">
        <x:v>0302990100; 0302990200; 0302990300; 0302999900</x:v>
      </x:c>
      <x:c r="K154" s="13" t="str">
        <x:v>0302990000</x:v>
      </x:c>
      <x:c r="L154" s="13" t="str">
        <x:v>UNRESOLVED</x:v>
      </x:c>
      <x:c r="M154" s="13" t="str"/>
      <x:c r="N154" s="13" t="str">
        <x:v>NO / DEFAULT</x:v>
      </x:c>
      <x:c r="O154" s="13" t="str"/>
      <x:c r="P154" s="13" t="str">
        <x:v>NO / DEFAULT</x:v>
      </x:c>
      <x:c r="Q154" s="13" t="str"/>
      <x:c r="R154" s="13" t="str">
        <x:v>INDEPENDENT / DEFAULT</x:v>
      </x:c>
      <x:c r="S154" s="13" t="str"/>
      <x:c r="T154" s="13" t="str">
        <x:v>UNRESOLVED</x:v>
      </x:c>
      <x:c r="U154" s="13" t="str"/>
      <x:c r="V154" s="13" t="str"/>
      <x:c r="W154" s="13" t="str"/>
      <x:c r="X154" s="13" t="str">
        <x:f>IF(L154&lt;&gt;"COVERED","HELD — COVERAGE",IF(N154="YES — SENSITIVE","C ACTIONABLE","CHAPTER 5 DEFAULT"))</x:f>
        <x:v>HELD — COVERAGE</x:v>
      </x:c>
      <x:c r="Y154" s="13" t="str">
        <x:f>IF(L154&lt;&gt;"COVERED","HELD — COVERAGE",IF(P154="YES — MANAGED ACCESS","D ACTIONABLE","NO D FIELD"))</x:f>
        <x:v>HELD — COVERAGE</x:v>
      </x:c>
      <x:c r="Z154" s="13" t="str">
        <x:f>IF(L154&lt;&gt;"COVERED","HELD — COVERAGE",IF(OR(R154="PAIRED SYNCHRONIZED",R154="TRILATERAL SYNCHRONIZED"),"E ACTIONABLE","INDEPENDENT"))</x:f>
        <x:v>HELD — COVERAGE</x:v>
      </x:c>
      <x:c r="AA154" s="13" t="str">
        <x:f>IF(L154&lt;&gt;"COVERED","HELD — COVERAGE","WAIT FOR UPSTREAM COMPLETION")</x:f>
        <x:v>HELD — COVERAGE</x:v>
      </x:c>
      <x:c r="AB154" s="13" t="str">
        <x:f>IF(L154&lt;&gt;"COVERED","HELD — COVERAGE",IF(T154="UNRESOLVED","G DECISION REQUIRED",IF(T154="NOT APPLICABLE","G N/A","G ACTIONABLE")))</x:f>
        <x:v>HELD — COVERAGE</x:v>
      </x:c>
      <x:c r="AC154" s="13" t="str">
        <x:f>IF(L154="UNRESOLVED","COVERAGE FIRST",IF(OR(L154="EXCLUDED",L154="OUT OF SCOPE"),"CLOSED BY COVERAGE",IF(AND(L154="COVERED",T154&lt;&gt;"UNRESOLVED"),"PARTIALLY ADOPTED","DECISIONS REMAIN")))</x:f>
        <x:v>COVERAGE FIRST</x:v>
      </x:c>
    </x:row>
    <x:row r="155">
      <x:c r="A155" s="13" t="str">
        <x:v>NAAFTC-HS6-030311</x:v>
      </x:c>
      <x:c r="B155" s="13" t="str">
        <x:v>030311</x:v>
      </x:c>
      <x:c r="C155" s="13" t="str">
        <x:v>03</x:v>
      </x:c>
      <x:c r="D155" s="13" t="str">
        <x:v>TRILATERAL_1_TO_1_TO_1</x:v>
      </x:c>
      <x:c r="E155" s="13" t="str">
        <x:v>Pending</x:v>
      </x:c>
      <x:c r="F155" s="13" t="n">
        <x:v>1</x:v>
      </x:c>
      <x:c r="G155" s="13" t="n">
        <x:v>1</x:v>
      </x:c>
      <x:c r="H155" s="13" t="n">
        <x:v>1</x:v>
      </x:c>
      <x:c r="I155" s="13" t="str">
        <x:v>0303110000</x:v>
      </x:c>
      <x:c r="J155" s="13" t="str">
        <x:v>0303110100</x:v>
      </x:c>
      <x:c r="K155" s="13" t="str">
        <x:v>0303110000</x:v>
      </x:c>
      <x:c r="L155" s="13" t="str">
        <x:v>UNRESOLVED</x:v>
      </x:c>
      <x:c r="M155" s="13" t="str"/>
      <x:c r="N155" s="13" t="str">
        <x:v>NO / DEFAULT</x:v>
      </x:c>
      <x:c r="O155" s="13" t="str"/>
      <x:c r="P155" s="13" t="str">
        <x:v>NO / DEFAULT</x:v>
      </x:c>
      <x:c r="Q155" s="13" t="str"/>
      <x:c r="R155" s="13" t="str">
        <x:v>INDEPENDENT / DEFAULT</x:v>
      </x:c>
      <x:c r="S155" s="13" t="str"/>
      <x:c r="T155" s="13" t="str">
        <x:v>UNRESOLVED</x:v>
      </x:c>
      <x:c r="U155" s="13" t="str"/>
      <x:c r="V155" s="13" t="str"/>
      <x:c r="W155" s="13" t="str"/>
      <x:c r="X155" s="13" t="str">
        <x:f>IF(L155&lt;&gt;"COVERED","HELD — COVERAGE",IF(N155="YES — SENSITIVE","C ACTIONABLE","CHAPTER 5 DEFAULT"))</x:f>
        <x:v>HELD — COVERAGE</x:v>
      </x:c>
      <x:c r="Y155" s="13" t="str">
        <x:f>IF(L155&lt;&gt;"COVERED","HELD — COVERAGE",IF(P155="YES — MANAGED ACCESS","D ACTIONABLE","NO D FIELD"))</x:f>
        <x:v>HELD — COVERAGE</x:v>
      </x:c>
      <x:c r="Z155" s="13" t="str">
        <x:f>IF(L155&lt;&gt;"COVERED","HELD — COVERAGE",IF(OR(R155="PAIRED SYNCHRONIZED",R155="TRILATERAL SYNCHRONIZED"),"E ACTIONABLE","INDEPENDENT"))</x:f>
        <x:v>HELD — COVERAGE</x:v>
      </x:c>
      <x:c r="AA155" s="13" t="str">
        <x:f>IF(L155&lt;&gt;"COVERED","HELD — COVERAGE","WAIT FOR UPSTREAM COMPLETION")</x:f>
        <x:v>HELD — COVERAGE</x:v>
      </x:c>
      <x:c r="AB155" s="13" t="str">
        <x:f>IF(L155&lt;&gt;"COVERED","HELD — COVERAGE",IF(T155="UNRESOLVED","G DECISION REQUIRED",IF(T155="NOT APPLICABLE","G N/A","G ACTIONABLE")))</x:f>
        <x:v>HELD — COVERAGE</x:v>
      </x:c>
      <x:c r="AC155" s="13" t="str">
        <x:f>IF(L155="UNRESOLVED","COVERAGE FIRST",IF(OR(L155="EXCLUDED",L155="OUT OF SCOPE"),"CLOSED BY COVERAGE",IF(AND(L155="COVERED",T155&lt;&gt;"UNRESOLVED"),"PARTIALLY ADOPTED","DECISIONS REMAIN")))</x:f>
        <x:v>COVERAGE FIRST</x:v>
      </x:c>
    </x:row>
    <x:row r="156">
      <x:c r="A156" s="13" t="str">
        <x:v>NAAFTC-HS6-030312</x:v>
      </x:c>
      <x:c r="B156" s="13" t="str">
        <x:v>030312</x:v>
      </x:c>
      <x:c r="C156" s="13" t="str">
        <x:v>03</x:v>
      </x:c>
      <x:c r="D156" s="13" t="str">
        <x:v>TRILATERAL_SPLIT_MERGE</x:v>
      </x:c>
      <x:c r="E156" s="13" t="str">
        <x:v>Pending</x:v>
      </x:c>
      <x:c r="F156" s="13" t="n">
        <x:v>5</x:v>
      </x:c>
      <x:c r="G156" s="13" t="n">
        <x:v>1</x:v>
      </x:c>
      <x:c r="H156" s="13" t="n">
        <x:v>1</x:v>
      </x:c>
      <x:c r="I156" s="13" t="str">
        <x:v>0303120012; 0303120022; 0303120032; 0303120052; 0303120062</x:v>
      </x:c>
      <x:c r="J156" s="13" t="str">
        <x:v>0303129100</x:v>
      </x:c>
      <x:c r="K156" s="13" t="str">
        <x:v>03031200</x:v>
      </x:c>
      <x:c r="L156" s="13" t="str">
        <x:v>UNRESOLVED</x:v>
      </x:c>
      <x:c r="M156" s="13" t="str"/>
      <x:c r="N156" s="13" t="str">
        <x:v>NO / DEFAULT</x:v>
      </x:c>
      <x:c r="O156" s="13" t="str"/>
      <x:c r="P156" s="13" t="str">
        <x:v>NO / DEFAULT</x:v>
      </x:c>
      <x:c r="Q156" s="13" t="str"/>
      <x:c r="R156" s="13" t="str">
        <x:v>INDEPENDENT / DEFAULT</x:v>
      </x:c>
      <x:c r="S156" s="13" t="str"/>
      <x:c r="T156" s="13" t="str">
        <x:v>UNRESOLVED</x:v>
      </x:c>
      <x:c r="U156" s="13" t="str"/>
      <x:c r="V156" s="13" t="str"/>
      <x:c r="W156" s="13" t="str"/>
      <x:c r="X156" s="13" t="str">
        <x:f>IF(L156&lt;&gt;"COVERED","HELD — COVERAGE",IF(N156="YES — SENSITIVE","C ACTIONABLE","CHAPTER 5 DEFAULT"))</x:f>
        <x:v>HELD — COVERAGE</x:v>
      </x:c>
      <x:c r="Y156" s="13" t="str">
        <x:f>IF(L156&lt;&gt;"COVERED","HELD — COVERAGE",IF(P156="YES — MANAGED ACCESS","D ACTIONABLE","NO D FIELD"))</x:f>
        <x:v>HELD — COVERAGE</x:v>
      </x:c>
      <x:c r="Z156" s="13" t="str">
        <x:f>IF(L156&lt;&gt;"COVERED","HELD — COVERAGE",IF(OR(R156="PAIRED SYNCHRONIZED",R156="TRILATERAL SYNCHRONIZED"),"E ACTIONABLE","INDEPENDENT"))</x:f>
        <x:v>HELD — COVERAGE</x:v>
      </x:c>
      <x:c r="AA156" s="13" t="str">
        <x:f>IF(L156&lt;&gt;"COVERED","HELD — COVERAGE","WAIT FOR UPSTREAM COMPLETION")</x:f>
        <x:v>HELD — COVERAGE</x:v>
      </x:c>
      <x:c r="AB156" s="13" t="str">
        <x:f>IF(L156&lt;&gt;"COVERED","HELD — COVERAGE",IF(T156="UNRESOLVED","G DECISION REQUIRED",IF(T156="NOT APPLICABLE","G N/A","G ACTIONABLE")))</x:f>
        <x:v>HELD — COVERAGE</x:v>
      </x:c>
      <x:c r="AC156" s="13" t="str">
        <x:f>IF(L156="UNRESOLVED","COVERAGE FIRST",IF(OR(L156="EXCLUDED",L156="OUT OF SCOPE"),"CLOSED BY COVERAGE",IF(AND(L156="COVERED",T156&lt;&gt;"UNRESOLVED"),"PARTIALLY ADOPTED","DECISIONS REMAIN")))</x:f>
        <x:v>COVERAGE FIRST</x:v>
      </x:c>
    </x:row>
    <x:row r="157">
      <x:c r="A157" s="13" t="str">
        <x:v>NAAFTC-HS6-030313</x:v>
      </x:c>
      <x:c r="B157" s="13" t="str">
        <x:v>030313</x:v>
      </x:c>
      <x:c r="C157" s="13" t="str">
        <x:v>03</x:v>
      </x:c>
      <x:c r="D157" s="13" t="str">
        <x:v>TRILATERAL_1_TO_1_TO_1</x:v>
      </x:c>
      <x:c r="E157" s="13" t="str">
        <x:v>Pending</x:v>
      </x:c>
      <x:c r="F157" s="13" t="n">
        <x:v>1</x:v>
      </x:c>
      <x:c r="G157" s="13" t="n">
        <x:v>1</x:v>
      </x:c>
      <x:c r="H157" s="13" t="n">
        <x:v>1</x:v>
      </x:c>
      <x:c r="I157" s="13" t="str">
        <x:v>0303130000</x:v>
      </x:c>
      <x:c r="J157" s="13" t="str">
        <x:v>0303130100</x:v>
      </x:c>
      <x:c r="K157" s="13" t="str">
        <x:v>0303130000</x:v>
      </x:c>
      <x:c r="L157" s="13" t="str">
        <x:v>UNRESOLVED</x:v>
      </x:c>
      <x:c r="M157" s="13" t="str"/>
      <x:c r="N157" s="13" t="str">
        <x:v>NO / DEFAULT</x:v>
      </x:c>
      <x:c r="O157" s="13" t="str"/>
      <x:c r="P157" s="13" t="str">
        <x:v>NO / DEFAULT</x:v>
      </x:c>
      <x:c r="Q157" s="13" t="str"/>
      <x:c r="R157" s="13" t="str">
        <x:v>INDEPENDENT / DEFAULT</x:v>
      </x:c>
      <x:c r="S157" s="13" t="str"/>
      <x:c r="T157" s="13" t="str">
        <x:v>UNRESOLVED</x:v>
      </x:c>
      <x:c r="U157" s="13" t="str"/>
      <x:c r="V157" s="13" t="str"/>
      <x:c r="W157" s="13" t="str"/>
      <x:c r="X157" s="13" t="str">
        <x:f>IF(L157&lt;&gt;"COVERED","HELD — COVERAGE",IF(N157="YES — SENSITIVE","C ACTIONABLE","CHAPTER 5 DEFAULT"))</x:f>
        <x:v>HELD — COVERAGE</x:v>
      </x:c>
      <x:c r="Y157" s="13" t="str">
        <x:f>IF(L157&lt;&gt;"COVERED","HELD — COVERAGE",IF(P157="YES — MANAGED ACCESS","D ACTIONABLE","NO D FIELD"))</x:f>
        <x:v>HELD — COVERAGE</x:v>
      </x:c>
      <x:c r="Z157" s="13" t="str">
        <x:f>IF(L157&lt;&gt;"COVERED","HELD — COVERAGE",IF(OR(R157="PAIRED SYNCHRONIZED",R157="TRILATERAL SYNCHRONIZED"),"E ACTIONABLE","INDEPENDENT"))</x:f>
        <x:v>HELD — COVERAGE</x:v>
      </x:c>
      <x:c r="AA157" s="13" t="str">
        <x:f>IF(L157&lt;&gt;"COVERED","HELD — COVERAGE","WAIT FOR UPSTREAM COMPLETION")</x:f>
        <x:v>HELD — COVERAGE</x:v>
      </x:c>
      <x:c r="AB157" s="13" t="str">
        <x:f>IF(L157&lt;&gt;"COVERED","HELD — COVERAGE",IF(T157="UNRESOLVED","G DECISION REQUIRED",IF(T157="NOT APPLICABLE","G N/A","G ACTIONABLE")))</x:f>
        <x:v>HELD — COVERAGE</x:v>
      </x:c>
      <x:c r="AC157" s="13" t="str">
        <x:f>IF(L157="UNRESOLVED","COVERAGE FIRST",IF(OR(L157="EXCLUDED",L157="OUT OF SCOPE"),"CLOSED BY COVERAGE",IF(AND(L157="COVERED",T157&lt;&gt;"UNRESOLVED"),"PARTIALLY ADOPTED","DECISIONS REMAIN")))</x:f>
        <x:v>COVERAGE FIRST</x:v>
      </x:c>
    </x:row>
    <x:row r="158">
      <x:c r="A158" s="13" t="str">
        <x:v>NAAFTC-HS6-030314</x:v>
      </x:c>
      <x:c r="B158" s="13" t="str">
        <x:v>030314</x:v>
      </x:c>
      <x:c r="C158" s="13" t="str">
        <x:v>03</x:v>
      </x:c>
      <x:c r="D158" s="13" t="str">
        <x:v>TRILATERAL_1_TO_1_TO_1</x:v>
      </x:c>
      <x:c r="E158" s="13" t="str">
        <x:v>Pending</x:v>
      </x:c>
      <x:c r="F158" s="13" t="n">
        <x:v>1</x:v>
      </x:c>
      <x:c r="G158" s="13" t="n">
        <x:v>1</x:v>
      </x:c>
      <x:c r="H158" s="13" t="n">
        <x:v>1</x:v>
      </x:c>
      <x:c r="I158" s="13" t="str">
        <x:v>0303140000</x:v>
      </x:c>
      <x:c r="J158" s="13" t="str">
        <x:v>0303140100</x:v>
      </x:c>
      <x:c r="K158" s="13" t="str">
        <x:v>0303140000</x:v>
      </x:c>
      <x:c r="L158" s="13" t="str">
        <x:v>UNRESOLVED</x:v>
      </x:c>
      <x:c r="M158" s="13" t="str"/>
      <x:c r="N158" s="13" t="str">
        <x:v>NO / DEFAULT</x:v>
      </x:c>
      <x:c r="O158" s="13" t="str"/>
      <x:c r="P158" s="13" t="str">
        <x:v>NO / DEFAULT</x:v>
      </x:c>
      <x:c r="Q158" s="13" t="str"/>
      <x:c r="R158" s="13" t="str">
        <x:v>INDEPENDENT / DEFAULT</x:v>
      </x:c>
      <x:c r="S158" s="13" t="str"/>
      <x:c r="T158" s="13" t="str">
        <x:v>UNRESOLVED</x:v>
      </x:c>
      <x:c r="U158" s="13" t="str"/>
      <x:c r="V158" s="13" t="str"/>
      <x:c r="W158" s="13" t="str"/>
      <x:c r="X158" s="13" t="str">
        <x:f>IF(L158&lt;&gt;"COVERED","HELD — COVERAGE",IF(N158="YES — SENSITIVE","C ACTIONABLE","CHAPTER 5 DEFAULT"))</x:f>
        <x:v>HELD — COVERAGE</x:v>
      </x:c>
      <x:c r="Y158" s="13" t="str">
        <x:f>IF(L158&lt;&gt;"COVERED","HELD — COVERAGE",IF(P158="YES — MANAGED ACCESS","D ACTIONABLE","NO D FIELD"))</x:f>
        <x:v>HELD — COVERAGE</x:v>
      </x:c>
      <x:c r="Z158" s="13" t="str">
        <x:f>IF(L158&lt;&gt;"COVERED","HELD — COVERAGE",IF(OR(R158="PAIRED SYNCHRONIZED",R158="TRILATERAL SYNCHRONIZED"),"E ACTIONABLE","INDEPENDENT"))</x:f>
        <x:v>HELD — COVERAGE</x:v>
      </x:c>
      <x:c r="AA158" s="13" t="str">
        <x:f>IF(L158&lt;&gt;"COVERED","HELD — COVERAGE","WAIT FOR UPSTREAM COMPLETION")</x:f>
        <x:v>HELD — COVERAGE</x:v>
      </x:c>
      <x:c r="AB158" s="13" t="str">
        <x:f>IF(L158&lt;&gt;"COVERED","HELD — COVERAGE",IF(T158="UNRESOLVED","G DECISION REQUIRED",IF(T158="NOT APPLICABLE","G N/A","G ACTIONABLE")))</x:f>
        <x:v>HELD — COVERAGE</x:v>
      </x:c>
      <x:c r="AC158" s="13" t="str">
        <x:f>IF(L158="UNRESOLVED","COVERAGE FIRST",IF(OR(L158="EXCLUDED",L158="OUT OF SCOPE"),"CLOSED BY COVERAGE",IF(AND(L158="COVERED",T158&lt;&gt;"UNRESOLVED"),"PARTIALLY ADOPTED","DECISIONS REMAIN")))</x:f>
        <x:v>COVERAGE FIRST</x:v>
      </x:c>
    </x:row>
    <x:row r="159">
      <x:c r="A159" s="13" t="str">
        <x:v>NAAFTC-HS6-030319</x:v>
      </x:c>
      <x:c r="B159" s="13" t="str">
        <x:v>030319</x:v>
      </x:c>
      <x:c r="C159" s="13" t="str">
        <x:v>03</x:v>
      </x:c>
      <x:c r="D159" s="13" t="str">
        <x:v>TRILATERAL_1_TO_1_TO_1</x:v>
      </x:c>
      <x:c r="E159" s="13" t="str">
        <x:v>Pending</x:v>
      </x:c>
      <x:c r="F159" s="13" t="n">
        <x:v>1</x:v>
      </x:c>
      <x:c r="G159" s="13" t="n">
        <x:v>1</x:v>
      </x:c>
      <x:c r="H159" s="13" t="n">
        <x:v>1</x:v>
      </x:c>
      <x:c r="I159" s="13" t="str">
        <x:v>0303190100</x:v>
      </x:c>
      <x:c r="J159" s="13" t="str">
        <x:v>0303199900</x:v>
      </x:c>
      <x:c r="K159" s="13" t="str">
        <x:v>0303190000</x:v>
      </x:c>
      <x:c r="L159" s="13" t="str">
        <x:v>UNRESOLVED</x:v>
      </x:c>
      <x:c r="M159" s="13" t="str"/>
      <x:c r="N159" s="13" t="str">
        <x:v>NO / DEFAULT</x:v>
      </x:c>
      <x:c r="O159" s="13" t="str"/>
      <x:c r="P159" s="13" t="str">
        <x:v>NO / DEFAULT</x:v>
      </x:c>
      <x:c r="Q159" s="13" t="str"/>
      <x:c r="R159" s="13" t="str">
        <x:v>INDEPENDENT / DEFAULT</x:v>
      </x:c>
      <x:c r="S159" s="13" t="str"/>
      <x:c r="T159" s="13" t="str">
        <x:v>UNRESOLVED</x:v>
      </x:c>
      <x:c r="U159" s="13" t="str"/>
      <x:c r="V159" s="13" t="str"/>
      <x:c r="W159" s="13" t="str"/>
      <x:c r="X159" s="13" t="str">
        <x:f>IF(L159&lt;&gt;"COVERED","HELD — COVERAGE",IF(N159="YES — SENSITIVE","C ACTIONABLE","CHAPTER 5 DEFAULT"))</x:f>
        <x:v>HELD — COVERAGE</x:v>
      </x:c>
      <x:c r="Y159" s="13" t="str">
        <x:f>IF(L159&lt;&gt;"COVERED","HELD — COVERAGE",IF(P159="YES — MANAGED ACCESS","D ACTIONABLE","NO D FIELD"))</x:f>
        <x:v>HELD — COVERAGE</x:v>
      </x:c>
      <x:c r="Z159" s="13" t="str">
        <x:f>IF(L159&lt;&gt;"COVERED","HELD — COVERAGE",IF(OR(R159="PAIRED SYNCHRONIZED",R159="TRILATERAL SYNCHRONIZED"),"E ACTIONABLE","INDEPENDENT"))</x:f>
        <x:v>HELD — COVERAGE</x:v>
      </x:c>
      <x:c r="AA159" s="13" t="str">
        <x:f>IF(L159&lt;&gt;"COVERED","HELD — COVERAGE","WAIT FOR UPSTREAM COMPLETION")</x:f>
        <x:v>HELD — COVERAGE</x:v>
      </x:c>
      <x:c r="AB159" s="13" t="str">
        <x:f>IF(L159&lt;&gt;"COVERED","HELD — COVERAGE",IF(T159="UNRESOLVED","G DECISION REQUIRED",IF(T159="NOT APPLICABLE","G N/A","G ACTIONABLE")))</x:f>
        <x:v>HELD — COVERAGE</x:v>
      </x:c>
      <x:c r="AC159" s="13" t="str">
        <x:f>IF(L159="UNRESOLVED","COVERAGE FIRST",IF(OR(L159="EXCLUDED",L159="OUT OF SCOPE"),"CLOSED BY COVERAGE",IF(AND(L159="COVERED",T159&lt;&gt;"UNRESOLVED"),"PARTIALLY ADOPTED","DECISIONS REMAIN")))</x:f>
        <x:v>COVERAGE FIRST</x:v>
      </x:c>
    </x:row>
    <x:row r="160">
      <x:c r="A160" s="13" t="str">
        <x:v>NAAFTC-HS6-030323</x:v>
      </x:c>
      <x:c r="B160" s="13" t="str">
        <x:v>030323</x:v>
      </x:c>
      <x:c r="C160" s="13" t="str">
        <x:v>03</x:v>
      </x:c>
      <x:c r="D160" s="13" t="str">
        <x:v>TRILATERAL_1_TO_1_TO_1</x:v>
      </x:c>
      <x:c r="E160" s="13" t="str">
        <x:v>Pending</x:v>
      </x:c>
      <x:c r="F160" s="13" t="n">
        <x:v>1</x:v>
      </x:c>
      <x:c r="G160" s="13" t="n">
        <x:v>1</x:v>
      </x:c>
      <x:c r="H160" s="13" t="n">
        <x:v>1</x:v>
      </x:c>
      <x:c r="I160" s="13" t="str">
        <x:v>0303230000</x:v>
      </x:c>
      <x:c r="J160" s="13" t="str">
        <x:v>0303230100</x:v>
      </x:c>
      <x:c r="K160" s="13" t="str">
        <x:v>0303230000</x:v>
      </x:c>
      <x:c r="L160" s="13" t="str">
        <x:v>UNRESOLVED</x:v>
      </x:c>
      <x:c r="M160" s="13" t="str"/>
      <x:c r="N160" s="13" t="str">
        <x:v>NO / DEFAULT</x:v>
      </x:c>
      <x:c r="O160" s="13" t="str"/>
      <x:c r="P160" s="13" t="str">
        <x:v>NO / DEFAULT</x:v>
      </x:c>
      <x:c r="Q160" s="13" t="str"/>
      <x:c r="R160" s="13" t="str">
        <x:v>INDEPENDENT / DEFAULT</x:v>
      </x:c>
      <x:c r="S160" s="13" t="str"/>
      <x:c r="T160" s="13" t="str">
        <x:v>UNRESOLVED</x:v>
      </x:c>
      <x:c r="U160" s="13" t="str"/>
      <x:c r="V160" s="13" t="str"/>
      <x:c r="W160" s="13" t="str"/>
      <x:c r="X160" s="13" t="str">
        <x:f>IF(L160&lt;&gt;"COVERED","HELD — COVERAGE",IF(N160="YES — SENSITIVE","C ACTIONABLE","CHAPTER 5 DEFAULT"))</x:f>
        <x:v>HELD — COVERAGE</x:v>
      </x:c>
      <x:c r="Y160" s="13" t="str">
        <x:f>IF(L160&lt;&gt;"COVERED","HELD — COVERAGE",IF(P160="YES — MANAGED ACCESS","D ACTIONABLE","NO D FIELD"))</x:f>
        <x:v>HELD — COVERAGE</x:v>
      </x:c>
      <x:c r="Z160" s="13" t="str">
        <x:f>IF(L160&lt;&gt;"COVERED","HELD — COVERAGE",IF(OR(R160="PAIRED SYNCHRONIZED",R160="TRILATERAL SYNCHRONIZED"),"E ACTIONABLE","INDEPENDENT"))</x:f>
        <x:v>HELD — COVERAGE</x:v>
      </x:c>
      <x:c r="AA160" s="13" t="str">
        <x:f>IF(L160&lt;&gt;"COVERED","HELD — COVERAGE","WAIT FOR UPSTREAM COMPLETION")</x:f>
        <x:v>HELD — COVERAGE</x:v>
      </x:c>
      <x:c r="AB160" s="13" t="str">
        <x:f>IF(L160&lt;&gt;"COVERED","HELD — COVERAGE",IF(T160="UNRESOLVED","G DECISION REQUIRED",IF(T160="NOT APPLICABLE","G N/A","G ACTIONABLE")))</x:f>
        <x:v>HELD — COVERAGE</x:v>
      </x:c>
      <x:c r="AC160" s="13" t="str">
        <x:f>IF(L160="UNRESOLVED","COVERAGE FIRST",IF(OR(L160="EXCLUDED",L160="OUT OF SCOPE"),"CLOSED BY COVERAGE",IF(AND(L160="COVERED",T160&lt;&gt;"UNRESOLVED"),"PARTIALLY ADOPTED","DECISIONS REMAIN")))</x:f>
        <x:v>COVERAGE FIRST</x:v>
      </x:c>
    </x:row>
    <x:row r="161">
      <x:c r="A161" s="13" t="str">
        <x:v>NAAFTC-HS6-030324</x:v>
      </x:c>
      <x:c r="B161" s="13" t="str">
        <x:v>030324</x:v>
      </x:c>
      <x:c r="C161" s="13" t="str">
        <x:v>03</x:v>
      </x:c>
      <x:c r="D161" s="13" t="str">
        <x:v>TRILATERAL_SPLIT_MERGE</x:v>
      </x:c>
      <x:c r="E161" s="13" t="str">
        <x:v>Pending</x:v>
      </x:c>
      <x:c r="F161" s="13" t="n">
        <x:v>3</x:v>
      </x:c>
      <x:c r="G161" s="13" t="n">
        <x:v>1</x:v>
      </x:c>
      <x:c r="H161" s="13" t="n">
        <x:v>1</x:v>
      </x:c>
      <x:c r="I161" s="13" t="str">
        <x:v>0303240010; 0303240020; 0303240050</x:v>
      </x:c>
      <x:c r="J161" s="13" t="str">
        <x:v>0303240100</x:v>
      </x:c>
      <x:c r="K161" s="13" t="str">
        <x:v>0303240000</x:v>
      </x:c>
      <x:c r="L161" s="13" t="str">
        <x:v>UNRESOLVED</x:v>
      </x:c>
      <x:c r="M161" s="13" t="str"/>
      <x:c r="N161" s="13" t="str">
        <x:v>NO / DEFAULT</x:v>
      </x:c>
      <x:c r="O161" s="13" t="str"/>
      <x:c r="P161" s="13" t="str">
        <x:v>NO / DEFAULT</x:v>
      </x:c>
      <x:c r="Q161" s="13" t="str"/>
      <x:c r="R161" s="13" t="str">
        <x:v>INDEPENDENT / DEFAULT</x:v>
      </x:c>
      <x:c r="S161" s="13" t="str"/>
      <x:c r="T161" s="13" t="str">
        <x:v>UNRESOLVED</x:v>
      </x:c>
      <x:c r="U161" s="13" t="str"/>
      <x:c r="V161" s="13" t="str"/>
      <x:c r="W161" s="13" t="str"/>
      <x:c r="X161" s="13" t="str">
        <x:f>IF(L161&lt;&gt;"COVERED","HELD — COVERAGE",IF(N161="YES — SENSITIVE","C ACTIONABLE","CHAPTER 5 DEFAULT"))</x:f>
        <x:v>HELD — COVERAGE</x:v>
      </x:c>
      <x:c r="Y161" s="13" t="str">
        <x:f>IF(L161&lt;&gt;"COVERED","HELD — COVERAGE",IF(P161="YES — MANAGED ACCESS","D ACTIONABLE","NO D FIELD"))</x:f>
        <x:v>HELD — COVERAGE</x:v>
      </x:c>
      <x:c r="Z161" s="13" t="str">
        <x:f>IF(L161&lt;&gt;"COVERED","HELD — COVERAGE",IF(OR(R161="PAIRED SYNCHRONIZED",R161="TRILATERAL SYNCHRONIZED"),"E ACTIONABLE","INDEPENDENT"))</x:f>
        <x:v>HELD — COVERAGE</x:v>
      </x:c>
      <x:c r="AA161" s="13" t="str">
        <x:f>IF(L161&lt;&gt;"COVERED","HELD — COVERAGE","WAIT FOR UPSTREAM COMPLETION")</x:f>
        <x:v>HELD — COVERAGE</x:v>
      </x:c>
      <x:c r="AB161" s="13" t="str">
        <x:f>IF(L161&lt;&gt;"COVERED","HELD — COVERAGE",IF(T161="UNRESOLVED","G DECISION REQUIRED",IF(T161="NOT APPLICABLE","G N/A","G ACTIONABLE")))</x:f>
        <x:v>HELD — COVERAGE</x:v>
      </x:c>
      <x:c r="AC161" s="13" t="str">
        <x:f>IF(L161="UNRESOLVED","COVERAGE FIRST",IF(OR(L161="EXCLUDED",L161="OUT OF SCOPE"),"CLOSED BY COVERAGE",IF(AND(L161="COVERED",T161&lt;&gt;"UNRESOLVED"),"PARTIALLY ADOPTED","DECISIONS REMAIN")))</x:f>
        <x:v>COVERAGE FIRST</x:v>
      </x:c>
    </x:row>
    <x:row r="162">
      <x:c r="A162" s="13" t="str">
        <x:v>NAAFTC-HS6-030325</x:v>
      </x:c>
      <x:c r="B162" s="13" t="str">
        <x:v>030325</x:v>
      </x:c>
      <x:c r="C162" s="13" t="str">
        <x:v>03</x:v>
      </x:c>
      <x:c r="D162" s="13" t="str">
        <x:v>TRILATERAL_1_TO_1_TO_1</x:v>
      </x:c>
      <x:c r="E162" s="13" t="str">
        <x:v>Pending</x:v>
      </x:c>
      <x:c r="F162" s="13" t="n">
        <x:v>1</x:v>
      </x:c>
      <x:c r="G162" s="13" t="n">
        <x:v>1</x:v>
      </x:c>
      <x:c r="H162" s="13" t="n">
        <x:v>1</x:v>
      </x:c>
      <x:c r="I162" s="13" t="str">
        <x:v>0303250100</x:v>
      </x:c>
      <x:c r="J162" s="13" t="str">
        <x:v>0303250100</x:v>
      </x:c>
      <x:c r="K162" s="13" t="str">
        <x:v>0303250000</x:v>
      </x:c>
      <x:c r="L162" s="13" t="str">
        <x:v>UNRESOLVED</x:v>
      </x:c>
      <x:c r="M162" s="13" t="str"/>
      <x:c r="N162" s="13" t="str">
        <x:v>NO / DEFAULT</x:v>
      </x:c>
      <x:c r="O162" s="13" t="str"/>
      <x:c r="P162" s="13" t="str">
        <x:v>NO / DEFAULT</x:v>
      </x:c>
      <x:c r="Q162" s="13" t="str"/>
      <x:c r="R162" s="13" t="str">
        <x:v>INDEPENDENT / DEFAULT</x:v>
      </x:c>
      <x:c r="S162" s="13" t="str"/>
      <x:c r="T162" s="13" t="str">
        <x:v>UNRESOLVED</x:v>
      </x:c>
      <x:c r="U162" s="13" t="str"/>
      <x:c r="V162" s="13" t="str"/>
      <x:c r="W162" s="13" t="str"/>
      <x:c r="X162" s="13" t="str">
        <x:f>IF(L162&lt;&gt;"COVERED","HELD — COVERAGE",IF(N162="YES — SENSITIVE","C ACTIONABLE","CHAPTER 5 DEFAULT"))</x:f>
        <x:v>HELD — COVERAGE</x:v>
      </x:c>
      <x:c r="Y162" s="13" t="str">
        <x:f>IF(L162&lt;&gt;"COVERED","HELD — COVERAGE",IF(P162="YES — MANAGED ACCESS","D ACTIONABLE","NO D FIELD"))</x:f>
        <x:v>HELD — COVERAGE</x:v>
      </x:c>
      <x:c r="Z162" s="13" t="str">
        <x:f>IF(L162&lt;&gt;"COVERED","HELD — COVERAGE",IF(OR(R162="PAIRED SYNCHRONIZED",R162="TRILATERAL SYNCHRONIZED"),"E ACTIONABLE","INDEPENDENT"))</x:f>
        <x:v>HELD — COVERAGE</x:v>
      </x:c>
      <x:c r="AA162" s="13" t="str">
        <x:f>IF(L162&lt;&gt;"COVERED","HELD — COVERAGE","WAIT FOR UPSTREAM COMPLETION")</x:f>
        <x:v>HELD — COVERAGE</x:v>
      </x:c>
      <x:c r="AB162" s="13" t="str">
        <x:f>IF(L162&lt;&gt;"COVERED","HELD — COVERAGE",IF(T162="UNRESOLVED","G DECISION REQUIRED",IF(T162="NOT APPLICABLE","G N/A","G ACTIONABLE")))</x:f>
        <x:v>HELD — COVERAGE</x:v>
      </x:c>
      <x:c r="AC162" s="13" t="str">
        <x:f>IF(L162="UNRESOLVED","COVERAGE FIRST",IF(OR(L162="EXCLUDED",L162="OUT OF SCOPE"),"CLOSED BY COVERAGE",IF(AND(L162="COVERED",T162&lt;&gt;"UNRESOLVED"),"PARTIALLY ADOPTED","DECISIONS REMAIN")))</x:f>
        <x:v>COVERAGE FIRST</x:v>
      </x:c>
    </x:row>
    <x:row r="163">
      <x:c r="A163" s="13" t="str">
        <x:v>NAAFTC-HS6-030326</x:v>
      </x:c>
      <x:c r="B163" s="13" t="str">
        <x:v>030326</x:v>
      </x:c>
      <x:c r="C163" s="13" t="str">
        <x:v>03</x:v>
      </x:c>
      <x:c r="D163" s="13" t="str">
        <x:v>TRILATERAL_1_TO_1_TO_1</x:v>
      </x:c>
      <x:c r="E163" s="13" t="str">
        <x:v>Pending</x:v>
      </x:c>
      <x:c r="F163" s="13" t="n">
        <x:v>1</x:v>
      </x:c>
      <x:c r="G163" s="13" t="n">
        <x:v>1</x:v>
      </x:c>
      <x:c r="H163" s="13" t="n">
        <x:v>1</x:v>
      </x:c>
      <x:c r="I163" s="13" t="str">
        <x:v>0303260000</x:v>
      </x:c>
      <x:c r="J163" s="13" t="str">
        <x:v>0303260100</x:v>
      </x:c>
      <x:c r="K163" s="13" t="str">
        <x:v>0303260000</x:v>
      </x:c>
      <x:c r="L163" s="13" t="str">
        <x:v>UNRESOLVED</x:v>
      </x:c>
      <x:c r="M163" s="13" t="str"/>
      <x:c r="N163" s="13" t="str">
        <x:v>NO / DEFAULT</x:v>
      </x:c>
      <x:c r="O163" s="13" t="str"/>
      <x:c r="P163" s="13" t="str">
        <x:v>NO / DEFAULT</x:v>
      </x:c>
      <x:c r="Q163" s="13" t="str"/>
      <x:c r="R163" s="13" t="str">
        <x:v>INDEPENDENT / DEFAULT</x:v>
      </x:c>
      <x:c r="S163" s="13" t="str"/>
      <x:c r="T163" s="13" t="str">
        <x:v>UNRESOLVED</x:v>
      </x:c>
      <x:c r="U163" s="13" t="str"/>
      <x:c r="V163" s="13" t="str"/>
      <x:c r="W163" s="13" t="str"/>
      <x:c r="X163" s="13" t="str">
        <x:f>IF(L163&lt;&gt;"COVERED","HELD — COVERAGE",IF(N163="YES — SENSITIVE","C ACTIONABLE","CHAPTER 5 DEFAULT"))</x:f>
        <x:v>HELD — COVERAGE</x:v>
      </x:c>
      <x:c r="Y163" s="13" t="str">
        <x:f>IF(L163&lt;&gt;"COVERED","HELD — COVERAGE",IF(P163="YES — MANAGED ACCESS","D ACTIONABLE","NO D FIELD"))</x:f>
        <x:v>HELD — COVERAGE</x:v>
      </x:c>
      <x:c r="Z163" s="13" t="str">
        <x:f>IF(L163&lt;&gt;"COVERED","HELD — COVERAGE",IF(OR(R163="PAIRED SYNCHRONIZED",R163="TRILATERAL SYNCHRONIZED"),"E ACTIONABLE","INDEPENDENT"))</x:f>
        <x:v>HELD — COVERAGE</x:v>
      </x:c>
      <x:c r="AA163" s="13" t="str">
        <x:f>IF(L163&lt;&gt;"COVERED","HELD — COVERAGE","WAIT FOR UPSTREAM COMPLETION")</x:f>
        <x:v>HELD — COVERAGE</x:v>
      </x:c>
      <x:c r="AB163" s="13" t="str">
        <x:f>IF(L163&lt;&gt;"COVERED","HELD — COVERAGE",IF(T163="UNRESOLVED","G DECISION REQUIRED",IF(T163="NOT APPLICABLE","G N/A","G ACTIONABLE")))</x:f>
        <x:v>HELD — COVERAGE</x:v>
      </x:c>
      <x:c r="AC163" s="13" t="str">
        <x:f>IF(L163="UNRESOLVED","COVERAGE FIRST",IF(OR(L163="EXCLUDED",L163="OUT OF SCOPE"),"CLOSED BY COVERAGE",IF(AND(L163="COVERED",T163&lt;&gt;"UNRESOLVED"),"PARTIALLY ADOPTED","DECISIONS REMAIN")))</x:f>
        <x:v>COVERAGE FIRST</x:v>
      </x:c>
    </x:row>
    <x:row r="164">
      <x:c r="A164" s="13" t="str">
        <x:v>NAAFTC-HS6-030329</x:v>
      </x:c>
      <x:c r="B164" s="13" t="str">
        <x:v>030329</x:v>
      </x:c>
      <x:c r="C164" s="13" t="str">
        <x:v>03</x:v>
      </x:c>
      <x:c r="D164" s="13" t="str">
        <x:v>TRILATERAL_SPLIT_MERGE</x:v>
      </x:c>
      <x:c r="E164" s="13" t="str">
        <x:v>Pending</x:v>
      </x:c>
      <x:c r="F164" s="13" t="n">
        <x:v>2</x:v>
      </x:c>
      <x:c r="G164" s="13" t="n">
        <x:v>1</x:v>
      </x:c>
      <x:c r="H164" s="13" t="n">
        <x:v>1</x:v>
      </x:c>
      <x:c r="I164" s="13" t="str">
        <x:v>0303290110; 0303290150</x:v>
      </x:c>
      <x:c r="J164" s="13" t="str">
        <x:v>0303299900</x:v>
      </x:c>
      <x:c r="K164" s="13" t="str">
        <x:v>0303290000</x:v>
      </x:c>
      <x:c r="L164" s="13" t="str">
        <x:v>UNRESOLVED</x:v>
      </x:c>
      <x:c r="M164" s="13" t="str"/>
      <x:c r="N164" s="13" t="str">
        <x:v>NO / DEFAULT</x:v>
      </x:c>
      <x:c r="O164" s="13" t="str"/>
      <x:c r="P164" s="13" t="str">
        <x:v>NO / DEFAULT</x:v>
      </x:c>
      <x:c r="Q164" s="13" t="str"/>
      <x:c r="R164" s="13" t="str">
        <x:v>INDEPENDENT / DEFAULT</x:v>
      </x:c>
      <x:c r="S164" s="13" t="str"/>
      <x:c r="T164" s="13" t="str">
        <x:v>UNRESOLVED</x:v>
      </x:c>
      <x:c r="U164" s="13" t="str"/>
      <x:c r="V164" s="13" t="str"/>
      <x:c r="W164" s="13" t="str"/>
      <x:c r="X164" s="13" t="str">
        <x:f>IF(L164&lt;&gt;"COVERED","HELD — COVERAGE",IF(N164="YES — SENSITIVE","C ACTIONABLE","CHAPTER 5 DEFAULT"))</x:f>
        <x:v>HELD — COVERAGE</x:v>
      </x:c>
      <x:c r="Y164" s="13" t="str">
        <x:f>IF(L164&lt;&gt;"COVERED","HELD — COVERAGE",IF(P164="YES — MANAGED ACCESS","D ACTIONABLE","NO D FIELD"))</x:f>
        <x:v>HELD — COVERAGE</x:v>
      </x:c>
      <x:c r="Z164" s="13" t="str">
        <x:f>IF(L164&lt;&gt;"COVERED","HELD — COVERAGE",IF(OR(R164="PAIRED SYNCHRONIZED",R164="TRILATERAL SYNCHRONIZED"),"E ACTIONABLE","INDEPENDENT"))</x:f>
        <x:v>HELD — COVERAGE</x:v>
      </x:c>
      <x:c r="AA164" s="13" t="str">
        <x:f>IF(L164&lt;&gt;"COVERED","HELD — COVERAGE","WAIT FOR UPSTREAM COMPLETION")</x:f>
        <x:v>HELD — COVERAGE</x:v>
      </x:c>
      <x:c r="AB164" s="13" t="str">
        <x:f>IF(L164&lt;&gt;"COVERED","HELD — COVERAGE",IF(T164="UNRESOLVED","G DECISION REQUIRED",IF(T164="NOT APPLICABLE","G N/A","G ACTIONABLE")))</x:f>
        <x:v>HELD — COVERAGE</x:v>
      </x:c>
      <x:c r="AC164" s="13" t="str">
        <x:f>IF(L164="UNRESOLVED","COVERAGE FIRST",IF(OR(L164="EXCLUDED",L164="OUT OF SCOPE"),"CLOSED BY COVERAGE",IF(AND(L164="COVERED",T164&lt;&gt;"UNRESOLVED"),"PARTIALLY ADOPTED","DECISIONS REMAIN")))</x:f>
        <x:v>COVERAGE FIRST</x:v>
      </x:c>
    </x:row>
    <x:row r="165">
      <x:c r="A165" s="13" t="str">
        <x:v>NAAFTC-HS6-030331</x:v>
      </x:c>
      <x:c r="B165" s="13" t="str">
        <x:v>030331</x:v>
      </x:c>
      <x:c r="C165" s="13" t="str">
        <x:v>03</x:v>
      </x:c>
      <x:c r="D165" s="13" t="str">
        <x:v>TRILATERAL_SPLIT_MERGE</x:v>
      </x:c>
      <x:c r="E165" s="13" t="str">
        <x:v>Pending</x:v>
      </x:c>
      <x:c r="F165" s="13" t="n">
        <x:v>3</x:v>
      </x:c>
      <x:c r="G165" s="13" t="n">
        <x:v>1</x:v>
      </x:c>
      <x:c r="H165" s="13" t="n">
        <x:v>1</x:v>
      </x:c>
      <x:c r="I165" s="13" t="str">
        <x:v>0303310010; 0303310020; 0303310030</x:v>
      </x:c>
      <x:c r="J165" s="13" t="str">
        <x:v>0303310100</x:v>
      </x:c>
      <x:c r="K165" s="13" t="str">
        <x:v>03033100</x:v>
      </x:c>
      <x:c r="L165" s="13" t="str">
        <x:v>UNRESOLVED</x:v>
      </x:c>
      <x:c r="M165" s="13" t="str"/>
      <x:c r="N165" s="13" t="str">
        <x:v>NO / DEFAULT</x:v>
      </x:c>
      <x:c r="O165" s="13" t="str"/>
      <x:c r="P165" s="13" t="str">
        <x:v>NO / DEFAULT</x:v>
      </x:c>
      <x:c r="Q165" s="13" t="str"/>
      <x:c r="R165" s="13" t="str">
        <x:v>INDEPENDENT / DEFAULT</x:v>
      </x:c>
      <x:c r="S165" s="13" t="str"/>
      <x:c r="T165" s="13" t="str">
        <x:v>UNRESOLVED</x:v>
      </x:c>
      <x:c r="U165" s="13" t="str"/>
      <x:c r="V165" s="13" t="str"/>
      <x:c r="W165" s="13" t="str"/>
      <x:c r="X165" s="13" t="str">
        <x:f>IF(L165&lt;&gt;"COVERED","HELD — COVERAGE",IF(N165="YES — SENSITIVE","C ACTIONABLE","CHAPTER 5 DEFAULT"))</x:f>
        <x:v>HELD — COVERAGE</x:v>
      </x:c>
      <x:c r="Y165" s="13" t="str">
        <x:f>IF(L165&lt;&gt;"COVERED","HELD — COVERAGE",IF(P165="YES — MANAGED ACCESS","D ACTIONABLE","NO D FIELD"))</x:f>
        <x:v>HELD — COVERAGE</x:v>
      </x:c>
      <x:c r="Z165" s="13" t="str">
        <x:f>IF(L165&lt;&gt;"COVERED","HELD — COVERAGE",IF(OR(R165="PAIRED SYNCHRONIZED",R165="TRILATERAL SYNCHRONIZED"),"E ACTIONABLE","INDEPENDENT"))</x:f>
        <x:v>HELD — COVERAGE</x:v>
      </x:c>
      <x:c r="AA165" s="13" t="str">
        <x:f>IF(L165&lt;&gt;"COVERED","HELD — COVERAGE","WAIT FOR UPSTREAM COMPLETION")</x:f>
        <x:v>HELD — COVERAGE</x:v>
      </x:c>
      <x:c r="AB165" s="13" t="str">
        <x:f>IF(L165&lt;&gt;"COVERED","HELD — COVERAGE",IF(T165="UNRESOLVED","G DECISION REQUIRED",IF(T165="NOT APPLICABLE","G N/A","G ACTIONABLE")))</x:f>
        <x:v>HELD — COVERAGE</x:v>
      </x:c>
      <x:c r="AC165" s="13" t="str">
        <x:f>IF(L165="UNRESOLVED","COVERAGE FIRST",IF(OR(L165="EXCLUDED",L165="OUT OF SCOPE"),"CLOSED BY COVERAGE",IF(AND(L165="COVERED",T165&lt;&gt;"UNRESOLVED"),"PARTIALLY ADOPTED","DECISIONS REMAIN")))</x:f>
        <x:v>COVERAGE FIRST</x:v>
      </x:c>
    </x:row>
    <x:row r="166">
      <x:c r="A166" s="13" t="str">
        <x:v>NAAFTC-HS6-030332</x:v>
      </x:c>
      <x:c r="B166" s="13" t="str">
        <x:v>030332</x:v>
      </x:c>
      <x:c r="C166" s="13" t="str">
        <x:v>03</x:v>
      </x:c>
      <x:c r="D166" s="13" t="str">
        <x:v>TRILATERAL_1_TO_1_TO_1</x:v>
      </x:c>
      <x:c r="E166" s="13" t="str">
        <x:v>Pending</x:v>
      </x:c>
      <x:c r="F166" s="13" t="n">
        <x:v>1</x:v>
      </x:c>
      <x:c r="G166" s="13" t="n">
        <x:v>1</x:v>
      </x:c>
      <x:c r="H166" s="13" t="n">
        <x:v>1</x:v>
      </x:c>
      <x:c r="I166" s="13" t="str">
        <x:v>0303320000</x:v>
      </x:c>
      <x:c r="J166" s="13" t="str">
        <x:v>0303320100</x:v>
      </x:c>
      <x:c r="K166" s="13" t="str">
        <x:v>0303320000</x:v>
      </x:c>
      <x:c r="L166" s="13" t="str">
        <x:v>UNRESOLVED</x:v>
      </x:c>
      <x:c r="M166" s="13" t="str"/>
      <x:c r="N166" s="13" t="str">
        <x:v>NO / DEFAULT</x:v>
      </x:c>
      <x:c r="O166" s="13" t="str"/>
      <x:c r="P166" s="13" t="str">
        <x:v>NO / DEFAULT</x:v>
      </x:c>
      <x:c r="Q166" s="13" t="str"/>
      <x:c r="R166" s="13" t="str">
        <x:v>INDEPENDENT / DEFAULT</x:v>
      </x:c>
      <x:c r="S166" s="13" t="str"/>
      <x:c r="T166" s="13" t="str">
        <x:v>UNRESOLVED</x:v>
      </x:c>
      <x:c r="U166" s="13" t="str"/>
      <x:c r="V166" s="13" t="str"/>
      <x:c r="W166" s="13" t="str"/>
      <x:c r="X166" s="13" t="str">
        <x:f>IF(L166&lt;&gt;"COVERED","HELD — COVERAGE",IF(N166="YES — SENSITIVE","C ACTIONABLE","CHAPTER 5 DEFAULT"))</x:f>
        <x:v>HELD — COVERAGE</x:v>
      </x:c>
      <x:c r="Y166" s="13" t="str">
        <x:f>IF(L166&lt;&gt;"COVERED","HELD — COVERAGE",IF(P166="YES — MANAGED ACCESS","D ACTIONABLE","NO D FIELD"))</x:f>
        <x:v>HELD — COVERAGE</x:v>
      </x:c>
      <x:c r="Z166" s="13" t="str">
        <x:f>IF(L166&lt;&gt;"COVERED","HELD — COVERAGE",IF(OR(R166="PAIRED SYNCHRONIZED",R166="TRILATERAL SYNCHRONIZED"),"E ACTIONABLE","INDEPENDENT"))</x:f>
        <x:v>HELD — COVERAGE</x:v>
      </x:c>
      <x:c r="AA166" s="13" t="str">
        <x:f>IF(L166&lt;&gt;"COVERED","HELD — COVERAGE","WAIT FOR UPSTREAM COMPLETION")</x:f>
        <x:v>HELD — COVERAGE</x:v>
      </x:c>
      <x:c r="AB166" s="13" t="str">
        <x:f>IF(L166&lt;&gt;"COVERED","HELD — COVERAGE",IF(T166="UNRESOLVED","G DECISION REQUIRED",IF(T166="NOT APPLICABLE","G N/A","G ACTIONABLE")))</x:f>
        <x:v>HELD — COVERAGE</x:v>
      </x:c>
      <x:c r="AC166" s="13" t="str">
        <x:f>IF(L166="UNRESOLVED","COVERAGE FIRST",IF(OR(L166="EXCLUDED",L166="OUT OF SCOPE"),"CLOSED BY COVERAGE",IF(AND(L166="COVERED",T166&lt;&gt;"UNRESOLVED"),"PARTIALLY ADOPTED","DECISIONS REMAIN")))</x:f>
        <x:v>COVERAGE FIRST</x:v>
      </x:c>
    </x:row>
    <x:row r="167">
      <x:c r="A167" s="13" t="str">
        <x:v>NAAFTC-HS6-030333</x:v>
      </x:c>
      <x:c r="B167" s="13" t="str">
        <x:v>030333</x:v>
      </x:c>
      <x:c r="C167" s="13" t="str">
        <x:v>03</x:v>
      </x:c>
      <x:c r="D167" s="13" t="str">
        <x:v>TRILATERAL_1_TO_1_TO_1</x:v>
      </x:c>
      <x:c r="E167" s="13" t="str">
        <x:v>Pending</x:v>
      </x:c>
      <x:c r="F167" s="13" t="n">
        <x:v>1</x:v>
      </x:c>
      <x:c r="G167" s="13" t="n">
        <x:v>1</x:v>
      </x:c>
      <x:c r="H167" s="13" t="n">
        <x:v>1</x:v>
      </x:c>
      <x:c r="I167" s="13" t="str">
        <x:v>0303330000</x:v>
      </x:c>
      <x:c r="J167" s="13" t="str">
        <x:v>0303330100</x:v>
      </x:c>
      <x:c r="K167" s="13" t="str">
        <x:v>0303330000</x:v>
      </x:c>
      <x:c r="L167" s="13" t="str">
        <x:v>UNRESOLVED</x:v>
      </x:c>
      <x:c r="M167" s="13" t="str"/>
      <x:c r="N167" s="13" t="str">
        <x:v>NO / DEFAULT</x:v>
      </x:c>
      <x:c r="O167" s="13" t="str"/>
      <x:c r="P167" s="13" t="str">
        <x:v>NO / DEFAULT</x:v>
      </x:c>
      <x:c r="Q167" s="13" t="str"/>
      <x:c r="R167" s="13" t="str">
        <x:v>INDEPENDENT / DEFAULT</x:v>
      </x:c>
      <x:c r="S167" s="13" t="str"/>
      <x:c r="T167" s="13" t="str">
        <x:v>UNRESOLVED</x:v>
      </x:c>
      <x:c r="U167" s="13" t="str"/>
      <x:c r="V167" s="13" t="str"/>
      <x:c r="W167" s="13" t="str"/>
      <x:c r="X167" s="13" t="str">
        <x:f>IF(L167&lt;&gt;"COVERED","HELD — COVERAGE",IF(N167="YES — SENSITIVE","C ACTIONABLE","CHAPTER 5 DEFAULT"))</x:f>
        <x:v>HELD — COVERAGE</x:v>
      </x:c>
      <x:c r="Y167" s="13" t="str">
        <x:f>IF(L167&lt;&gt;"COVERED","HELD — COVERAGE",IF(P167="YES — MANAGED ACCESS","D ACTIONABLE","NO D FIELD"))</x:f>
        <x:v>HELD — COVERAGE</x:v>
      </x:c>
      <x:c r="Z167" s="13" t="str">
        <x:f>IF(L167&lt;&gt;"COVERED","HELD — COVERAGE",IF(OR(R167="PAIRED SYNCHRONIZED",R167="TRILATERAL SYNCHRONIZED"),"E ACTIONABLE","INDEPENDENT"))</x:f>
        <x:v>HELD — COVERAGE</x:v>
      </x:c>
      <x:c r="AA167" s="13" t="str">
        <x:f>IF(L167&lt;&gt;"COVERED","HELD — COVERAGE","WAIT FOR UPSTREAM COMPLETION")</x:f>
        <x:v>HELD — COVERAGE</x:v>
      </x:c>
      <x:c r="AB167" s="13" t="str">
        <x:f>IF(L167&lt;&gt;"COVERED","HELD — COVERAGE",IF(T167="UNRESOLVED","G DECISION REQUIRED",IF(T167="NOT APPLICABLE","G N/A","G ACTIONABLE")))</x:f>
        <x:v>HELD — COVERAGE</x:v>
      </x:c>
      <x:c r="AC167" s="13" t="str">
        <x:f>IF(L167="UNRESOLVED","COVERAGE FIRST",IF(OR(L167="EXCLUDED",L167="OUT OF SCOPE"),"CLOSED BY COVERAGE",IF(AND(L167="COVERED",T167&lt;&gt;"UNRESOLVED"),"PARTIALLY ADOPTED","DECISIONS REMAIN")))</x:f>
        <x:v>COVERAGE FIRST</x:v>
      </x:c>
    </x:row>
    <x:row r="168">
      <x:c r="A168" s="13" t="str">
        <x:v>NAAFTC-HS6-030334</x:v>
      </x:c>
      <x:c r="B168" s="13" t="str">
        <x:v>030334</x:v>
      </x:c>
      <x:c r="C168" s="13" t="str">
        <x:v>03</x:v>
      </x:c>
      <x:c r="D168" s="13" t="str">
        <x:v>TRILATERAL_1_TO_1_TO_1</x:v>
      </x:c>
      <x:c r="E168" s="13" t="str">
        <x:v>Pending</x:v>
      </x:c>
      <x:c r="F168" s="13" t="n">
        <x:v>1</x:v>
      </x:c>
      <x:c r="G168" s="13" t="n">
        <x:v>1</x:v>
      </x:c>
      <x:c r="H168" s="13" t="n">
        <x:v>1</x:v>
      </x:c>
      <x:c r="I168" s="13" t="str">
        <x:v>0303340000</x:v>
      </x:c>
      <x:c r="J168" s="13" t="str">
        <x:v>0303340100</x:v>
      </x:c>
      <x:c r="K168" s="13" t="str">
        <x:v>0303340000</x:v>
      </x:c>
      <x:c r="L168" s="13" t="str">
        <x:v>UNRESOLVED</x:v>
      </x:c>
      <x:c r="M168" s="13" t="str"/>
      <x:c r="N168" s="13" t="str">
        <x:v>NO / DEFAULT</x:v>
      </x:c>
      <x:c r="O168" s="13" t="str"/>
      <x:c r="P168" s="13" t="str">
        <x:v>NO / DEFAULT</x:v>
      </x:c>
      <x:c r="Q168" s="13" t="str"/>
      <x:c r="R168" s="13" t="str">
        <x:v>INDEPENDENT / DEFAULT</x:v>
      </x:c>
      <x:c r="S168" s="13" t="str"/>
      <x:c r="T168" s="13" t="str">
        <x:v>UNRESOLVED</x:v>
      </x:c>
      <x:c r="U168" s="13" t="str"/>
      <x:c r="V168" s="13" t="str"/>
      <x:c r="W168" s="13" t="str"/>
      <x:c r="X168" s="13" t="str">
        <x:f>IF(L168&lt;&gt;"COVERED","HELD — COVERAGE",IF(N168="YES — SENSITIVE","C ACTIONABLE","CHAPTER 5 DEFAULT"))</x:f>
        <x:v>HELD — COVERAGE</x:v>
      </x:c>
      <x:c r="Y168" s="13" t="str">
        <x:f>IF(L168&lt;&gt;"COVERED","HELD — COVERAGE",IF(P168="YES — MANAGED ACCESS","D ACTIONABLE","NO D FIELD"))</x:f>
        <x:v>HELD — COVERAGE</x:v>
      </x:c>
      <x:c r="Z168" s="13" t="str">
        <x:f>IF(L168&lt;&gt;"COVERED","HELD — COVERAGE",IF(OR(R168="PAIRED SYNCHRONIZED",R168="TRILATERAL SYNCHRONIZED"),"E ACTIONABLE","INDEPENDENT"))</x:f>
        <x:v>HELD — COVERAGE</x:v>
      </x:c>
      <x:c r="AA168" s="13" t="str">
        <x:f>IF(L168&lt;&gt;"COVERED","HELD — COVERAGE","WAIT FOR UPSTREAM COMPLETION")</x:f>
        <x:v>HELD — COVERAGE</x:v>
      </x:c>
      <x:c r="AB168" s="13" t="str">
        <x:f>IF(L168&lt;&gt;"COVERED","HELD — COVERAGE",IF(T168="UNRESOLVED","G DECISION REQUIRED",IF(T168="NOT APPLICABLE","G N/A","G ACTIONABLE")))</x:f>
        <x:v>HELD — COVERAGE</x:v>
      </x:c>
      <x:c r="AC168" s="13" t="str">
        <x:f>IF(L168="UNRESOLVED","COVERAGE FIRST",IF(OR(L168="EXCLUDED",L168="OUT OF SCOPE"),"CLOSED BY COVERAGE",IF(AND(L168="COVERED",T168&lt;&gt;"UNRESOLVED"),"PARTIALLY ADOPTED","DECISIONS REMAIN")))</x:f>
        <x:v>COVERAGE FIRST</x:v>
      </x:c>
    </x:row>
    <x:row r="169">
      <x:c r="A169" s="13" t="str">
        <x:v>NAAFTC-HS6-030339</x:v>
      </x:c>
      <x:c r="B169" s="13" t="str">
        <x:v>030339</x:v>
      </x:c>
      <x:c r="C169" s="13" t="str">
        <x:v>03</x:v>
      </x:c>
      <x:c r="D169" s="13" t="str">
        <x:v>TRILATERAL_SPLIT_MERGE</x:v>
      </x:c>
      <x:c r="E169" s="13" t="str">
        <x:v>Pending</x:v>
      </x:c>
      <x:c r="F169" s="13" t="n">
        <x:v>4</x:v>
      </x:c>
      <x:c r="G169" s="13" t="n">
        <x:v>1</x:v>
      </x:c>
      <x:c r="H169" s="13" t="n">
        <x:v>1</x:v>
      </x:c>
      <x:c r="I169" s="13" t="str">
        <x:v>0303390110; 0303390120; 0303390130; 0303390195</x:v>
      </x:c>
      <x:c r="J169" s="13" t="str">
        <x:v>0303399900</x:v>
      </x:c>
      <x:c r="K169" s="13" t="str">
        <x:v>0303390000</x:v>
      </x:c>
      <x:c r="L169" s="13" t="str">
        <x:v>UNRESOLVED</x:v>
      </x:c>
      <x:c r="M169" s="13" t="str"/>
      <x:c r="N169" s="13" t="str">
        <x:v>NO / DEFAULT</x:v>
      </x:c>
      <x:c r="O169" s="13" t="str"/>
      <x:c r="P169" s="13" t="str">
        <x:v>NO / DEFAULT</x:v>
      </x:c>
      <x:c r="Q169" s="13" t="str"/>
      <x:c r="R169" s="13" t="str">
        <x:v>INDEPENDENT / DEFAULT</x:v>
      </x:c>
      <x:c r="S169" s="13" t="str"/>
      <x:c r="T169" s="13" t="str">
        <x:v>UNRESOLVED</x:v>
      </x:c>
      <x:c r="U169" s="13" t="str"/>
      <x:c r="V169" s="13" t="str"/>
      <x:c r="W169" s="13" t="str"/>
      <x:c r="X169" s="13" t="str">
        <x:f>IF(L169&lt;&gt;"COVERED","HELD — COVERAGE",IF(N169="YES — SENSITIVE","C ACTIONABLE","CHAPTER 5 DEFAULT"))</x:f>
        <x:v>HELD — COVERAGE</x:v>
      </x:c>
      <x:c r="Y169" s="13" t="str">
        <x:f>IF(L169&lt;&gt;"COVERED","HELD — COVERAGE",IF(P169="YES — MANAGED ACCESS","D ACTIONABLE","NO D FIELD"))</x:f>
        <x:v>HELD — COVERAGE</x:v>
      </x:c>
      <x:c r="Z169" s="13" t="str">
        <x:f>IF(L169&lt;&gt;"COVERED","HELD — COVERAGE",IF(OR(R169="PAIRED SYNCHRONIZED",R169="TRILATERAL SYNCHRONIZED"),"E ACTIONABLE","INDEPENDENT"))</x:f>
        <x:v>HELD — COVERAGE</x:v>
      </x:c>
      <x:c r="AA169" s="13" t="str">
        <x:f>IF(L169&lt;&gt;"COVERED","HELD — COVERAGE","WAIT FOR UPSTREAM COMPLETION")</x:f>
        <x:v>HELD — COVERAGE</x:v>
      </x:c>
      <x:c r="AB169" s="13" t="str">
        <x:f>IF(L169&lt;&gt;"COVERED","HELD — COVERAGE",IF(T169="UNRESOLVED","G DECISION REQUIRED",IF(T169="NOT APPLICABLE","G N/A","G ACTIONABLE")))</x:f>
        <x:v>HELD — COVERAGE</x:v>
      </x:c>
      <x:c r="AC169" s="13" t="str">
        <x:f>IF(L169="UNRESOLVED","COVERAGE FIRST",IF(OR(L169="EXCLUDED",L169="OUT OF SCOPE"),"CLOSED BY COVERAGE",IF(AND(L169="COVERED",T169&lt;&gt;"UNRESOLVED"),"PARTIALLY ADOPTED","DECISIONS REMAIN")))</x:f>
        <x:v>COVERAGE FIRST</x:v>
      </x:c>
    </x:row>
    <x:row r="170">
      <x:c r="A170" s="13" t="str">
        <x:v>NAAFTC-HS6-030341</x:v>
      </x:c>
      <x:c r="B170" s="13" t="str">
        <x:v>030341</x:v>
      </x:c>
      <x:c r="C170" s="13" t="str">
        <x:v>03</x:v>
      </x:c>
      <x:c r="D170" s="13" t="str">
        <x:v>TRILATERAL_1_TO_1_TO_1</x:v>
      </x:c>
      <x:c r="E170" s="13" t="str">
        <x:v>Pending</x:v>
      </x:c>
      <x:c r="F170" s="13" t="n">
        <x:v>1</x:v>
      </x:c>
      <x:c r="G170" s="13" t="n">
        <x:v>1</x:v>
      </x:c>
      <x:c r="H170" s="13" t="n">
        <x:v>1</x:v>
      </x:c>
      <x:c r="I170" s="13" t="str">
        <x:v>0303410000</x:v>
      </x:c>
      <x:c r="J170" s="13" t="str">
        <x:v>0303410100</x:v>
      </x:c>
      <x:c r="K170" s="13" t="str">
        <x:v>0303410000</x:v>
      </x:c>
      <x:c r="L170" s="13" t="str">
        <x:v>UNRESOLVED</x:v>
      </x:c>
      <x:c r="M170" s="13" t="str"/>
      <x:c r="N170" s="13" t="str">
        <x:v>NO / DEFAULT</x:v>
      </x:c>
      <x:c r="O170" s="13" t="str"/>
      <x:c r="P170" s="13" t="str">
        <x:v>NO / DEFAULT</x:v>
      </x:c>
      <x:c r="Q170" s="13" t="str"/>
      <x:c r="R170" s="13" t="str">
        <x:v>INDEPENDENT / DEFAULT</x:v>
      </x:c>
      <x:c r="S170" s="13" t="str"/>
      <x:c r="T170" s="13" t="str">
        <x:v>UNRESOLVED</x:v>
      </x:c>
      <x:c r="U170" s="13" t="str"/>
      <x:c r="V170" s="13" t="str"/>
      <x:c r="W170" s="13" t="str"/>
      <x:c r="X170" s="13" t="str">
        <x:f>IF(L170&lt;&gt;"COVERED","HELD — COVERAGE",IF(N170="YES — SENSITIVE","C ACTIONABLE","CHAPTER 5 DEFAULT"))</x:f>
        <x:v>HELD — COVERAGE</x:v>
      </x:c>
      <x:c r="Y170" s="13" t="str">
        <x:f>IF(L170&lt;&gt;"COVERED","HELD — COVERAGE",IF(P170="YES — MANAGED ACCESS","D ACTIONABLE","NO D FIELD"))</x:f>
        <x:v>HELD — COVERAGE</x:v>
      </x:c>
      <x:c r="Z170" s="13" t="str">
        <x:f>IF(L170&lt;&gt;"COVERED","HELD — COVERAGE",IF(OR(R170="PAIRED SYNCHRONIZED",R170="TRILATERAL SYNCHRONIZED"),"E ACTIONABLE","INDEPENDENT"))</x:f>
        <x:v>HELD — COVERAGE</x:v>
      </x:c>
      <x:c r="AA170" s="13" t="str">
        <x:f>IF(L170&lt;&gt;"COVERED","HELD — COVERAGE","WAIT FOR UPSTREAM COMPLETION")</x:f>
        <x:v>HELD — COVERAGE</x:v>
      </x:c>
      <x:c r="AB170" s="13" t="str">
        <x:f>IF(L170&lt;&gt;"COVERED","HELD — COVERAGE",IF(T170="UNRESOLVED","G DECISION REQUIRED",IF(T170="NOT APPLICABLE","G N/A","G ACTIONABLE")))</x:f>
        <x:v>HELD — COVERAGE</x:v>
      </x:c>
      <x:c r="AC170" s="13" t="str">
        <x:f>IF(L170="UNRESOLVED","COVERAGE FIRST",IF(OR(L170="EXCLUDED",L170="OUT OF SCOPE"),"CLOSED BY COVERAGE",IF(AND(L170="COVERED",T170&lt;&gt;"UNRESOLVED"),"PARTIALLY ADOPTED","DECISIONS REMAIN")))</x:f>
        <x:v>COVERAGE FIRST</x:v>
      </x:c>
    </x:row>
    <x:row r="171">
      <x:c r="A171" s="13" t="str">
        <x:v>NAAFTC-HS6-030342</x:v>
      </x:c>
      <x:c r="B171" s="13" t="str">
        <x:v>030342</x:v>
      </x:c>
      <x:c r="C171" s="13" t="str">
        <x:v>03</x:v>
      </x:c>
      <x:c r="D171" s="13" t="str">
        <x:v>TRILATERAL_SPLIT_MERGE</x:v>
      </x:c>
      <x:c r="E171" s="13" t="str">
        <x:v>Pending</x:v>
      </x:c>
      <x:c r="F171" s="13" t="n">
        <x:v>3</x:v>
      </x:c>
      <x:c r="G171" s="13" t="n">
        <x:v>1</x:v>
      </x:c>
      <x:c r="H171" s="13" t="n">
        <x:v>1</x:v>
      </x:c>
      <x:c r="I171" s="13" t="str">
        <x:v>0303420020; 0303420040; 0303420060</x:v>
      </x:c>
      <x:c r="J171" s="13" t="str">
        <x:v>0303420100</x:v>
      </x:c>
      <x:c r="K171" s="13" t="str">
        <x:v>0303420000</x:v>
      </x:c>
      <x:c r="L171" s="13" t="str">
        <x:v>UNRESOLVED</x:v>
      </x:c>
      <x:c r="M171" s="13" t="str"/>
      <x:c r="N171" s="13" t="str">
        <x:v>NO / DEFAULT</x:v>
      </x:c>
      <x:c r="O171" s="13" t="str"/>
      <x:c r="P171" s="13" t="str">
        <x:v>NO / DEFAULT</x:v>
      </x:c>
      <x:c r="Q171" s="13" t="str"/>
      <x:c r="R171" s="13" t="str">
        <x:v>INDEPENDENT / DEFAULT</x:v>
      </x:c>
      <x:c r="S171" s="13" t="str"/>
      <x:c r="T171" s="13" t="str">
        <x:v>UNRESOLVED</x:v>
      </x:c>
      <x:c r="U171" s="13" t="str"/>
      <x:c r="V171" s="13" t="str"/>
      <x:c r="W171" s="13" t="str"/>
      <x:c r="X171" s="13" t="str">
        <x:f>IF(L171&lt;&gt;"COVERED","HELD — COVERAGE",IF(N171="YES — SENSITIVE","C ACTIONABLE","CHAPTER 5 DEFAULT"))</x:f>
        <x:v>HELD — COVERAGE</x:v>
      </x:c>
      <x:c r="Y171" s="13" t="str">
        <x:f>IF(L171&lt;&gt;"COVERED","HELD — COVERAGE",IF(P171="YES — MANAGED ACCESS","D ACTIONABLE","NO D FIELD"))</x:f>
        <x:v>HELD — COVERAGE</x:v>
      </x:c>
      <x:c r="Z171" s="13" t="str">
        <x:f>IF(L171&lt;&gt;"COVERED","HELD — COVERAGE",IF(OR(R171="PAIRED SYNCHRONIZED",R171="TRILATERAL SYNCHRONIZED"),"E ACTIONABLE","INDEPENDENT"))</x:f>
        <x:v>HELD — COVERAGE</x:v>
      </x:c>
      <x:c r="AA171" s="13" t="str">
        <x:f>IF(L171&lt;&gt;"COVERED","HELD — COVERAGE","WAIT FOR UPSTREAM COMPLETION")</x:f>
        <x:v>HELD — COVERAGE</x:v>
      </x:c>
      <x:c r="AB171" s="13" t="str">
        <x:f>IF(L171&lt;&gt;"COVERED","HELD — COVERAGE",IF(T171="UNRESOLVED","G DECISION REQUIRED",IF(T171="NOT APPLICABLE","G N/A","G ACTIONABLE")))</x:f>
        <x:v>HELD — COVERAGE</x:v>
      </x:c>
      <x:c r="AC171" s="13" t="str">
        <x:f>IF(L171="UNRESOLVED","COVERAGE FIRST",IF(OR(L171="EXCLUDED",L171="OUT OF SCOPE"),"CLOSED BY COVERAGE",IF(AND(L171="COVERED",T171&lt;&gt;"UNRESOLVED"),"PARTIALLY ADOPTED","DECISIONS REMAIN")))</x:f>
        <x:v>COVERAGE FIRST</x:v>
      </x:c>
    </x:row>
    <x:row r="172">
      <x:c r="A172" s="13" t="str">
        <x:v>NAAFTC-HS6-030343</x:v>
      </x:c>
      <x:c r="B172" s="13" t="str">
        <x:v>030343</x:v>
      </x:c>
      <x:c r="C172" s="13" t="str">
        <x:v>03</x:v>
      </x:c>
      <x:c r="D172" s="13" t="str">
        <x:v>TRILATERAL_1_TO_1_TO_1</x:v>
      </x:c>
      <x:c r="E172" s="13" t="str">
        <x:v>Pending</x:v>
      </x:c>
      <x:c r="F172" s="13" t="n">
        <x:v>1</x:v>
      </x:c>
      <x:c r="G172" s="13" t="n">
        <x:v>1</x:v>
      </x:c>
      <x:c r="H172" s="13" t="n">
        <x:v>1</x:v>
      </x:c>
      <x:c r="I172" s="13" t="str">
        <x:v>0303430000</x:v>
      </x:c>
      <x:c r="J172" s="13" t="str">
        <x:v>0303430100</x:v>
      </x:c>
      <x:c r="K172" s="13" t="str">
        <x:v>0303430000</x:v>
      </x:c>
      <x:c r="L172" s="13" t="str">
        <x:v>UNRESOLVED</x:v>
      </x:c>
      <x:c r="M172" s="13" t="str"/>
      <x:c r="N172" s="13" t="str">
        <x:v>NO / DEFAULT</x:v>
      </x:c>
      <x:c r="O172" s="13" t="str"/>
      <x:c r="P172" s="13" t="str">
        <x:v>NO / DEFAULT</x:v>
      </x:c>
      <x:c r="Q172" s="13" t="str"/>
      <x:c r="R172" s="13" t="str">
        <x:v>INDEPENDENT / DEFAULT</x:v>
      </x:c>
      <x:c r="S172" s="13" t="str"/>
      <x:c r="T172" s="13" t="str">
        <x:v>UNRESOLVED</x:v>
      </x:c>
      <x:c r="U172" s="13" t="str"/>
      <x:c r="V172" s="13" t="str"/>
      <x:c r="W172" s="13" t="str"/>
      <x:c r="X172" s="13" t="str">
        <x:f>IF(L172&lt;&gt;"COVERED","HELD — COVERAGE",IF(N172="YES — SENSITIVE","C ACTIONABLE","CHAPTER 5 DEFAULT"))</x:f>
        <x:v>HELD — COVERAGE</x:v>
      </x:c>
      <x:c r="Y172" s="13" t="str">
        <x:f>IF(L172&lt;&gt;"COVERED","HELD — COVERAGE",IF(P172="YES — MANAGED ACCESS","D ACTIONABLE","NO D FIELD"))</x:f>
        <x:v>HELD — COVERAGE</x:v>
      </x:c>
      <x:c r="Z172" s="13" t="str">
        <x:f>IF(L172&lt;&gt;"COVERED","HELD — COVERAGE",IF(OR(R172="PAIRED SYNCHRONIZED",R172="TRILATERAL SYNCHRONIZED"),"E ACTIONABLE","INDEPENDENT"))</x:f>
        <x:v>HELD — COVERAGE</x:v>
      </x:c>
      <x:c r="AA172" s="13" t="str">
        <x:f>IF(L172&lt;&gt;"COVERED","HELD — COVERAGE","WAIT FOR UPSTREAM COMPLETION")</x:f>
        <x:v>HELD — COVERAGE</x:v>
      </x:c>
      <x:c r="AB172" s="13" t="str">
        <x:f>IF(L172&lt;&gt;"COVERED","HELD — COVERAGE",IF(T172="UNRESOLVED","G DECISION REQUIRED",IF(T172="NOT APPLICABLE","G N/A","G ACTIONABLE")))</x:f>
        <x:v>HELD — COVERAGE</x:v>
      </x:c>
      <x:c r="AC172" s="13" t="str">
        <x:f>IF(L172="UNRESOLVED","COVERAGE FIRST",IF(OR(L172="EXCLUDED",L172="OUT OF SCOPE"),"CLOSED BY COVERAGE",IF(AND(L172="COVERED",T172&lt;&gt;"UNRESOLVED"),"PARTIALLY ADOPTED","DECISIONS REMAIN")))</x:f>
        <x:v>COVERAGE FIRST</x:v>
      </x:c>
    </x:row>
    <x:row r="173">
      <x:c r="A173" s="13" t="str">
        <x:v>NAAFTC-HS6-030344</x:v>
      </x:c>
      <x:c r="B173" s="13" t="str">
        <x:v>030344</x:v>
      </x:c>
      <x:c r="C173" s="13" t="str">
        <x:v>03</x:v>
      </x:c>
      <x:c r="D173" s="13" t="str">
        <x:v>TRILATERAL_1_TO_1_TO_1</x:v>
      </x:c>
      <x:c r="E173" s="13" t="str">
        <x:v>Pending</x:v>
      </x:c>
      <x:c r="F173" s="13" t="n">
        <x:v>1</x:v>
      </x:c>
      <x:c r="G173" s="13" t="n">
        <x:v>1</x:v>
      </x:c>
      <x:c r="H173" s="13" t="n">
        <x:v>1</x:v>
      </x:c>
      <x:c r="I173" s="13" t="str">
        <x:v>0303440000</x:v>
      </x:c>
      <x:c r="J173" s="13" t="str">
        <x:v>0303440100</x:v>
      </x:c>
      <x:c r="K173" s="13" t="str">
        <x:v>0303440000</x:v>
      </x:c>
      <x:c r="L173" s="13" t="str">
        <x:v>UNRESOLVED</x:v>
      </x:c>
      <x:c r="M173" s="13" t="str"/>
      <x:c r="N173" s="13" t="str">
        <x:v>NO / DEFAULT</x:v>
      </x:c>
      <x:c r="O173" s="13" t="str"/>
      <x:c r="P173" s="13" t="str">
        <x:v>NO / DEFAULT</x:v>
      </x:c>
      <x:c r="Q173" s="13" t="str"/>
      <x:c r="R173" s="13" t="str">
        <x:v>INDEPENDENT / DEFAULT</x:v>
      </x:c>
      <x:c r="S173" s="13" t="str"/>
      <x:c r="T173" s="13" t="str">
        <x:v>UNRESOLVED</x:v>
      </x:c>
      <x:c r="U173" s="13" t="str"/>
      <x:c r="V173" s="13" t="str"/>
      <x:c r="W173" s="13" t="str"/>
      <x:c r="X173" s="13" t="str">
        <x:f>IF(L173&lt;&gt;"COVERED","HELD — COVERAGE",IF(N173="YES — SENSITIVE","C ACTIONABLE","CHAPTER 5 DEFAULT"))</x:f>
        <x:v>HELD — COVERAGE</x:v>
      </x:c>
      <x:c r="Y173" s="13" t="str">
        <x:f>IF(L173&lt;&gt;"COVERED","HELD — COVERAGE",IF(P173="YES — MANAGED ACCESS","D ACTIONABLE","NO D FIELD"))</x:f>
        <x:v>HELD — COVERAGE</x:v>
      </x:c>
      <x:c r="Z173" s="13" t="str">
        <x:f>IF(L173&lt;&gt;"COVERED","HELD — COVERAGE",IF(OR(R173="PAIRED SYNCHRONIZED",R173="TRILATERAL SYNCHRONIZED"),"E ACTIONABLE","INDEPENDENT"))</x:f>
        <x:v>HELD — COVERAGE</x:v>
      </x:c>
      <x:c r="AA173" s="13" t="str">
        <x:f>IF(L173&lt;&gt;"COVERED","HELD — COVERAGE","WAIT FOR UPSTREAM COMPLETION")</x:f>
        <x:v>HELD — COVERAGE</x:v>
      </x:c>
      <x:c r="AB173" s="13" t="str">
        <x:f>IF(L173&lt;&gt;"COVERED","HELD — COVERAGE",IF(T173="UNRESOLVED","G DECISION REQUIRED",IF(T173="NOT APPLICABLE","G N/A","G ACTIONABLE")))</x:f>
        <x:v>HELD — COVERAGE</x:v>
      </x:c>
      <x:c r="AC173" s="13" t="str">
        <x:f>IF(L173="UNRESOLVED","COVERAGE FIRST",IF(OR(L173="EXCLUDED",L173="OUT OF SCOPE"),"CLOSED BY COVERAGE",IF(AND(L173="COVERED",T173&lt;&gt;"UNRESOLVED"),"PARTIALLY ADOPTED","DECISIONS REMAIN")))</x:f>
        <x:v>COVERAGE FIRST</x:v>
      </x:c>
    </x:row>
    <x:row r="174">
      <x:c r="A174" s="13" t="str">
        <x:v>NAAFTC-HS6-030345</x:v>
      </x:c>
      <x:c r="B174" s="13" t="str">
        <x:v>030345</x:v>
      </x:c>
      <x:c r="C174" s="13" t="str">
        <x:v>03</x:v>
      </x:c>
      <x:c r="D174" s="13" t="str">
        <x:v>TRILATERAL_SPLIT_MERGE</x:v>
      </x:c>
      <x:c r="E174" s="13" t="str">
        <x:v>Pending</x:v>
      </x:c>
      <x:c r="F174" s="13" t="n">
        <x:v>2</x:v>
      </x:c>
      <x:c r="G174" s="13" t="n">
        <x:v>1</x:v>
      </x:c>
      <x:c r="H174" s="13" t="n">
        <x:v>1</x:v>
      </x:c>
      <x:c r="I174" s="13" t="str">
        <x:v>0303450110; 0303450150</x:v>
      </x:c>
      <x:c r="J174" s="13" t="str">
        <x:v>0303450100</x:v>
      </x:c>
      <x:c r="K174" s="13" t="str">
        <x:v>0303450000</x:v>
      </x:c>
      <x:c r="L174" s="13" t="str">
        <x:v>UNRESOLVED</x:v>
      </x:c>
      <x:c r="M174" s="13" t="str"/>
      <x:c r="N174" s="13" t="str">
        <x:v>NO / DEFAULT</x:v>
      </x:c>
      <x:c r="O174" s="13" t="str"/>
      <x:c r="P174" s="13" t="str">
        <x:v>NO / DEFAULT</x:v>
      </x:c>
      <x:c r="Q174" s="13" t="str"/>
      <x:c r="R174" s="13" t="str">
        <x:v>INDEPENDENT / DEFAULT</x:v>
      </x:c>
      <x:c r="S174" s="13" t="str"/>
      <x:c r="T174" s="13" t="str">
        <x:v>UNRESOLVED</x:v>
      </x:c>
      <x:c r="U174" s="13" t="str"/>
      <x:c r="V174" s="13" t="str"/>
      <x:c r="W174" s="13" t="str"/>
      <x:c r="X174" s="13" t="str">
        <x:f>IF(L174&lt;&gt;"COVERED","HELD — COVERAGE",IF(N174="YES — SENSITIVE","C ACTIONABLE","CHAPTER 5 DEFAULT"))</x:f>
        <x:v>HELD — COVERAGE</x:v>
      </x:c>
      <x:c r="Y174" s="13" t="str">
        <x:f>IF(L174&lt;&gt;"COVERED","HELD — COVERAGE",IF(P174="YES — MANAGED ACCESS","D ACTIONABLE","NO D FIELD"))</x:f>
        <x:v>HELD — COVERAGE</x:v>
      </x:c>
      <x:c r="Z174" s="13" t="str">
        <x:f>IF(L174&lt;&gt;"COVERED","HELD — COVERAGE",IF(OR(R174="PAIRED SYNCHRONIZED",R174="TRILATERAL SYNCHRONIZED"),"E ACTIONABLE","INDEPENDENT"))</x:f>
        <x:v>HELD — COVERAGE</x:v>
      </x:c>
      <x:c r="AA174" s="13" t="str">
        <x:f>IF(L174&lt;&gt;"COVERED","HELD — COVERAGE","WAIT FOR UPSTREAM COMPLETION")</x:f>
        <x:v>HELD — COVERAGE</x:v>
      </x:c>
      <x:c r="AB174" s="13" t="str">
        <x:f>IF(L174&lt;&gt;"COVERED","HELD — COVERAGE",IF(T174="UNRESOLVED","G DECISION REQUIRED",IF(T174="NOT APPLICABLE","G N/A","G ACTIONABLE")))</x:f>
        <x:v>HELD — COVERAGE</x:v>
      </x:c>
      <x:c r="AC174" s="13" t="str">
        <x:f>IF(L174="UNRESOLVED","COVERAGE FIRST",IF(OR(L174="EXCLUDED",L174="OUT OF SCOPE"),"CLOSED BY COVERAGE",IF(AND(L174="COVERED",T174&lt;&gt;"UNRESOLVED"),"PARTIALLY ADOPTED","DECISIONS REMAIN")))</x:f>
        <x:v>COVERAGE FIRST</x:v>
      </x:c>
    </x:row>
    <x:row r="175">
      <x:c r="A175" s="13" t="str">
        <x:v>NAAFTC-HS6-030346</x:v>
      </x:c>
      <x:c r="B175" s="13" t="str">
        <x:v>030346</x:v>
      </x:c>
      <x:c r="C175" s="13" t="str">
        <x:v>03</x:v>
      </x:c>
      <x:c r="D175" s="13" t="str">
        <x:v>TRILATERAL_1_TO_1_TO_1</x:v>
      </x:c>
      <x:c r="E175" s="13" t="str">
        <x:v>Pending</x:v>
      </x:c>
      <x:c r="F175" s="13" t="n">
        <x:v>1</x:v>
      </x:c>
      <x:c r="G175" s="13" t="n">
        <x:v>1</x:v>
      </x:c>
      <x:c r="H175" s="13" t="n">
        <x:v>1</x:v>
      </x:c>
      <x:c r="I175" s="13" t="str">
        <x:v>0303460000</x:v>
      </x:c>
      <x:c r="J175" s="13" t="str">
        <x:v>0303460100</x:v>
      </x:c>
      <x:c r="K175" s="13" t="str">
        <x:v>0303460000</x:v>
      </x:c>
      <x:c r="L175" s="13" t="str">
        <x:v>UNRESOLVED</x:v>
      </x:c>
      <x:c r="M175" s="13" t="str"/>
      <x:c r="N175" s="13" t="str">
        <x:v>NO / DEFAULT</x:v>
      </x:c>
      <x:c r="O175" s="13" t="str"/>
      <x:c r="P175" s="13" t="str">
        <x:v>NO / DEFAULT</x:v>
      </x:c>
      <x:c r="Q175" s="13" t="str"/>
      <x:c r="R175" s="13" t="str">
        <x:v>INDEPENDENT / DEFAULT</x:v>
      </x:c>
      <x:c r="S175" s="13" t="str"/>
      <x:c r="T175" s="13" t="str">
        <x:v>UNRESOLVED</x:v>
      </x:c>
      <x:c r="U175" s="13" t="str"/>
      <x:c r="V175" s="13" t="str"/>
      <x:c r="W175" s="13" t="str"/>
      <x:c r="X175" s="13" t="str">
        <x:f>IF(L175&lt;&gt;"COVERED","HELD — COVERAGE",IF(N175="YES — SENSITIVE","C ACTIONABLE","CHAPTER 5 DEFAULT"))</x:f>
        <x:v>HELD — COVERAGE</x:v>
      </x:c>
      <x:c r="Y175" s="13" t="str">
        <x:f>IF(L175&lt;&gt;"COVERED","HELD — COVERAGE",IF(P175="YES — MANAGED ACCESS","D ACTIONABLE","NO D FIELD"))</x:f>
        <x:v>HELD — COVERAGE</x:v>
      </x:c>
      <x:c r="Z175" s="13" t="str">
        <x:f>IF(L175&lt;&gt;"COVERED","HELD — COVERAGE",IF(OR(R175="PAIRED SYNCHRONIZED",R175="TRILATERAL SYNCHRONIZED"),"E ACTIONABLE","INDEPENDENT"))</x:f>
        <x:v>HELD — COVERAGE</x:v>
      </x:c>
      <x:c r="AA175" s="13" t="str">
        <x:f>IF(L175&lt;&gt;"COVERED","HELD — COVERAGE","WAIT FOR UPSTREAM COMPLETION")</x:f>
        <x:v>HELD — COVERAGE</x:v>
      </x:c>
      <x:c r="AB175" s="13" t="str">
        <x:f>IF(L175&lt;&gt;"COVERED","HELD — COVERAGE",IF(T175="UNRESOLVED","G DECISION REQUIRED",IF(T175="NOT APPLICABLE","G N/A","G ACTIONABLE")))</x:f>
        <x:v>HELD — COVERAGE</x:v>
      </x:c>
      <x:c r="AC175" s="13" t="str">
        <x:f>IF(L175="UNRESOLVED","COVERAGE FIRST",IF(OR(L175="EXCLUDED",L175="OUT OF SCOPE"),"CLOSED BY COVERAGE",IF(AND(L175="COVERED",T175&lt;&gt;"UNRESOLVED"),"PARTIALLY ADOPTED","DECISIONS REMAIN")))</x:f>
        <x:v>COVERAGE FIRST</x:v>
      </x:c>
    </x:row>
    <x:row r="176">
      <x:c r="A176" s="13" t="str">
        <x:v>NAAFTC-HS6-030349</x:v>
      </x:c>
      <x:c r="B176" s="13" t="str">
        <x:v>030349</x:v>
      </x:c>
      <x:c r="C176" s="13" t="str">
        <x:v>03</x:v>
      </x:c>
      <x:c r="D176" s="13" t="str">
        <x:v>TRILATERAL_1_TO_1_TO_1</x:v>
      </x:c>
      <x:c r="E176" s="13" t="str">
        <x:v>Pending</x:v>
      </x:c>
      <x:c r="F176" s="13" t="n">
        <x:v>1</x:v>
      </x:c>
      <x:c r="G176" s="13" t="n">
        <x:v>1</x:v>
      </x:c>
      <x:c r="H176" s="13" t="n">
        <x:v>1</x:v>
      </x:c>
      <x:c r="I176" s="13" t="str">
        <x:v>0303490200</x:v>
      </x:c>
      <x:c r="J176" s="13" t="str">
        <x:v>0303499900</x:v>
      </x:c>
      <x:c r="K176" s="13" t="str">
        <x:v>0303490000</x:v>
      </x:c>
      <x:c r="L176" s="13" t="str">
        <x:v>UNRESOLVED</x:v>
      </x:c>
      <x:c r="M176" s="13" t="str"/>
      <x:c r="N176" s="13" t="str">
        <x:v>NO / DEFAULT</x:v>
      </x:c>
      <x:c r="O176" s="13" t="str"/>
      <x:c r="P176" s="13" t="str">
        <x:v>NO / DEFAULT</x:v>
      </x:c>
      <x:c r="Q176" s="13" t="str"/>
      <x:c r="R176" s="13" t="str">
        <x:v>INDEPENDENT / DEFAULT</x:v>
      </x:c>
      <x:c r="S176" s="13" t="str"/>
      <x:c r="T176" s="13" t="str">
        <x:v>UNRESOLVED</x:v>
      </x:c>
      <x:c r="U176" s="13" t="str"/>
      <x:c r="V176" s="13" t="str"/>
      <x:c r="W176" s="13" t="str"/>
      <x:c r="X176" s="13" t="str">
        <x:f>IF(L176&lt;&gt;"COVERED","HELD — COVERAGE",IF(N176="YES — SENSITIVE","C ACTIONABLE","CHAPTER 5 DEFAULT"))</x:f>
        <x:v>HELD — COVERAGE</x:v>
      </x:c>
      <x:c r="Y176" s="13" t="str">
        <x:f>IF(L176&lt;&gt;"COVERED","HELD — COVERAGE",IF(P176="YES — MANAGED ACCESS","D ACTIONABLE","NO D FIELD"))</x:f>
        <x:v>HELD — COVERAGE</x:v>
      </x:c>
      <x:c r="Z176" s="13" t="str">
        <x:f>IF(L176&lt;&gt;"COVERED","HELD — COVERAGE",IF(OR(R176="PAIRED SYNCHRONIZED",R176="TRILATERAL SYNCHRONIZED"),"E ACTIONABLE","INDEPENDENT"))</x:f>
        <x:v>HELD — COVERAGE</x:v>
      </x:c>
      <x:c r="AA176" s="13" t="str">
        <x:f>IF(L176&lt;&gt;"COVERED","HELD — COVERAGE","WAIT FOR UPSTREAM COMPLETION")</x:f>
        <x:v>HELD — COVERAGE</x:v>
      </x:c>
      <x:c r="AB176" s="13" t="str">
        <x:f>IF(L176&lt;&gt;"COVERED","HELD — COVERAGE",IF(T176="UNRESOLVED","G DECISION REQUIRED",IF(T176="NOT APPLICABLE","G N/A","G ACTIONABLE")))</x:f>
        <x:v>HELD — COVERAGE</x:v>
      </x:c>
      <x:c r="AC176" s="13" t="str">
        <x:f>IF(L176="UNRESOLVED","COVERAGE FIRST",IF(OR(L176="EXCLUDED",L176="OUT OF SCOPE"),"CLOSED BY COVERAGE",IF(AND(L176="COVERED",T176&lt;&gt;"UNRESOLVED"),"PARTIALLY ADOPTED","DECISIONS REMAIN")))</x:f>
        <x:v>COVERAGE FIRST</x:v>
      </x:c>
    </x:row>
    <x:row r="177">
      <x:c r="A177" s="13" t="str">
        <x:v>NAAFTC-HS6-030351</x:v>
      </x:c>
      <x:c r="B177" s="13" t="str">
        <x:v>030351</x:v>
      </x:c>
      <x:c r="C177" s="13" t="str">
        <x:v>03</x:v>
      </x:c>
      <x:c r="D177" s="13" t="str">
        <x:v>TRILATERAL_1_TO_1_TO_1</x:v>
      </x:c>
      <x:c r="E177" s="13" t="str">
        <x:v>Pending</x:v>
      </x:c>
      <x:c r="F177" s="13" t="n">
        <x:v>1</x:v>
      </x:c>
      <x:c r="G177" s="13" t="n">
        <x:v>1</x:v>
      </x:c>
      <x:c r="H177" s="13" t="n">
        <x:v>1</x:v>
      </x:c>
      <x:c r="I177" s="13" t="str">
        <x:v>0303510000</x:v>
      </x:c>
      <x:c r="J177" s="13" t="str">
        <x:v>0303510100</x:v>
      </x:c>
      <x:c r="K177" s="13" t="str">
        <x:v>0303510000</x:v>
      </x:c>
      <x:c r="L177" s="13" t="str">
        <x:v>UNRESOLVED</x:v>
      </x:c>
      <x:c r="M177" s="13" t="str"/>
      <x:c r="N177" s="13" t="str">
        <x:v>NO / DEFAULT</x:v>
      </x:c>
      <x:c r="O177" s="13" t="str"/>
      <x:c r="P177" s="13" t="str">
        <x:v>NO / DEFAULT</x:v>
      </x:c>
      <x:c r="Q177" s="13" t="str"/>
      <x:c r="R177" s="13" t="str">
        <x:v>INDEPENDENT / DEFAULT</x:v>
      </x:c>
      <x:c r="S177" s="13" t="str"/>
      <x:c r="T177" s="13" t="str">
        <x:v>UNRESOLVED</x:v>
      </x:c>
      <x:c r="U177" s="13" t="str"/>
      <x:c r="V177" s="13" t="str"/>
      <x:c r="W177" s="13" t="str"/>
      <x:c r="X177" s="13" t="str">
        <x:f>IF(L177&lt;&gt;"COVERED","HELD — COVERAGE",IF(N177="YES — SENSITIVE","C ACTIONABLE","CHAPTER 5 DEFAULT"))</x:f>
        <x:v>HELD — COVERAGE</x:v>
      </x:c>
      <x:c r="Y177" s="13" t="str">
        <x:f>IF(L177&lt;&gt;"COVERED","HELD — COVERAGE",IF(P177="YES — MANAGED ACCESS","D ACTIONABLE","NO D FIELD"))</x:f>
        <x:v>HELD — COVERAGE</x:v>
      </x:c>
      <x:c r="Z177" s="13" t="str">
        <x:f>IF(L177&lt;&gt;"COVERED","HELD — COVERAGE",IF(OR(R177="PAIRED SYNCHRONIZED",R177="TRILATERAL SYNCHRONIZED"),"E ACTIONABLE","INDEPENDENT"))</x:f>
        <x:v>HELD — COVERAGE</x:v>
      </x:c>
      <x:c r="AA177" s="13" t="str">
        <x:f>IF(L177&lt;&gt;"COVERED","HELD — COVERAGE","WAIT FOR UPSTREAM COMPLETION")</x:f>
        <x:v>HELD — COVERAGE</x:v>
      </x:c>
      <x:c r="AB177" s="13" t="str">
        <x:f>IF(L177&lt;&gt;"COVERED","HELD — COVERAGE",IF(T177="UNRESOLVED","G DECISION REQUIRED",IF(T177="NOT APPLICABLE","G N/A","G ACTIONABLE")))</x:f>
        <x:v>HELD — COVERAGE</x:v>
      </x:c>
      <x:c r="AC177" s="13" t="str">
        <x:f>IF(L177="UNRESOLVED","COVERAGE FIRST",IF(OR(L177="EXCLUDED",L177="OUT OF SCOPE"),"CLOSED BY COVERAGE",IF(AND(L177="COVERED",T177&lt;&gt;"UNRESOLVED"),"PARTIALLY ADOPTED","DECISIONS REMAIN")))</x:f>
        <x:v>COVERAGE FIRST</x:v>
      </x:c>
    </x:row>
    <x:row r="178">
      <x:c r="A178" s="13" t="str">
        <x:v>NAAFTC-HS6-030353</x:v>
      </x:c>
      <x:c r="B178" s="13" t="str">
        <x:v>030353</x:v>
      </x:c>
      <x:c r="C178" s="13" t="str">
        <x:v>03</x:v>
      </x:c>
      <x:c r="D178" s="13" t="str">
        <x:v>TRILATERAL_1_TO_1_TO_1</x:v>
      </x:c>
      <x:c r="E178" s="13" t="str">
        <x:v>Pending</x:v>
      </x:c>
      <x:c r="F178" s="13" t="n">
        <x:v>1</x:v>
      </x:c>
      <x:c r="G178" s="13" t="n">
        <x:v>1</x:v>
      </x:c>
      <x:c r="H178" s="13" t="n">
        <x:v>1</x:v>
      </x:c>
      <x:c r="I178" s="13" t="str">
        <x:v>0303530000</x:v>
      </x:c>
      <x:c r="J178" s="13" t="str">
        <x:v>0303530100</x:v>
      </x:c>
      <x:c r="K178" s="13" t="str">
        <x:v>0303530000</x:v>
      </x:c>
      <x:c r="L178" s="13" t="str">
        <x:v>UNRESOLVED</x:v>
      </x:c>
      <x:c r="M178" s="13" t="str"/>
      <x:c r="N178" s="13" t="str">
        <x:v>NO / DEFAULT</x:v>
      </x:c>
      <x:c r="O178" s="13" t="str"/>
      <x:c r="P178" s="13" t="str">
        <x:v>NO / DEFAULT</x:v>
      </x:c>
      <x:c r="Q178" s="13" t="str"/>
      <x:c r="R178" s="13" t="str">
        <x:v>INDEPENDENT / DEFAULT</x:v>
      </x:c>
      <x:c r="S178" s="13" t="str"/>
      <x:c r="T178" s="13" t="str">
        <x:v>UNRESOLVED</x:v>
      </x:c>
      <x:c r="U178" s="13" t="str"/>
      <x:c r="V178" s="13" t="str"/>
      <x:c r="W178" s="13" t="str"/>
      <x:c r="X178" s="13" t="str">
        <x:f>IF(L178&lt;&gt;"COVERED","HELD — COVERAGE",IF(N178="YES — SENSITIVE","C ACTIONABLE","CHAPTER 5 DEFAULT"))</x:f>
        <x:v>HELD — COVERAGE</x:v>
      </x:c>
      <x:c r="Y178" s="13" t="str">
        <x:f>IF(L178&lt;&gt;"COVERED","HELD — COVERAGE",IF(P178="YES — MANAGED ACCESS","D ACTIONABLE","NO D FIELD"))</x:f>
        <x:v>HELD — COVERAGE</x:v>
      </x:c>
      <x:c r="Z178" s="13" t="str">
        <x:f>IF(L178&lt;&gt;"COVERED","HELD — COVERAGE",IF(OR(R178="PAIRED SYNCHRONIZED",R178="TRILATERAL SYNCHRONIZED"),"E ACTIONABLE","INDEPENDENT"))</x:f>
        <x:v>HELD — COVERAGE</x:v>
      </x:c>
      <x:c r="AA178" s="13" t="str">
        <x:f>IF(L178&lt;&gt;"COVERED","HELD — COVERAGE","WAIT FOR UPSTREAM COMPLETION")</x:f>
        <x:v>HELD — COVERAGE</x:v>
      </x:c>
      <x:c r="AB178" s="13" t="str">
        <x:f>IF(L178&lt;&gt;"COVERED","HELD — COVERAGE",IF(T178="UNRESOLVED","G DECISION REQUIRED",IF(T178="NOT APPLICABLE","G N/A","G ACTIONABLE")))</x:f>
        <x:v>HELD — COVERAGE</x:v>
      </x:c>
      <x:c r="AC178" s="13" t="str">
        <x:f>IF(L178="UNRESOLVED","COVERAGE FIRST",IF(OR(L178="EXCLUDED",L178="OUT OF SCOPE"),"CLOSED BY COVERAGE",IF(AND(L178="COVERED",T178&lt;&gt;"UNRESOLVED"),"PARTIALLY ADOPTED","DECISIONS REMAIN")))</x:f>
        <x:v>COVERAGE FIRST</x:v>
      </x:c>
    </x:row>
    <x:row r="179">
      <x:c r="A179" s="13" t="str">
        <x:v>NAAFTC-HS6-030354</x:v>
      </x:c>
      <x:c r="B179" s="13" t="str">
        <x:v>030354</x:v>
      </x:c>
      <x:c r="C179" s="13" t="str">
        <x:v>03</x:v>
      </x:c>
      <x:c r="D179" s="13" t="str">
        <x:v>TRILATERAL_1_TO_1_TO_1</x:v>
      </x:c>
      <x:c r="E179" s="13" t="str">
        <x:v>Pending</x:v>
      </x:c>
      <x:c r="F179" s="13" t="n">
        <x:v>1</x:v>
      </x:c>
      <x:c r="G179" s="13" t="n">
        <x:v>1</x:v>
      </x:c>
      <x:c r="H179" s="13" t="n">
        <x:v>1</x:v>
      </x:c>
      <x:c r="I179" s="13" t="str">
        <x:v>0303540000</x:v>
      </x:c>
      <x:c r="J179" s="13" t="str">
        <x:v>0303540100</x:v>
      </x:c>
      <x:c r="K179" s="13" t="str">
        <x:v>0303540000</x:v>
      </x:c>
      <x:c r="L179" s="13" t="str">
        <x:v>UNRESOLVED</x:v>
      </x:c>
      <x:c r="M179" s="13" t="str"/>
      <x:c r="N179" s="13" t="str">
        <x:v>NO / DEFAULT</x:v>
      </x:c>
      <x:c r="O179" s="13" t="str"/>
      <x:c r="P179" s="13" t="str">
        <x:v>NO / DEFAULT</x:v>
      </x:c>
      <x:c r="Q179" s="13" t="str"/>
      <x:c r="R179" s="13" t="str">
        <x:v>INDEPENDENT / DEFAULT</x:v>
      </x:c>
      <x:c r="S179" s="13" t="str"/>
      <x:c r="T179" s="13" t="str">
        <x:v>UNRESOLVED</x:v>
      </x:c>
      <x:c r="U179" s="13" t="str"/>
      <x:c r="V179" s="13" t="str"/>
      <x:c r="W179" s="13" t="str"/>
      <x:c r="X179" s="13" t="str">
        <x:f>IF(L179&lt;&gt;"COVERED","HELD — COVERAGE",IF(N179="YES — SENSITIVE","C ACTIONABLE","CHAPTER 5 DEFAULT"))</x:f>
        <x:v>HELD — COVERAGE</x:v>
      </x:c>
      <x:c r="Y179" s="13" t="str">
        <x:f>IF(L179&lt;&gt;"COVERED","HELD — COVERAGE",IF(P179="YES — MANAGED ACCESS","D ACTIONABLE","NO D FIELD"))</x:f>
        <x:v>HELD — COVERAGE</x:v>
      </x:c>
      <x:c r="Z179" s="13" t="str">
        <x:f>IF(L179&lt;&gt;"COVERED","HELD — COVERAGE",IF(OR(R179="PAIRED SYNCHRONIZED",R179="TRILATERAL SYNCHRONIZED"),"E ACTIONABLE","INDEPENDENT"))</x:f>
        <x:v>HELD — COVERAGE</x:v>
      </x:c>
      <x:c r="AA179" s="13" t="str">
        <x:f>IF(L179&lt;&gt;"COVERED","HELD — COVERAGE","WAIT FOR UPSTREAM COMPLETION")</x:f>
        <x:v>HELD — COVERAGE</x:v>
      </x:c>
      <x:c r="AB179" s="13" t="str">
        <x:f>IF(L179&lt;&gt;"COVERED","HELD — COVERAGE",IF(T179="UNRESOLVED","G DECISION REQUIRED",IF(T179="NOT APPLICABLE","G N/A","G ACTIONABLE")))</x:f>
        <x:v>HELD — COVERAGE</x:v>
      </x:c>
      <x:c r="AC179" s="13" t="str">
        <x:f>IF(L179="UNRESOLVED","COVERAGE FIRST",IF(OR(L179="EXCLUDED",L179="OUT OF SCOPE"),"CLOSED BY COVERAGE",IF(AND(L179="COVERED",T179&lt;&gt;"UNRESOLVED"),"PARTIALLY ADOPTED","DECISIONS REMAIN")))</x:f>
        <x:v>COVERAGE FIRST</x:v>
      </x:c>
    </x:row>
    <x:row r="180">
      <x:c r="A180" s="13" t="str">
        <x:v>NAAFTC-HS6-030355</x:v>
      </x:c>
      <x:c r="B180" s="13" t="str">
        <x:v>030355</x:v>
      </x:c>
      <x:c r="C180" s="13" t="str">
        <x:v>03</x:v>
      </x:c>
      <x:c r="D180" s="13" t="str">
        <x:v>TRILATERAL_1_TO_1_TO_1</x:v>
      </x:c>
      <x:c r="E180" s="13" t="str">
        <x:v>Pending</x:v>
      </x:c>
      <x:c r="F180" s="13" t="n">
        <x:v>1</x:v>
      </x:c>
      <x:c r="G180" s="13" t="n">
        <x:v>1</x:v>
      </x:c>
      <x:c r="H180" s="13" t="n">
        <x:v>1</x:v>
      </x:c>
      <x:c r="I180" s="13" t="str">
        <x:v>0303550000</x:v>
      </x:c>
      <x:c r="J180" s="13" t="str">
        <x:v>0303550100</x:v>
      </x:c>
      <x:c r="K180" s="13" t="str">
        <x:v>0303550000</x:v>
      </x:c>
      <x:c r="L180" s="13" t="str">
        <x:v>UNRESOLVED</x:v>
      </x:c>
      <x:c r="M180" s="13" t="str"/>
      <x:c r="N180" s="13" t="str">
        <x:v>NO / DEFAULT</x:v>
      </x:c>
      <x:c r="O180" s="13" t="str"/>
      <x:c r="P180" s="13" t="str">
        <x:v>NO / DEFAULT</x:v>
      </x:c>
      <x:c r="Q180" s="13" t="str"/>
      <x:c r="R180" s="13" t="str">
        <x:v>INDEPENDENT / DEFAULT</x:v>
      </x:c>
      <x:c r="S180" s="13" t="str"/>
      <x:c r="T180" s="13" t="str">
        <x:v>UNRESOLVED</x:v>
      </x:c>
      <x:c r="U180" s="13" t="str"/>
      <x:c r="V180" s="13" t="str"/>
      <x:c r="W180" s="13" t="str"/>
      <x:c r="X180" s="13" t="str">
        <x:f>IF(L180&lt;&gt;"COVERED","HELD — COVERAGE",IF(N180="YES — SENSITIVE","C ACTIONABLE","CHAPTER 5 DEFAULT"))</x:f>
        <x:v>HELD — COVERAGE</x:v>
      </x:c>
      <x:c r="Y180" s="13" t="str">
        <x:f>IF(L180&lt;&gt;"COVERED","HELD — COVERAGE",IF(P180="YES — MANAGED ACCESS","D ACTIONABLE","NO D FIELD"))</x:f>
        <x:v>HELD — COVERAGE</x:v>
      </x:c>
      <x:c r="Z180" s="13" t="str">
        <x:f>IF(L180&lt;&gt;"COVERED","HELD — COVERAGE",IF(OR(R180="PAIRED SYNCHRONIZED",R180="TRILATERAL SYNCHRONIZED"),"E ACTIONABLE","INDEPENDENT"))</x:f>
        <x:v>HELD — COVERAGE</x:v>
      </x:c>
      <x:c r="AA180" s="13" t="str">
        <x:f>IF(L180&lt;&gt;"COVERED","HELD — COVERAGE","WAIT FOR UPSTREAM COMPLETION")</x:f>
        <x:v>HELD — COVERAGE</x:v>
      </x:c>
      <x:c r="AB180" s="13" t="str">
        <x:f>IF(L180&lt;&gt;"COVERED","HELD — COVERAGE",IF(T180="UNRESOLVED","G DECISION REQUIRED",IF(T180="NOT APPLICABLE","G N/A","G ACTIONABLE")))</x:f>
        <x:v>HELD — COVERAGE</x:v>
      </x:c>
      <x:c r="AC180" s="13" t="str">
        <x:f>IF(L180="UNRESOLVED","COVERAGE FIRST",IF(OR(L180="EXCLUDED",L180="OUT OF SCOPE"),"CLOSED BY COVERAGE",IF(AND(L180="COVERED",T180&lt;&gt;"UNRESOLVED"),"PARTIALLY ADOPTED","DECISIONS REMAIN")))</x:f>
        <x:v>COVERAGE FIRST</x:v>
      </x:c>
    </x:row>
    <x:row r="181">
      <x:c r="A181" s="13" t="str">
        <x:v>NAAFTC-HS6-030356</x:v>
      </x:c>
      <x:c r="B181" s="13" t="str">
        <x:v>030356</x:v>
      </x:c>
      <x:c r="C181" s="13" t="str">
        <x:v>03</x:v>
      </x:c>
      <x:c r="D181" s="13" t="str">
        <x:v>TRILATERAL_1_TO_1_TO_1</x:v>
      </x:c>
      <x:c r="E181" s="13" t="str">
        <x:v>Pending</x:v>
      </x:c>
      <x:c r="F181" s="13" t="n">
        <x:v>1</x:v>
      </x:c>
      <x:c r="G181" s="13" t="n">
        <x:v>1</x:v>
      </x:c>
      <x:c r="H181" s="13" t="n">
        <x:v>1</x:v>
      </x:c>
      <x:c r="I181" s="13" t="str">
        <x:v>0303560000</x:v>
      </x:c>
      <x:c r="J181" s="13" t="str">
        <x:v>0303560100</x:v>
      </x:c>
      <x:c r="K181" s="13" t="str">
        <x:v>0303560000</x:v>
      </x:c>
      <x:c r="L181" s="13" t="str">
        <x:v>UNRESOLVED</x:v>
      </x:c>
      <x:c r="M181" s="13" t="str"/>
      <x:c r="N181" s="13" t="str">
        <x:v>NO / DEFAULT</x:v>
      </x:c>
      <x:c r="O181" s="13" t="str"/>
      <x:c r="P181" s="13" t="str">
        <x:v>NO / DEFAULT</x:v>
      </x:c>
      <x:c r="Q181" s="13" t="str"/>
      <x:c r="R181" s="13" t="str">
        <x:v>INDEPENDENT / DEFAULT</x:v>
      </x:c>
      <x:c r="S181" s="13" t="str"/>
      <x:c r="T181" s="13" t="str">
        <x:v>UNRESOLVED</x:v>
      </x:c>
      <x:c r="U181" s="13" t="str"/>
      <x:c r="V181" s="13" t="str"/>
      <x:c r="W181" s="13" t="str"/>
      <x:c r="X181" s="13" t="str">
        <x:f>IF(L181&lt;&gt;"COVERED","HELD — COVERAGE",IF(N181="YES — SENSITIVE","C ACTIONABLE","CHAPTER 5 DEFAULT"))</x:f>
        <x:v>HELD — COVERAGE</x:v>
      </x:c>
      <x:c r="Y181" s="13" t="str">
        <x:f>IF(L181&lt;&gt;"COVERED","HELD — COVERAGE",IF(P181="YES — MANAGED ACCESS","D ACTIONABLE","NO D FIELD"))</x:f>
        <x:v>HELD — COVERAGE</x:v>
      </x:c>
      <x:c r="Z181" s="13" t="str">
        <x:f>IF(L181&lt;&gt;"COVERED","HELD — COVERAGE",IF(OR(R181="PAIRED SYNCHRONIZED",R181="TRILATERAL SYNCHRONIZED"),"E ACTIONABLE","INDEPENDENT"))</x:f>
        <x:v>HELD — COVERAGE</x:v>
      </x:c>
      <x:c r="AA181" s="13" t="str">
        <x:f>IF(L181&lt;&gt;"COVERED","HELD — COVERAGE","WAIT FOR UPSTREAM COMPLETION")</x:f>
        <x:v>HELD — COVERAGE</x:v>
      </x:c>
      <x:c r="AB181" s="13" t="str">
        <x:f>IF(L181&lt;&gt;"COVERED","HELD — COVERAGE",IF(T181="UNRESOLVED","G DECISION REQUIRED",IF(T181="NOT APPLICABLE","G N/A","G ACTIONABLE")))</x:f>
        <x:v>HELD — COVERAGE</x:v>
      </x:c>
      <x:c r="AC181" s="13" t="str">
        <x:f>IF(L181="UNRESOLVED","COVERAGE FIRST",IF(OR(L181="EXCLUDED",L181="OUT OF SCOPE"),"CLOSED BY COVERAGE",IF(AND(L181="COVERED",T181&lt;&gt;"UNRESOLVED"),"PARTIALLY ADOPTED","DECISIONS REMAIN")))</x:f>
        <x:v>COVERAGE FIRST</x:v>
      </x:c>
    </x:row>
    <x:row r="182">
      <x:c r="A182" s="13" t="str">
        <x:v>NAAFTC-HS6-030357</x:v>
      </x:c>
      <x:c r="B182" s="13" t="str">
        <x:v>030357</x:v>
      </x:c>
      <x:c r="C182" s="13" t="str">
        <x:v>03</x:v>
      </x:c>
      <x:c r="D182" s="13" t="str">
        <x:v>TRILATERAL_SPLIT_MERGE</x:v>
      </x:c>
      <x:c r="E182" s="13" t="str">
        <x:v>Pending</x:v>
      </x:c>
      <x:c r="F182" s="13" t="n">
        <x:v>2</x:v>
      </x:c>
      <x:c r="G182" s="13" t="n">
        <x:v>1</x:v>
      </x:c>
      <x:c r="H182" s="13" t="n">
        <x:v>1</x:v>
      </x:c>
      <x:c r="I182" s="13" t="str">
        <x:v>0303570010; 0303570090</x:v>
      </x:c>
      <x:c r="J182" s="13" t="str">
        <x:v>0303570100</x:v>
      </x:c>
      <x:c r="K182" s="13" t="str">
        <x:v>0303570000</x:v>
      </x:c>
      <x:c r="L182" s="13" t="str">
        <x:v>UNRESOLVED</x:v>
      </x:c>
      <x:c r="M182" s="13" t="str"/>
      <x:c r="N182" s="13" t="str">
        <x:v>NO / DEFAULT</x:v>
      </x:c>
      <x:c r="O182" s="13" t="str"/>
      <x:c r="P182" s="13" t="str">
        <x:v>NO / DEFAULT</x:v>
      </x:c>
      <x:c r="Q182" s="13" t="str"/>
      <x:c r="R182" s="13" t="str">
        <x:v>INDEPENDENT / DEFAULT</x:v>
      </x:c>
      <x:c r="S182" s="13" t="str"/>
      <x:c r="T182" s="13" t="str">
        <x:v>UNRESOLVED</x:v>
      </x:c>
      <x:c r="U182" s="13" t="str"/>
      <x:c r="V182" s="13" t="str"/>
      <x:c r="W182" s="13" t="str"/>
      <x:c r="X182" s="13" t="str">
        <x:f>IF(L182&lt;&gt;"COVERED","HELD — COVERAGE",IF(N182="YES — SENSITIVE","C ACTIONABLE","CHAPTER 5 DEFAULT"))</x:f>
        <x:v>HELD — COVERAGE</x:v>
      </x:c>
      <x:c r="Y182" s="13" t="str">
        <x:f>IF(L182&lt;&gt;"COVERED","HELD — COVERAGE",IF(P182="YES — MANAGED ACCESS","D ACTIONABLE","NO D FIELD"))</x:f>
        <x:v>HELD — COVERAGE</x:v>
      </x:c>
      <x:c r="Z182" s="13" t="str">
        <x:f>IF(L182&lt;&gt;"COVERED","HELD — COVERAGE",IF(OR(R182="PAIRED SYNCHRONIZED",R182="TRILATERAL SYNCHRONIZED"),"E ACTIONABLE","INDEPENDENT"))</x:f>
        <x:v>HELD — COVERAGE</x:v>
      </x:c>
      <x:c r="AA182" s="13" t="str">
        <x:f>IF(L182&lt;&gt;"COVERED","HELD — COVERAGE","WAIT FOR UPSTREAM COMPLETION")</x:f>
        <x:v>HELD — COVERAGE</x:v>
      </x:c>
      <x:c r="AB182" s="13" t="str">
        <x:f>IF(L182&lt;&gt;"COVERED","HELD — COVERAGE",IF(T182="UNRESOLVED","G DECISION REQUIRED",IF(T182="NOT APPLICABLE","G N/A","G ACTIONABLE")))</x:f>
        <x:v>HELD — COVERAGE</x:v>
      </x:c>
      <x:c r="AC182" s="13" t="str">
        <x:f>IF(L182="UNRESOLVED","COVERAGE FIRST",IF(OR(L182="EXCLUDED",L182="OUT OF SCOPE"),"CLOSED BY COVERAGE",IF(AND(L182="COVERED",T182&lt;&gt;"UNRESOLVED"),"PARTIALLY ADOPTED","DECISIONS REMAIN")))</x:f>
        <x:v>COVERAGE FIRST</x:v>
      </x:c>
    </x:row>
    <x:row r="183">
      <x:c r="A183" s="13" t="str">
        <x:v>NAAFTC-HS6-030359</x:v>
      </x:c>
      <x:c r="B183" s="13" t="str">
        <x:v>030359</x:v>
      </x:c>
      <x:c r="C183" s="13" t="str">
        <x:v>03</x:v>
      </x:c>
      <x:c r="D183" s="13" t="str">
        <x:v>TRILATERAL_1_TO_1_TO_1</x:v>
      </x:c>
      <x:c r="E183" s="13" t="str">
        <x:v>Pending</x:v>
      </x:c>
      <x:c r="F183" s="13" t="n">
        <x:v>1</x:v>
      </x:c>
      <x:c r="G183" s="13" t="n">
        <x:v>1</x:v>
      </x:c>
      <x:c r="H183" s="13" t="n">
        <x:v>1</x:v>
      </x:c>
      <x:c r="I183" s="13" t="str">
        <x:v>0303590000</x:v>
      </x:c>
      <x:c r="J183" s="13" t="str">
        <x:v>0303599900</x:v>
      </x:c>
      <x:c r="K183" s="13" t="str">
        <x:v>0303590000</x:v>
      </x:c>
      <x:c r="L183" s="13" t="str">
        <x:v>UNRESOLVED</x:v>
      </x:c>
      <x:c r="M183" s="13" t="str"/>
      <x:c r="N183" s="13" t="str">
        <x:v>NO / DEFAULT</x:v>
      </x:c>
      <x:c r="O183" s="13" t="str"/>
      <x:c r="P183" s="13" t="str">
        <x:v>NO / DEFAULT</x:v>
      </x:c>
      <x:c r="Q183" s="13" t="str"/>
      <x:c r="R183" s="13" t="str">
        <x:v>INDEPENDENT / DEFAULT</x:v>
      </x:c>
      <x:c r="S183" s="13" t="str"/>
      <x:c r="T183" s="13" t="str">
        <x:v>UNRESOLVED</x:v>
      </x:c>
      <x:c r="U183" s="13" t="str"/>
      <x:c r="V183" s="13" t="str"/>
      <x:c r="W183" s="13" t="str"/>
      <x:c r="X183" s="13" t="str">
        <x:f>IF(L183&lt;&gt;"COVERED","HELD — COVERAGE",IF(N183="YES — SENSITIVE","C ACTIONABLE","CHAPTER 5 DEFAULT"))</x:f>
        <x:v>HELD — COVERAGE</x:v>
      </x:c>
      <x:c r="Y183" s="13" t="str">
        <x:f>IF(L183&lt;&gt;"COVERED","HELD — COVERAGE",IF(P183="YES — MANAGED ACCESS","D ACTIONABLE","NO D FIELD"))</x:f>
        <x:v>HELD — COVERAGE</x:v>
      </x:c>
      <x:c r="Z183" s="13" t="str">
        <x:f>IF(L183&lt;&gt;"COVERED","HELD — COVERAGE",IF(OR(R183="PAIRED SYNCHRONIZED",R183="TRILATERAL SYNCHRONIZED"),"E ACTIONABLE","INDEPENDENT"))</x:f>
        <x:v>HELD — COVERAGE</x:v>
      </x:c>
      <x:c r="AA183" s="13" t="str">
        <x:f>IF(L183&lt;&gt;"COVERED","HELD — COVERAGE","WAIT FOR UPSTREAM COMPLETION")</x:f>
        <x:v>HELD — COVERAGE</x:v>
      </x:c>
      <x:c r="AB183" s="13" t="str">
        <x:f>IF(L183&lt;&gt;"COVERED","HELD — COVERAGE",IF(T183="UNRESOLVED","G DECISION REQUIRED",IF(T183="NOT APPLICABLE","G N/A","G ACTIONABLE")))</x:f>
        <x:v>HELD — COVERAGE</x:v>
      </x:c>
      <x:c r="AC183" s="13" t="str">
        <x:f>IF(L183="UNRESOLVED","COVERAGE FIRST",IF(OR(L183="EXCLUDED",L183="OUT OF SCOPE"),"CLOSED BY COVERAGE",IF(AND(L183="COVERED",T183&lt;&gt;"UNRESOLVED"),"PARTIALLY ADOPTED","DECISIONS REMAIN")))</x:f>
        <x:v>COVERAGE FIRST</x:v>
      </x:c>
    </x:row>
    <x:row r="184">
      <x:c r="A184" s="13" t="str">
        <x:v>NAAFTC-HS6-030363</x:v>
      </x:c>
      <x:c r="B184" s="13" t="str">
        <x:v>030363</x:v>
      </x:c>
      <x:c r="C184" s="13" t="str">
        <x:v>03</x:v>
      </x:c>
      <x:c r="D184" s="13" t="str">
        <x:v>TRILATERAL_SPLIT_MERGE</x:v>
      </x:c>
      <x:c r="E184" s="13" t="str">
        <x:v>Pending</x:v>
      </x:c>
      <x:c r="F184" s="13" t="n">
        <x:v>2</x:v>
      </x:c>
      <x:c r="G184" s="13" t="n">
        <x:v>1</x:v>
      </x:c>
      <x:c r="H184" s="13" t="n">
        <x:v>1</x:v>
      </x:c>
      <x:c r="I184" s="13" t="str">
        <x:v>0303630010; 0303630090</x:v>
      </x:c>
      <x:c r="J184" s="13" t="str">
        <x:v>0303630100</x:v>
      </x:c>
      <x:c r="K184" s="13" t="str">
        <x:v>03036300</x:v>
      </x:c>
      <x:c r="L184" s="13" t="str">
        <x:v>UNRESOLVED</x:v>
      </x:c>
      <x:c r="M184" s="13" t="str"/>
      <x:c r="N184" s="13" t="str">
        <x:v>NO / DEFAULT</x:v>
      </x:c>
      <x:c r="O184" s="13" t="str"/>
      <x:c r="P184" s="13" t="str">
        <x:v>NO / DEFAULT</x:v>
      </x:c>
      <x:c r="Q184" s="13" t="str"/>
      <x:c r="R184" s="13" t="str">
        <x:v>INDEPENDENT / DEFAULT</x:v>
      </x:c>
      <x:c r="S184" s="13" t="str"/>
      <x:c r="T184" s="13" t="str">
        <x:v>UNRESOLVED</x:v>
      </x:c>
      <x:c r="U184" s="13" t="str"/>
      <x:c r="V184" s="13" t="str"/>
      <x:c r="W184" s="13" t="str"/>
      <x:c r="X184" s="13" t="str">
        <x:f>IF(L184&lt;&gt;"COVERED","HELD — COVERAGE",IF(N184="YES — SENSITIVE","C ACTIONABLE","CHAPTER 5 DEFAULT"))</x:f>
        <x:v>HELD — COVERAGE</x:v>
      </x:c>
      <x:c r="Y184" s="13" t="str">
        <x:f>IF(L184&lt;&gt;"COVERED","HELD — COVERAGE",IF(P184="YES — MANAGED ACCESS","D ACTIONABLE","NO D FIELD"))</x:f>
        <x:v>HELD — COVERAGE</x:v>
      </x:c>
      <x:c r="Z184" s="13" t="str">
        <x:f>IF(L184&lt;&gt;"COVERED","HELD — COVERAGE",IF(OR(R184="PAIRED SYNCHRONIZED",R184="TRILATERAL SYNCHRONIZED"),"E ACTIONABLE","INDEPENDENT"))</x:f>
        <x:v>HELD — COVERAGE</x:v>
      </x:c>
      <x:c r="AA184" s="13" t="str">
        <x:f>IF(L184&lt;&gt;"COVERED","HELD — COVERAGE","WAIT FOR UPSTREAM COMPLETION")</x:f>
        <x:v>HELD — COVERAGE</x:v>
      </x:c>
      <x:c r="AB184" s="13" t="str">
        <x:f>IF(L184&lt;&gt;"COVERED","HELD — COVERAGE",IF(T184="UNRESOLVED","G DECISION REQUIRED",IF(T184="NOT APPLICABLE","G N/A","G ACTIONABLE")))</x:f>
        <x:v>HELD — COVERAGE</x:v>
      </x:c>
      <x:c r="AC184" s="13" t="str">
        <x:f>IF(L184="UNRESOLVED","COVERAGE FIRST",IF(OR(L184="EXCLUDED",L184="OUT OF SCOPE"),"CLOSED BY COVERAGE",IF(AND(L184="COVERED",T184&lt;&gt;"UNRESOLVED"),"PARTIALLY ADOPTED","DECISIONS REMAIN")))</x:f>
        <x:v>COVERAGE FIRST</x:v>
      </x:c>
    </x:row>
    <x:row r="185">
      <x:c r="A185" s="13" t="str">
        <x:v>NAAFTC-HS6-030364</x:v>
      </x:c>
      <x:c r="B185" s="13" t="str">
        <x:v>030364</x:v>
      </x:c>
      <x:c r="C185" s="13" t="str">
        <x:v>03</x:v>
      </x:c>
      <x:c r="D185" s="13" t="str">
        <x:v>TRILATERAL_1_TO_1_TO_1</x:v>
      </x:c>
      <x:c r="E185" s="13" t="str">
        <x:v>Pending</x:v>
      </x:c>
      <x:c r="F185" s="13" t="n">
        <x:v>1</x:v>
      </x:c>
      <x:c r="G185" s="13" t="n">
        <x:v>1</x:v>
      </x:c>
      <x:c r="H185" s="13" t="n">
        <x:v>1</x:v>
      </x:c>
      <x:c r="I185" s="13" t="str">
        <x:v>0303640000</x:v>
      </x:c>
      <x:c r="J185" s="13" t="str">
        <x:v>0303640100</x:v>
      </x:c>
      <x:c r="K185" s="13" t="str">
        <x:v>0303640000</x:v>
      </x:c>
      <x:c r="L185" s="13" t="str">
        <x:v>UNRESOLVED</x:v>
      </x:c>
      <x:c r="M185" s="13" t="str"/>
      <x:c r="N185" s="13" t="str">
        <x:v>NO / DEFAULT</x:v>
      </x:c>
      <x:c r="O185" s="13" t="str"/>
      <x:c r="P185" s="13" t="str">
        <x:v>NO / DEFAULT</x:v>
      </x:c>
      <x:c r="Q185" s="13" t="str"/>
      <x:c r="R185" s="13" t="str">
        <x:v>INDEPENDENT / DEFAULT</x:v>
      </x:c>
      <x:c r="S185" s="13" t="str"/>
      <x:c r="T185" s="13" t="str">
        <x:v>UNRESOLVED</x:v>
      </x:c>
      <x:c r="U185" s="13" t="str"/>
      <x:c r="V185" s="13" t="str"/>
      <x:c r="W185" s="13" t="str"/>
      <x:c r="X185" s="13" t="str">
        <x:f>IF(L185&lt;&gt;"COVERED","HELD — COVERAGE",IF(N185="YES — SENSITIVE","C ACTIONABLE","CHAPTER 5 DEFAULT"))</x:f>
        <x:v>HELD — COVERAGE</x:v>
      </x:c>
      <x:c r="Y185" s="13" t="str">
        <x:f>IF(L185&lt;&gt;"COVERED","HELD — COVERAGE",IF(P185="YES — MANAGED ACCESS","D ACTIONABLE","NO D FIELD"))</x:f>
        <x:v>HELD — COVERAGE</x:v>
      </x:c>
      <x:c r="Z185" s="13" t="str">
        <x:f>IF(L185&lt;&gt;"COVERED","HELD — COVERAGE",IF(OR(R185="PAIRED SYNCHRONIZED",R185="TRILATERAL SYNCHRONIZED"),"E ACTIONABLE","INDEPENDENT"))</x:f>
        <x:v>HELD — COVERAGE</x:v>
      </x:c>
      <x:c r="AA185" s="13" t="str">
        <x:f>IF(L185&lt;&gt;"COVERED","HELD — COVERAGE","WAIT FOR UPSTREAM COMPLETION")</x:f>
        <x:v>HELD — COVERAGE</x:v>
      </x:c>
      <x:c r="AB185" s="13" t="str">
        <x:f>IF(L185&lt;&gt;"COVERED","HELD — COVERAGE",IF(T185="UNRESOLVED","G DECISION REQUIRED",IF(T185="NOT APPLICABLE","G N/A","G ACTIONABLE")))</x:f>
        <x:v>HELD — COVERAGE</x:v>
      </x:c>
      <x:c r="AC185" s="13" t="str">
        <x:f>IF(L185="UNRESOLVED","COVERAGE FIRST",IF(OR(L185="EXCLUDED",L185="OUT OF SCOPE"),"CLOSED BY COVERAGE",IF(AND(L185="COVERED",T185&lt;&gt;"UNRESOLVED"),"PARTIALLY ADOPTED","DECISIONS REMAIN")))</x:f>
        <x:v>COVERAGE FIRST</x:v>
      </x:c>
    </x:row>
    <x:row r="186">
      <x:c r="A186" s="13" t="str">
        <x:v>NAAFTC-HS6-030365</x:v>
      </x:c>
      <x:c r="B186" s="13" t="str">
        <x:v>030365</x:v>
      </x:c>
      <x:c r="C186" s="13" t="str">
        <x:v>03</x:v>
      </x:c>
      <x:c r="D186" s="13" t="str">
        <x:v>TRILATERAL_1_TO_1_TO_1</x:v>
      </x:c>
      <x:c r="E186" s="13" t="str">
        <x:v>Pending</x:v>
      </x:c>
      <x:c r="F186" s="13" t="n">
        <x:v>1</x:v>
      </x:c>
      <x:c r="G186" s="13" t="n">
        <x:v>1</x:v>
      </x:c>
      <x:c r="H186" s="13" t="n">
        <x:v>1</x:v>
      </x:c>
      <x:c r="I186" s="13" t="str">
        <x:v>0303650000</x:v>
      </x:c>
      <x:c r="J186" s="13" t="str">
        <x:v>0303650100</x:v>
      </x:c>
      <x:c r="K186" s="13" t="str">
        <x:v>0303650000</x:v>
      </x:c>
      <x:c r="L186" s="13" t="str">
        <x:v>UNRESOLVED</x:v>
      </x:c>
      <x:c r="M186" s="13" t="str"/>
      <x:c r="N186" s="13" t="str">
        <x:v>NO / DEFAULT</x:v>
      </x:c>
      <x:c r="O186" s="13" t="str"/>
      <x:c r="P186" s="13" t="str">
        <x:v>NO / DEFAULT</x:v>
      </x:c>
      <x:c r="Q186" s="13" t="str"/>
      <x:c r="R186" s="13" t="str">
        <x:v>INDEPENDENT / DEFAULT</x:v>
      </x:c>
      <x:c r="S186" s="13" t="str"/>
      <x:c r="T186" s="13" t="str">
        <x:v>UNRESOLVED</x:v>
      </x:c>
      <x:c r="U186" s="13" t="str"/>
      <x:c r="V186" s="13" t="str"/>
      <x:c r="W186" s="13" t="str"/>
      <x:c r="X186" s="13" t="str">
        <x:f>IF(L186&lt;&gt;"COVERED","HELD — COVERAGE",IF(N186="YES — SENSITIVE","C ACTIONABLE","CHAPTER 5 DEFAULT"))</x:f>
        <x:v>HELD — COVERAGE</x:v>
      </x:c>
      <x:c r="Y186" s="13" t="str">
        <x:f>IF(L186&lt;&gt;"COVERED","HELD — COVERAGE",IF(P186="YES — MANAGED ACCESS","D ACTIONABLE","NO D FIELD"))</x:f>
        <x:v>HELD — COVERAGE</x:v>
      </x:c>
      <x:c r="Z186" s="13" t="str">
        <x:f>IF(L186&lt;&gt;"COVERED","HELD — COVERAGE",IF(OR(R186="PAIRED SYNCHRONIZED",R186="TRILATERAL SYNCHRONIZED"),"E ACTIONABLE","INDEPENDENT"))</x:f>
        <x:v>HELD — COVERAGE</x:v>
      </x:c>
      <x:c r="AA186" s="13" t="str">
        <x:f>IF(L186&lt;&gt;"COVERED","HELD — COVERAGE","WAIT FOR UPSTREAM COMPLETION")</x:f>
        <x:v>HELD — COVERAGE</x:v>
      </x:c>
      <x:c r="AB186" s="13" t="str">
        <x:f>IF(L186&lt;&gt;"COVERED","HELD — COVERAGE",IF(T186="UNRESOLVED","G DECISION REQUIRED",IF(T186="NOT APPLICABLE","G N/A","G ACTIONABLE")))</x:f>
        <x:v>HELD — COVERAGE</x:v>
      </x:c>
      <x:c r="AC186" s="13" t="str">
        <x:f>IF(L186="UNRESOLVED","COVERAGE FIRST",IF(OR(L186="EXCLUDED",L186="OUT OF SCOPE"),"CLOSED BY COVERAGE",IF(AND(L186="COVERED",T186&lt;&gt;"UNRESOLVED"),"PARTIALLY ADOPTED","DECISIONS REMAIN")))</x:f>
        <x:v>COVERAGE FIRST</x:v>
      </x:c>
    </x:row>
    <x:row r="187">
      <x:c r="A187" s="13" t="str">
        <x:v>NAAFTC-HS6-030366</x:v>
      </x:c>
      <x:c r="B187" s="13" t="str">
        <x:v>030366</x:v>
      </x:c>
      <x:c r="C187" s="13" t="str">
        <x:v>03</x:v>
      </x:c>
      <x:c r="D187" s="13" t="str">
        <x:v>TRILATERAL_1_TO_1_TO_1</x:v>
      </x:c>
      <x:c r="E187" s="13" t="str">
        <x:v>Pending</x:v>
      </x:c>
      <x:c r="F187" s="13" t="n">
        <x:v>1</x:v>
      </x:c>
      <x:c r="G187" s="13" t="n">
        <x:v>1</x:v>
      </x:c>
      <x:c r="H187" s="13" t="n">
        <x:v>1</x:v>
      </x:c>
      <x:c r="I187" s="13" t="str">
        <x:v>0303660000</x:v>
      </x:c>
      <x:c r="J187" s="13" t="str">
        <x:v>0303660100</x:v>
      </x:c>
      <x:c r="K187" s="13" t="str">
        <x:v>0303660000</x:v>
      </x:c>
      <x:c r="L187" s="13" t="str">
        <x:v>UNRESOLVED</x:v>
      </x:c>
      <x:c r="M187" s="13" t="str"/>
      <x:c r="N187" s="13" t="str">
        <x:v>NO / DEFAULT</x:v>
      </x:c>
      <x:c r="O187" s="13" t="str"/>
      <x:c r="P187" s="13" t="str">
        <x:v>NO / DEFAULT</x:v>
      </x:c>
      <x:c r="Q187" s="13" t="str"/>
      <x:c r="R187" s="13" t="str">
        <x:v>INDEPENDENT / DEFAULT</x:v>
      </x:c>
      <x:c r="S187" s="13" t="str"/>
      <x:c r="T187" s="13" t="str">
        <x:v>UNRESOLVED</x:v>
      </x:c>
      <x:c r="U187" s="13" t="str"/>
      <x:c r="V187" s="13" t="str"/>
      <x:c r="W187" s="13" t="str"/>
      <x:c r="X187" s="13" t="str">
        <x:f>IF(L187&lt;&gt;"COVERED","HELD — COVERAGE",IF(N187="YES — SENSITIVE","C ACTIONABLE","CHAPTER 5 DEFAULT"))</x:f>
        <x:v>HELD — COVERAGE</x:v>
      </x:c>
      <x:c r="Y187" s="13" t="str">
        <x:f>IF(L187&lt;&gt;"COVERED","HELD — COVERAGE",IF(P187="YES — MANAGED ACCESS","D ACTIONABLE","NO D FIELD"))</x:f>
        <x:v>HELD — COVERAGE</x:v>
      </x:c>
      <x:c r="Z187" s="13" t="str">
        <x:f>IF(L187&lt;&gt;"COVERED","HELD — COVERAGE",IF(OR(R187="PAIRED SYNCHRONIZED",R187="TRILATERAL SYNCHRONIZED"),"E ACTIONABLE","INDEPENDENT"))</x:f>
        <x:v>HELD — COVERAGE</x:v>
      </x:c>
      <x:c r="AA187" s="13" t="str">
        <x:f>IF(L187&lt;&gt;"COVERED","HELD — COVERAGE","WAIT FOR UPSTREAM COMPLETION")</x:f>
        <x:v>HELD — COVERAGE</x:v>
      </x:c>
      <x:c r="AB187" s="13" t="str">
        <x:f>IF(L187&lt;&gt;"COVERED","HELD — COVERAGE",IF(T187="UNRESOLVED","G DECISION REQUIRED",IF(T187="NOT APPLICABLE","G N/A","G ACTIONABLE")))</x:f>
        <x:v>HELD — COVERAGE</x:v>
      </x:c>
      <x:c r="AC187" s="13" t="str">
        <x:f>IF(L187="UNRESOLVED","COVERAGE FIRST",IF(OR(L187="EXCLUDED",L187="OUT OF SCOPE"),"CLOSED BY COVERAGE",IF(AND(L187="COVERED",T187&lt;&gt;"UNRESOLVED"),"PARTIALLY ADOPTED","DECISIONS REMAIN")))</x:f>
        <x:v>COVERAGE FIRST</x:v>
      </x:c>
    </x:row>
    <x:row r="188">
      <x:c r="A188" s="13" t="str">
        <x:v>NAAFTC-HS6-030367</x:v>
      </x:c>
      <x:c r="B188" s="13" t="str">
        <x:v>030367</x:v>
      </x:c>
      <x:c r="C188" s="13" t="str">
        <x:v>03</x:v>
      </x:c>
      <x:c r="D188" s="13" t="str">
        <x:v>TRILATERAL_1_TO_1_TO_1</x:v>
      </x:c>
      <x:c r="E188" s="13" t="str">
        <x:v>Pending</x:v>
      </x:c>
      <x:c r="F188" s="13" t="n">
        <x:v>1</x:v>
      </x:c>
      <x:c r="G188" s="13" t="n">
        <x:v>1</x:v>
      </x:c>
      <x:c r="H188" s="13" t="n">
        <x:v>1</x:v>
      </x:c>
      <x:c r="I188" s="13" t="str">
        <x:v>0303670000</x:v>
      </x:c>
      <x:c r="J188" s="13" t="str">
        <x:v>0303670100</x:v>
      </x:c>
      <x:c r="K188" s="13" t="str">
        <x:v>0303670000</x:v>
      </x:c>
      <x:c r="L188" s="13" t="str">
        <x:v>UNRESOLVED</x:v>
      </x:c>
      <x:c r="M188" s="13" t="str"/>
      <x:c r="N188" s="13" t="str">
        <x:v>NO / DEFAULT</x:v>
      </x:c>
      <x:c r="O188" s="13" t="str"/>
      <x:c r="P188" s="13" t="str">
        <x:v>NO / DEFAULT</x:v>
      </x:c>
      <x:c r="Q188" s="13" t="str"/>
      <x:c r="R188" s="13" t="str">
        <x:v>INDEPENDENT / DEFAULT</x:v>
      </x:c>
      <x:c r="S188" s="13" t="str"/>
      <x:c r="T188" s="13" t="str">
        <x:v>UNRESOLVED</x:v>
      </x:c>
      <x:c r="U188" s="13" t="str"/>
      <x:c r="V188" s="13" t="str"/>
      <x:c r="W188" s="13" t="str"/>
      <x:c r="X188" s="13" t="str">
        <x:f>IF(L188&lt;&gt;"COVERED","HELD — COVERAGE",IF(N188="YES — SENSITIVE","C ACTIONABLE","CHAPTER 5 DEFAULT"))</x:f>
        <x:v>HELD — COVERAGE</x:v>
      </x:c>
      <x:c r="Y188" s="13" t="str">
        <x:f>IF(L188&lt;&gt;"COVERED","HELD — COVERAGE",IF(P188="YES — MANAGED ACCESS","D ACTIONABLE","NO D FIELD"))</x:f>
        <x:v>HELD — COVERAGE</x:v>
      </x:c>
      <x:c r="Z188" s="13" t="str">
        <x:f>IF(L188&lt;&gt;"COVERED","HELD — COVERAGE",IF(OR(R188="PAIRED SYNCHRONIZED",R188="TRILATERAL SYNCHRONIZED"),"E ACTIONABLE","INDEPENDENT"))</x:f>
        <x:v>HELD — COVERAGE</x:v>
      </x:c>
      <x:c r="AA188" s="13" t="str">
        <x:f>IF(L188&lt;&gt;"COVERED","HELD — COVERAGE","WAIT FOR UPSTREAM COMPLETION")</x:f>
        <x:v>HELD — COVERAGE</x:v>
      </x:c>
      <x:c r="AB188" s="13" t="str">
        <x:f>IF(L188&lt;&gt;"COVERED","HELD — COVERAGE",IF(T188="UNRESOLVED","G DECISION REQUIRED",IF(T188="NOT APPLICABLE","G N/A","G ACTIONABLE")))</x:f>
        <x:v>HELD — COVERAGE</x:v>
      </x:c>
      <x:c r="AC188" s="13" t="str">
        <x:f>IF(L188="UNRESOLVED","COVERAGE FIRST",IF(OR(L188="EXCLUDED",L188="OUT OF SCOPE"),"CLOSED BY COVERAGE",IF(AND(L188="COVERED",T188&lt;&gt;"UNRESOLVED"),"PARTIALLY ADOPTED","DECISIONS REMAIN")))</x:f>
        <x:v>COVERAGE FIRST</x:v>
      </x:c>
    </x:row>
    <x:row r="189">
      <x:c r="A189" s="13" t="str">
        <x:v>NAAFTC-HS6-030368</x:v>
      </x:c>
      <x:c r="B189" s="13" t="str">
        <x:v>030368</x:v>
      </x:c>
      <x:c r="C189" s="13" t="str">
        <x:v>03</x:v>
      </x:c>
      <x:c r="D189" s="13" t="str">
        <x:v>TRILATERAL_1_TO_1_TO_1</x:v>
      </x:c>
      <x:c r="E189" s="13" t="str">
        <x:v>Pending</x:v>
      </x:c>
      <x:c r="F189" s="13" t="n">
        <x:v>1</x:v>
      </x:c>
      <x:c r="G189" s="13" t="n">
        <x:v>1</x:v>
      </x:c>
      <x:c r="H189" s="13" t="n">
        <x:v>1</x:v>
      </x:c>
      <x:c r="I189" s="13" t="str">
        <x:v>0303680000</x:v>
      </x:c>
      <x:c r="J189" s="13" t="str">
        <x:v>0303680100</x:v>
      </x:c>
      <x:c r="K189" s="13" t="str">
        <x:v>0303680000</x:v>
      </x:c>
      <x:c r="L189" s="13" t="str">
        <x:v>UNRESOLVED</x:v>
      </x:c>
      <x:c r="M189" s="13" t="str"/>
      <x:c r="N189" s="13" t="str">
        <x:v>NO / DEFAULT</x:v>
      </x:c>
      <x:c r="O189" s="13" t="str"/>
      <x:c r="P189" s="13" t="str">
        <x:v>NO / DEFAULT</x:v>
      </x:c>
      <x:c r="Q189" s="13" t="str"/>
      <x:c r="R189" s="13" t="str">
        <x:v>INDEPENDENT / DEFAULT</x:v>
      </x:c>
      <x:c r="S189" s="13" t="str"/>
      <x:c r="T189" s="13" t="str">
        <x:v>UNRESOLVED</x:v>
      </x:c>
      <x:c r="U189" s="13" t="str"/>
      <x:c r="V189" s="13" t="str"/>
      <x:c r="W189" s="13" t="str"/>
      <x:c r="X189" s="13" t="str">
        <x:f>IF(L189&lt;&gt;"COVERED","HELD — COVERAGE",IF(N189="YES — SENSITIVE","C ACTIONABLE","CHAPTER 5 DEFAULT"))</x:f>
        <x:v>HELD — COVERAGE</x:v>
      </x:c>
      <x:c r="Y189" s="13" t="str">
        <x:f>IF(L189&lt;&gt;"COVERED","HELD — COVERAGE",IF(P189="YES — MANAGED ACCESS","D ACTIONABLE","NO D FIELD"))</x:f>
        <x:v>HELD — COVERAGE</x:v>
      </x:c>
      <x:c r="Z189" s="13" t="str">
        <x:f>IF(L189&lt;&gt;"COVERED","HELD — COVERAGE",IF(OR(R189="PAIRED SYNCHRONIZED",R189="TRILATERAL SYNCHRONIZED"),"E ACTIONABLE","INDEPENDENT"))</x:f>
        <x:v>HELD — COVERAGE</x:v>
      </x:c>
      <x:c r="AA189" s="13" t="str">
        <x:f>IF(L189&lt;&gt;"COVERED","HELD — COVERAGE","WAIT FOR UPSTREAM COMPLETION")</x:f>
        <x:v>HELD — COVERAGE</x:v>
      </x:c>
      <x:c r="AB189" s="13" t="str">
        <x:f>IF(L189&lt;&gt;"COVERED","HELD — COVERAGE",IF(T189="UNRESOLVED","G DECISION REQUIRED",IF(T189="NOT APPLICABLE","G N/A","G ACTIONABLE")))</x:f>
        <x:v>HELD — COVERAGE</x:v>
      </x:c>
      <x:c r="AC189" s="13" t="str">
        <x:f>IF(L189="UNRESOLVED","COVERAGE FIRST",IF(OR(L189="EXCLUDED",L189="OUT OF SCOPE"),"CLOSED BY COVERAGE",IF(AND(L189="COVERED",T189&lt;&gt;"UNRESOLVED"),"PARTIALLY ADOPTED","DECISIONS REMAIN")))</x:f>
        <x:v>COVERAGE FIRST</x:v>
      </x:c>
    </x:row>
    <x:row r="190">
      <x:c r="A190" s="13" t="str">
        <x:v>NAAFTC-HS6-030369</x:v>
      </x:c>
      <x:c r="B190" s="13" t="str">
        <x:v>030369</x:v>
      </x:c>
      <x:c r="C190" s="13" t="str">
        <x:v>03</x:v>
      </x:c>
      <x:c r="D190" s="13" t="str">
        <x:v>TRILATERAL_1_TO_1_TO_1</x:v>
      </x:c>
      <x:c r="E190" s="13" t="str">
        <x:v>Pending</x:v>
      </x:c>
      <x:c r="F190" s="13" t="n">
        <x:v>1</x:v>
      </x:c>
      <x:c r="G190" s="13" t="n">
        <x:v>1</x:v>
      </x:c>
      <x:c r="H190" s="13" t="n">
        <x:v>1</x:v>
      </x:c>
      <x:c r="I190" s="13" t="str">
        <x:v>0303690000</x:v>
      </x:c>
      <x:c r="J190" s="13" t="str">
        <x:v>0303699900</x:v>
      </x:c>
      <x:c r="K190" s="13" t="str">
        <x:v>0303690000</x:v>
      </x:c>
      <x:c r="L190" s="13" t="str">
        <x:v>UNRESOLVED</x:v>
      </x:c>
      <x:c r="M190" s="13" t="str"/>
      <x:c r="N190" s="13" t="str">
        <x:v>NO / DEFAULT</x:v>
      </x:c>
      <x:c r="O190" s="13" t="str"/>
      <x:c r="P190" s="13" t="str">
        <x:v>NO / DEFAULT</x:v>
      </x:c>
      <x:c r="Q190" s="13" t="str"/>
      <x:c r="R190" s="13" t="str">
        <x:v>INDEPENDENT / DEFAULT</x:v>
      </x:c>
      <x:c r="S190" s="13" t="str"/>
      <x:c r="T190" s="13" t="str">
        <x:v>UNRESOLVED</x:v>
      </x:c>
      <x:c r="U190" s="13" t="str"/>
      <x:c r="V190" s="13" t="str"/>
      <x:c r="W190" s="13" t="str"/>
      <x:c r="X190" s="13" t="str">
        <x:f>IF(L190&lt;&gt;"COVERED","HELD — COVERAGE",IF(N190="YES — SENSITIVE","C ACTIONABLE","CHAPTER 5 DEFAULT"))</x:f>
        <x:v>HELD — COVERAGE</x:v>
      </x:c>
      <x:c r="Y190" s="13" t="str">
        <x:f>IF(L190&lt;&gt;"COVERED","HELD — COVERAGE",IF(P190="YES — MANAGED ACCESS","D ACTIONABLE","NO D FIELD"))</x:f>
        <x:v>HELD — COVERAGE</x:v>
      </x:c>
      <x:c r="Z190" s="13" t="str">
        <x:f>IF(L190&lt;&gt;"COVERED","HELD — COVERAGE",IF(OR(R190="PAIRED SYNCHRONIZED",R190="TRILATERAL SYNCHRONIZED"),"E ACTIONABLE","INDEPENDENT"))</x:f>
        <x:v>HELD — COVERAGE</x:v>
      </x:c>
      <x:c r="AA190" s="13" t="str">
        <x:f>IF(L190&lt;&gt;"COVERED","HELD — COVERAGE","WAIT FOR UPSTREAM COMPLETION")</x:f>
        <x:v>HELD — COVERAGE</x:v>
      </x:c>
      <x:c r="AB190" s="13" t="str">
        <x:f>IF(L190&lt;&gt;"COVERED","HELD — COVERAGE",IF(T190="UNRESOLVED","G DECISION REQUIRED",IF(T190="NOT APPLICABLE","G N/A","G ACTIONABLE")))</x:f>
        <x:v>HELD — COVERAGE</x:v>
      </x:c>
      <x:c r="AC190" s="13" t="str">
        <x:f>IF(L190="UNRESOLVED","COVERAGE FIRST",IF(OR(L190="EXCLUDED",L190="OUT OF SCOPE"),"CLOSED BY COVERAGE",IF(AND(L190="COVERED",T190&lt;&gt;"UNRESOLVED"),"PARTIALLY ADOPTED","DECISIONS REMAIN")))</x:f>
        <x:v>COVERAGE FIRST</x:v>
      </x:c>
    </x:row>
    <x:row r="191">
      <x:c r="A191" s="13" t="str">
        <x:v>NAAFTC-HS6-030381</x:v>
      </x:c>
      <x:c r="B191" s="13" t="str">
        <x:v>030381</x:v>
      </x:c>
      <x:c r="C191" s="13" t="str">
        <x:v>03</x:v>
      </x:c>
      <x:c r="D191" s="13" t="str">
        <x:v>TRILATERAL_SPLIT_MERGE</x:v>
      </x:c>
      <x:c r="E191" s="13" t="str">
        <x:v>Pending</x:v>
      </x:c>
      <x:c r="F191" s="13" t="n">
        <x:v>2</x:v>
      </x:c>
      <x:c r="G191" s="13" t="n">
        <x:v>1</x:v>
      </x:c>
      <x:c r="H191" s="13" t="n">
        <x:v>1</x:v>
      </x:c>
      <x:c r="I191" s="13" t="str">
        <x:v>0303810011; 0303810091</x:v>
      </x:c>
      <x:c r="J191" s="13" t="str">
        <x:v>0303810100</x:v>
      </x:c>
      <x:c r="K191" s="13" t="str">
        <x:v>0303810000</x:v>
      </x:c>
      <x:c r="L191" s="13" t="str">
        <x:v>UNRESOLVED</x:v>
      </x:c>
      <x:c r="M191" s="13" t="str"/>
      <x:c r="N191" s="13" t="str">
        <x:v>NO / DEFAULT</x:v>
      </x:c>
      <x:c r="O191" s="13" t="str"/>
      <x:c r="P191" s="13" t="str">
        <x:v>NO / DEFAULT</x:v>
      </x:c>
      <x:c r="Q191" s="13" t="str"/>
      <x:c r="R191" s="13" t="str">
        <x:v>INDEPENDENT / DEFAULT</x:v>
      </x:c>
      <x:c r="S191" s="13" t="str"/>
      <x:c r="T191" s="13" t="str">
        <x:v>UNRESOLVED</x:v>
      </x:c>
      <x:c r="U191" s="13" t="str"/>
      <x:c r="V191" s="13" t="str"/>
      <x:c r="W191" s="13" t="str"/>
      <x:c r="X191" s="13" t="str">
        <x:f>IF(L191&lt;&gt;"COVERED","HELD — COVERAGE",IF(N191="YES — SENSITIVE","C ACTIONABLE","CHAPTER 5 DEFAULT"))</x:f>
        <x:v>HELD — COVERAGE</x:v>
      </x:c>
      <x:c r="Y191" s="13" t="str">
        <x:f>IF(L191&lt;&gt;"COVERED","HELD — COVERAGE",IF(P191="YES — MANAGED ACCESS","D ACTIONABLE","NO D FIELD"))</x:f>
        <x:v>HELD — COVERAGE</x:v>
      </x:c>
      <x:c r="Z191" s="13" t="str">
        <x:f>IF(L191&lt;&gt;"COVERED","HELD — COVERAGE",IF(OR(R191="PAIRED SYNCHRONIZED",R191="TRILATERAL SYNCHRONIZED"),"E ACTIONABLE","INDEPENDENT"))</x:f>
        <x:v>HELD — COVERAGE</x:v>
      </x:c>
      <x:c r="AA191" s="13" t="str">
        <x:f>IF(L191&lt;&gt;"COVERED","HELD — COVERAGE","WAIT FOR UPSTREAM COMPLETION")</x:f>
        <x:v>HELD — COVERAGE</x:v>
      </x:c>
      <x:c r="AB191" s="13" t="str">
        <x:f>IF(L191&lt;&gt;"COVERED","HELD — COVERAGE",IF(T191="UNRESOLVED","G DECISION REQUIRED",IF(T191="NOT APPLICABLE","G N/A","G ACTIONABLE")))</x:f>
        <x:v>HELD — COVERAGE</x:v>
      </x:c>
      <x:c r="AC191" s="13" t="str">
        <x:f>IF(L191="UNRESOLVED","COVERAGE FIRST",IF(OR(L191="EXCLUDED",L191="OUT OF SCOPE"),"CLOSED BY COVERAGE",IF(AND(L191="COVERED",T191&lt;&gt;"UNRESOLVED"),"PARTIALLY ADOPTED","DECISIONS REMAIN")))</x:f>
        <x:v>COVERAGE FIRST</x:v>
      </x:c>
    </x:row>
    <x:row r="192">
      <x:c r="A192" s="13" t="str">
        <x:v>NAAFTC-HS6-030382</x:v>
      </x:c>
      <x:c r="B192" s="13" t="str">
        <x:v>030382</x:v>
      </x:c>
      <x:c r="C192" s="13" t="str">
        <x:v>03</x:v>
      </x:c>
      <x:c r="D192" s="13" t="str">
        <x:v>TRILATERAL_1_TO_1_TO_1</x:v>
      </x:c>
      <x:c r="E192" s="13" t="str">
        <x:v>Pending</x:v>
      </x:c>
      <x:c r="F192" s="13" t="n">
        <x:v>1</x:v>
      </x:c>
      <x:c r="G192" s="13" t="n">
        <x:v>1</x:v>
      </x:c>
      <x:c r="H192" s="13" t="n">
        <x:v>1</x:v>
      </x:c>
      <x:c r="I192" s="13" t="str">
        <x:v>0303820000</x:v>
      </x:c>
      <x:c r="J192" s="13" t="str">
        <x:v>0303820100</x:v>
      </x:c>
      <x:c r="K192" s="13" t="str">
        <x:v>0303820000</x:v>
      </x:c>
      <x:c r="L192" s="13" t="str">
        <x:v>UNRESOLVED</x:v>
      </x:c>
      <x:c r="M192" s="13" t="str"/>
      <x:c r="N192" s="13" t="str">
        <x:v>NO / DEFAULT</x:v>
      </x:c>
      <x:c r="O192" s="13" t="str"/>
      <x:c r="P192" s="13" t="str">
        <x:v>NO / DEFAULT</x:v>
      </x:c>
      <x:c r="Q192" s="13" t="str"/>
      <x:c r="R192" s="13" t="str">
        <x:v>INDEPENDENT / DEFAULT</x:v>
      </x:c>
      <x:c r="S192" s="13" t="str"/>
      <x:c r="T192" s="13" t="str">
        <x:v>UNRESOLVED</x:v>
      </x:c>
      <x:c r="U192" s="13" t="str"/>
      <x:c r="V192" s="13" t="str"/>
      <x:c r="W192" s="13" t="str"/>
      <x:c r="X192" s="13" t="str">
        <x:f>IF(L192&lt;&gt;"COVERED","HELD — COVERAGE",IF(N192="YES — SENSITIVE","C ACTIONABLE","CHAPTER 5 DEFAULT"))</x:f>
        <x:v>HELD — COVERAGE</x:v>
      </x:c>
      <x:c r="Y192" s="13" t="str">
        <x:f>IF(L192&lt;&gt;"COVERED","HELD — COVERAGE",IF(P192="YES — MANAGED ACCESS","D ACTIONABLE","NO D FIELD"))</x:f>
        <x:v>HELD — COVERAGE</x:v>
      </x:c>
      <x:c r="Z192" s="13" t="str">
        <x:f>IF(L192&lt;&gt;"COVERED","HELD — COVERAGE",IF(OR(R192="PAIRED SYNCHRONIZED",R192="TRILATERAL SYNCHRONIZED"),"E ACTIONABLE","INDEPENDENT"))</x:f>
        <x:v>HELD — COVERAGE</x:v>
      </x:c>
      <x:c r="AA192" s="13" t="str">
        <x:f>IF(L192&lt;&gt;"COVERED","HELD — COVERAGE","WAIT FOR UPSTREAM COMPLETION")</x:f>
        <x:v>HELD — COVERAGE</x:v>
      </x:c>
      <x:c r="AB192" s="13" t="str">
        <x:f>IF(L192&lt;&gt;"COVERED","HELD — COVERAGE",IF(T192="UNRESOLVED","G DECISION REQUIRED",IF(T192="NOT APPLICABLE","G N/A","G ACTIONABLE")))</x:f>
        <x:v>HELD — COVERAGE</x:v>
      </x:c>
      <x:c r="AC192" s="13" t="str">
        <x:f>IF(L192="UNRESOLVED","COVERAGE FIRST",IF(OR(L192="EXCLUDED",L192="OUT OF SCOPE"),"CLOSED BY COVERAGE",IF(AND(L192="COVERED",T192&lt;&gt;"UNRESOLVED"),"PARTIALLY ADOPTED","DECISIONS REMAIN")))</x:f>
        <x:v>COVERAGE FIRST</x:v>
      </x:c>
    </x:row>
    <x:row r="193">
      <x:c r="A193" s="13" t="str">
        <x:v>NAAFTC-HS6-030383</x:v>
      </x:c>
      <x:c r="B193" s="13" t="str">
        <x:v>030383</x:v>
      </x:c>
      <x:c r="C193" s="13" t="str">
        <x:v>03</x:v>
      </x:c>
      <x:c r="D193" s="13" t="str">
        <x:v>TRILATERAL_1_TO_1_TO_1</x:v>
      </x:c>
      <x:c r="E193" s="13" t="str">
        <x:v>Pending</x:v>
      </x:c>
      <x:c r="F193" s="13" t="n">
        <x:v>1</x:v>
      </x:c>
      <x:c r="G193" s="13" t="n">
        <x:v>1</x:v>
      </x:c>
      <x:c r="H193" s="13" t="n">
        <x:v>1</x:v>
      </x:c>
      <x:c r="I193" s="13" t="str">
        <x:v>0303830000</x:v>
      </x:c>
      <x:c r="J193" s="13" t="str">
        <x:v>0303830100</x:v>
      </x:c>
      <x:c r="K193" s="13" t="str">
        <x:v>0303830000</x:v>
      </x:c>
      <x:c r="L193" s="13" t="str">
        <x:v>UNRESOLVED</x:v>
      </x:c>
      <x:c r="M193" s="13" t="str"/>
      <x:c r="N193" s="13" t="str">
        <x:v>NO / DEFAULT</x:v>
      </x:c>
      <x:c r="O193" s="13" t="str"/>
      <x:c r="P193" s="13" t="str">
        <x:v>NO / DEFAULT</x:v>
      </x:c>
      <x:c r="Q193" s="13" t="str"/>
      <x:c r="R193" s="13" t="str">
        <x:v>INDEPENDENT / DEFAULT</x:v>
      </x:c>
      <x:c r="S193" s="13" t="str"/>
      <x:c r="T193" s="13" t="str">
        <x:v>UNRESOLVED</x:v>
      </x:c>
      <x:c r="U193" s="13" t="str"/>
      <x:c r="V193" s="13" t="str"/>
      <x:c r="W193" s="13" t="str"/>
      <x:c r="X193" s="13" t="str">
        <x:f>IF(L193&lt;&gt;"COVERED","HELD — COVERAGE",IF(N193="YES — SENSITIVE","C ACTIONABLE","CHAPTER 5 DEFAULT"))</x:f>
        <x:v>HELD — COVERAGE</x:v>
      </x:c>
      <x:c r="Y193" s="13" t="str">
        <x:f>IF(L193&lt;&gt;"COVERED","HELD — COVERAGE",IF(P193="YES — MANAGED ACCESS","D ACTIONABLE","NO D FIELD"))</x:f>
        <x:v>HELD — COVERAGE</x:v>
      </x:c>
      <x:c r="Z193" s="13" t="str">
        <x:f>IF(L193&lt;&gt;"COVERED","HELD — COVERAGE",IF(OR(R193="PAIRED SYNCHRONIZED",R193="TRILATERAL SYNCHRONIZED"),"E ACTIONABLE","INDEPENDENT"))</x:f>
        <x:v>HELD — COVERAGE</x:v>
      </x:c>
      <x:c r="AA193" s="13" t="str">
        <x:f>IF(L193&lt;&gt;"COVERED","HELD — COVERAGE","WAIT FOR UPSTREAM COMPLETION")</x:f>
        <x:v>HELD — COVERAGE</x:v>
      </x:c>
      <x:c r="AB193" s="13" t="str">
        <x:f>IF(L193&lt;&gt;"COVERED","HELD — COVERAGE",IF(T193="UNRESOLVED","G DECISION REQUIRED",IF(T193="NOT APPLICABLE","G N/A","G ACTIONABLE")))</x:f>
        <x:v>HELD — COVERAGE</x:v>
      </x:c>
      <x:c r="AC193" s="13" t="str">
        <x:f>IF(L193="UNRESOLVED","COVERAGE FIRST",IF(OR(L193="EXCLUDED",L193="OUT OF SCOPE"),"CLOSED BY COVERAGE",IF(AND(L193="COVERED",T193&lt;&gt;"UNRESOLVED"),"PARTIALLY ADOPTED","DECISIONS REMAIN")))</x:f>
        <x:v>COVERAGE FIRST</x:v>
      </x:c>
    </x:row>
    <x:row r="194">
      <x:c r="A194" s="13" t="str">
        <x:v>NAAFTC-HS6-030384</x:v>
      </x:c>
      <x:c r="B194" s="13" t="str">
        <x:v>030384</x:v>
      </x:c>
      <x:c r="C194" s="13" t="str">
        <x:v>03</x:v>
      </x:c>
      <x:c r="D194" s="13" t="str">
        <x:v>TRILATERAL_1_TO_1_TO_1</x:v>
      </x:c>
      <x:c r="E194" s="13" t="str">
        <x:v>Pending</x:v>
      </x:c>
      <x:c r="F194" s="13" t="n">
        <x:v>1</x:v>
      </x:c>
      <x:c r="G194" s="13" t="n">
        <x:v>1</x:v>
      </x:c>
      <x:c r="H194" s="13" t="n">
        <x:v>1</x:v>
      </x:c>
      <x:c r="I194" s="13" t="str">
        <x:v>0303840000</x:v>
      </x:c>
      <x:c r="J194" s="13" t="str">
        <x:v>0303840100</x:v>
      </x:c>
      <x:c r="K194" s="13" t="str">
        <x:v>0303840000</x:v>
      </x:c>
      <x:c r="L194" s="13" t="str">
        <x:v>UNRESOLVED</x:v>
      </x:c>
      <x:c r="M194" s="13" t="str"/>
      <x:c r="N194" s="13" t="str">
        <x:v>NO / DEFAULT</x:v>
      </x:c>
      <x:c r="O194" s="13" t="str"/>
      <x:c r="P194" s="13" t="str">
        <x:v>NO / DEFAULT</x:v>
      </x:c>
      <x:c r="Q194" s="13" t="str"/>
      <x:c r="R194" s="13" t="str">
        <x:v>INDEPENDENT / DEFAULT</x:v>
      </x:c>
      <x:c r="S194" s="13" t="str"/>
      <x:c r="T194" s="13" t="str">
        <x:v>UNRESOLVED</x:v>
      </x:c>
      <x:c r="U194" s="13" t="str"/>
      <x:c r="V194" s="13" t="str"/>
      <x:c r="W194" s="13" t="str"/>
      <x:c r="X194" s="13" t="str">
        <x:f>IF(L194&lt;&gt;"COVERED","HELD — COVERAGE",IF(N194="YES — SENSITIVE","C ACTIONABLE","CHAPTER 5 DEFAULT"))</x:f>
        <x:v>HELD — COVERAGE</x:v>
      </x:c>
      <x:c r="Y194" s="13" t="str">
        <x:f>IF(L194&lt;&gt;"COVERED","HELD — COVERAGE",IF(P194="YES — MANAGED ACCESS","D ACTIONABLE","NO D FIELD"))</x:f>
        <x:v>HELD — COVERAGE</x:v>
      </x:c>
      <x:c r="Z194" s="13" t="str">
        <x:f>IF(L194&lt;&gt;"COVERED","HELD — COVERAGE",IF(OR(R194="PAIRED SYNCHRONIZED",R194="TRILATERAL SYNCHRONIZED"),"E ACTIONABLE","INDEPENDENT"))</x:f>
        <x:v>HELD — COVERAGE</x:v>
      </x:c>
      <x:c r="AA194" s="13" t="str">
        <x:f>IF(L194&lt;&gt;"COVERED","HELD — COVERAGE","WAIT FOR UPSTREAM COMPLETION")</x:f>
        <x:v>HELD — COVERAGE</x:v>
      </x:c>
      <x:c r="AB194" s="13" t="str">
        <x:f>IF(L194&lt;&gt;"COVERED","HELD — COVERAGE",IF(T194="UNRESOLVED","G DECISION REQUIRED",IF(T194="NOT APPLICABLE","G N/A","G ACTIONABLE")))</x:f>
        <x:v>HELD — COVERAGE</x:v>
      </x:c>
      <x:c r="AC194" s="13" t="str">
        <x:f>IF(L194="UNRESOLVED","COVERAGE FIRST",IF(OR(L194="EXCLUDED",L194="OUT OF SCOPE"),"CLOSED BY COVERAGE",IF(AND(L194="COVERED",T194&lt;&gt;"UNRESOLVED"),"PARTIALLY ADOPTED","DECISIONS REMAIN")))</x:f>
        <x:v>COVERAGE FIRST</x:v>
      </x:c>
    </x:row>
    <x:row r="195">
      <x:c r="A195" s="13" t="str">
        <x:v>NAAFTC-HS6-030389</x:v>
      </x:c>
      <x:c r="B195" s="13" t="str">
        <x:v>030389</x:v>
      </x:c>
      <x:c r="C195" s="13" t="str">
        <x:v>03</x:v>
      </x:c>
      <x:c r="D195" s="13" t="str">
        <x:v>TRILATERAL_SPLIT_MERGE</x:v>
      </x:c>
      <x:c r="E195" s="13" t="str">
        <x:v>Pending</x:v>
      </x:c>
      <x:c r="F195" s="13" t="n">
        <x:v>20</x:v>
      </x:c>
      <x:c r="G195" s="13" t="n">
        <x:v>2</x:v>
      </x:c>
      <x:c r="H195" s="13" t="n">
        <x:v>1</x:v>
      </x:c>
      <x:c r="I195" s="13" t="str">
        <x:v>0303890001; 0303890004; 0303890010; 0303890013; 0303890028; 0303890031; +14 more</x:v>
      </x:c>
      <x:c r="J195" s="13" t="str">
        <x:v>0303890100; 0303899900</x:v>
      </x:c>
      <x:c r="K195" s="13" t="str">
        <x:v>03038900</x:v>
      </x:c>
      <x:c r="L195" s="13" t="str">
        <x:v>UNRESOLVED</x:v>
      </x:c>
      <x:c r="M195" s="13" t="str"/>
      <x:c r="N195" s="13" t="str">
        <x:v>NO / DEFAULT</x:v>
      </x:c>
      <x:c r="O195" s="13" t="str"/>
      <x:c r="P195" s="13" t="str">
        <x:v>NO / DEFAULT</x:v>
      </x:c>
      <x:c r="Q195" s="13" t="str"/>
      <x:c r="R195" s="13" t="str">
        <x:v>INDEPENDENT / DEFAULT</x:v>
      </x:c>
      <x:c r="S195" s="13" t="str"/>
      <x:c r="T195" s="13" t="str">
        <x:v>UNRESOLVED</x:v>
      </x:c>
      <x:c r="U195" s="13" t="str"/>
      <x:c r="V195" s="13" t="str"/>
      <x:c r="W195" s="13" t="str"/>
      <x:c r="X195" s="13" t="str">
        <x:f>IF(L195&lt;&gt;"COVERED","HELD — COVERAGE",IF(N195="YES — SENSITIVE","C ACTIONABLE","CHAPTER 5 DEFAULT"))</x:f>
        <x:v>HELD — COVERAGE</x:v>
      </x:c>
      <x:c r="Y195" s="13" t="str">
        <x:f>IF(L195&lt;&gt;"COVERED","HELD — COVERAGE",IF(P195="YES — MANAGED ACCESS","D ACTIONABLE","NO D FIELD"))</x:f>
        <x:v>HELD — COVERAGE</x:v>
      </x:c>
      <x:c r="Z195" s="13" t="str">
        <x:f>IF(L195&lt;&gt;"COVERED","HELD — COVERAGE",IF(OR(R195="PAIRED SYNCHRONIZED",R195="TRILATERAL SYNCHRONIZED"),"E ACTIONABLE","INDEPENDENT"))</x:f>
        <x:v>HELD — COVERAGE</x:v>
      </x:c>
      <x:c r="AA195" s="13" t="str">
        <x:f>IF(L195&lt;&gt;"COVERED","HELD — COVERAGE","WAIT FOR UPSTREAM COMPLETION")</x:f>
        <x:v>HELD — COVERAGE</x:v>
      </x:c>
      <x:c r="AB195" s="13" t="str">
        <x:f>IF(L195&lt;&gt;"COVERED","HELD — COVERAGE",IF(T195="UNRESOLVED","G DECISION REQUIRED",IF(T195="NOT APPLICABLE","G N/A","G ACTIONABLE")))</x:f>
        <x:v>HELD — COVERAGE</x:v>
      </x:c>
      <x:c r="AC195" s="13" t="str">
        <x:f>IF(L195="UNRESOLVED","COVERAGE FIRST",IF(OR(L195="EXCLUDED",L195="OUT OF SCOPE"),"CLOSED BY COVERAGE",IF(AND(L195="COVERED",T195&lt;&gt;"UNRESOLVED"),"PARTIALLY ADOPTED","DECISIONS REMAIN")))</x:f>
        <x:v>COVERAGE FIRST</x:v>
      </x:c>
    </x:row>
    <x:row r="196">
      <x:c r="A196" s="13" t="str">
        <x:v>NAAFTC-HS6-030391</x:v>
      </x:c>
      <x:c r="B196" s="13" t="str">
        <x:v>030391</x:v>
      </x:c>
      <x:c r="C196" s="13" t="str">
        <x:v>03</x:v>
      </x:c>
      <x:c r="D196" s="13" t="str">
        <x:v>TRILATERAL_SPLIT_MERGE</x:v>
      </x:c>
      <x:c r="E196" s="13" t="str">
        <x:v>Pending</x:v>
      </x:c>
      <x:c r="F196" s="13" t="n">
        <x:v>6</x:v>
      </x:c>
      <x:c r="G196" s="13" t="n">
        <x:v>1</x:v>
      </x:c>
      <x:c r="H196" s="13" t="n">
        <x:v>1</x:v>
      </x:c>
      <x:c r="I196" s="13" t="str">
        <x:v>0303912000; 0303914020; 0303914040; 0303914050; 0303914060; 0303914095</x:v>
      </x:c>
      <x:c r="J196" s="13" t="str">
        <x:v>0303910100</x:v>
      </x:c>
      <x:c r="K196" s="13" t="str">
        <x:v>03039100</x:v>
      </x:c>
      <x:c r="L196" s="13" t="str">
        <x:v>UNRESOLVED</x:v>
      </x:c>
      <x:c r="M196" s="13" t="str"/>
      <x:c r="N196" s="13" t="str">
        <x:v>NO / DEFAULT</x:v>
      </x:c>
      <x:c r="O196" s="13" t="str"/>
      <x:c r="P196" s="13" t="str">
        <x:v>NO / DEFAULT</x:v>
      </x:c>
      <x:c r="Q196" s="13" t="str"/>
      <x:c r="R196" s="13" t="str">
        <x:v>INDEPENDENT / DEFAULT</x:v>
      </x:c>
      <x:c r="S196" s="13" t="str"/>
      <x:c r="T196" s="13" t="str">
        <x:v>UNRESOLVED</x:v>
      </x:c>
      <x:c r="U196" s="13" t="str"/>
      <x:c r="V196" s="13" t="str"/>
      <x:c r="W196" s="13" t="str"/>
      <x:c r="X196" s="13" t="str">
        <x:f>IF(L196&lt;&gt;"COVERED","HELD — COVERAGE",IF(N196="YES — SENSITIVE","C ACTIONABLE","CHAPTER 5 DEFAULT"))</x:f>
        <x:v>HELD — COVERAGE</x:v>
      </x:c>
      <x:c r="Y196" s="13" t="str">
        <x:f>IF(L196&lt;&gt;"COVERED","HELD — COVERAGE",IF(P196="YES — MANAGED ACCESS","D ACTIONABLE","NO D FIELD"))</x:f>
        <x:v>HELD — COVERAGE</x:v>
      </x:c>
      <x:c r="Z196" s="13" t="str">
        <x:f>IF(L196&lt;&gt;"COVERED","HELD — COVERAGE",IF(OR(R196="PAIRED SYNCHRONIZED",R196="TRILATERAL SYNCHRONIZED"),"E ACTIONABLE","INDEPENDENT"))</x:f>
        <x:v>HELD — COVERAGE</x:v>
      </x:c>
      <x:c r="AA196" s="13" t="str">
        <x:f>IF(L196&lt;&gt;"COVERED","HELD — COVERAGE","WAIT FOR UPSTREAM COMPLETION")</x:f>
        <x:v>HELD — COVERAGE</x:v>
      </x:c>
      <x:c r="AB196" s="13" t="str">
        <x:f>IF(L196&lt;&gt;"COVERED","HELD — COVERAGE",IF(T196="UNRESOLVED","G DECISION REQUIRED",IF(T196="NOT APPLICABLE","G N/A","G ACTIONABLE")))</x:f>
        <x:v>HELD — COVERAGE</x:v>
      </x:c>
      <x:c r="AC196" s="13" t="str">
        <x:f>IF(L196="UNRESOLVED","COVERAGE FIRST",IF(OR(L196="EXCLUDED",L196="OUT OF SCOPE"),"CLOSED BY COVERAGE",IF(AND(L196="COVERED",T196&lt;&gt;"UNRESOLVED"),"PARTIALLY ADOPTED","DECISIONS REMAIN")))</x:f>
        <x:v>COVERAGE FIRST</x:v>
      </x:c>
    </x:row>
    <x:row r="197">
      <x:c r="A197" s="13" t="str">
        <x:v>NAAFTC-HS6-030392</x:v>
      </x:c>
      <x:c r="B197" s="13" t="str">
        <x:v>030392</x:v>
      </x:c>
      <x:c r="C197" s="13" t="str">
        <x:v>03</x:v>
      </x:c>
      <x:c r="D197" s="13" t="str">
        <x:v>TRILATERAL_1_TO_1_TO_1</x:v>
      </x:c>
      <x:c r="E197" s="13" t="str">
        <x:v>Pending</x:v>
      </x:c>
      <x:c r="F197" s="13" t="n">
        <x:v>1</x:v>
      </x:c>
      <x:c r="G197" s="13" t="n">
        <x:v>1</x:v>
      </x:c>
      <x:c r="H197" s="13" t="n">
        <x:v>1</x:v>
      </x:c>
      <x:c r="I197" s="13" t="str">
        <x:v>0303920000</x:v>
      </x:c>
      <x:c r="J197" s="13" t="str">
        <x:v>0303920100</x:v>
      </x:c>
      <x:c r="K197" s="13" t="str">
        <x:v>0303920000</x:v>
      </x:c>
      <x:c r="L197" s="13" t="str">
        <x:v>UNRESOLVED</x:v>
      </x:c>
      <x:c r="M197" s="13" t="str"/>
      <x:c r="N197" s="13" t="str">
        <x:v>NO / DEFAULT</x:v>
      </x:c>
      <x:c r="O197" s="13" t="str"/>
      <x:c r="P197" s="13" t="str">
        <x:v>NO / DEFAULT</x:v>
      </x:c>
      <x:c r="Q197" s="13" t="str"/>
      <x:c r="R197" s="13" t="str">
        <x:v>INDEPENDENT / DEFAULT</x:v>
      </x:c>
      <x:c r="S197" s="13" t="str"/>
      <x:c r="T197" s="13" t="str">
        <x:v>UNRESOLVED</x:v>
      </x:c>
      <x:c r="U197" s="13" t="str"/>
      <x:c r="V197" s="13" t="str"/>
      <x:c r="W197" s="13" t="str"/>
      <x:c r="X197" s="13" t="str">
        <x:f>IF(L197&lt;&gt;"COVERED","HELD — COVERAGE",IF(N197="YES — SENSITIVE","C ACTIONABLE","CHAPTER 5 DEFAULT"))</x:f>
        <x:v>HELD — COVERAGE</x:v>
      </x:c>
      <x:c r="Y197" s="13" t="str">
        <x:f>IF(L197&lt;&gt;"COVERED","HELD — COVERAGE",IF(P197="YES — MANAGED ACCESS","D ACTIONABLE","NO D FIELD"))</x:f>
        <x:v>HELD — COVERAGE</x:v>
      </x:c>
      <x:c r="Z197" s="13" t="str">
        <x:f>IF(L197&lt;&gt;"COVERED","HELD — COVERAGE",IF(OR(R197="PAIRED SYNCHRONIZED",R197="TRILATERAL SYNCHRONIZED"),"E ACTIONABLE","INDEPENDENT"))</x:f>
        <x:v>HELD — COVERAGE</x:v>
      </x:c>
      <x:c r="AA197" s="13" t="str">
        <x:f>IF(L197&lt;&gt;"COVERED","HELD — COVERAGE","WAIT FOR UPSTREAM COMPLETION")</x:f>
        <x:v>HELD — COVERAGE</x:v>
      </x:c>
      <x:c r="AB197" s="13" t="str">
        <x:f>IF(L197&lt;&gt;"COVERED","HELD — COVERAGE",IF(T197="UNRESOLVED","G DECISION REQUIRED",IF(T197="NOT APPLICABLE","G N/A","G ACTIONABLE")))</x:f>
        <x:v>HELD — COVERAGE</x:v>
      </x:c>
      <x:c r="AC197" s="13" t="str">
        <x:f>IF(L197="UNRESOLVED","COVERAGE FIRST",IF(OR(L197="EXCLUDED",L197="OUT OF SCOPE"),"CLOSED BY COVERAGE",IF(AND(L197="COVERED",T197&lt;&gt;"UNRESOLVED"),"PARTIALLY ADOPTED","DECISIONS REMAIN")))</x:f>
        <x:v>COVERAGE FIRST</x:v>
      </x:c>
    </x:row>
    <x:row r="198">
      <x:c r="A198" s="13" t="str">
        <x:v>NAAFTC-HS6-030399</x:v>
      </x:c>
      <x:c r="B198" s="13" t="str">
        <x:v>030399</x:v>
      </x:c>
      <x:c r="C198" s="13" t="str">
        <x:v>03</x:v>
      </x:c>
      <x:c r="D198" s="13" t="str">
        <x:v>TRILATERAL_SPLIT_MERGE</x:v>
      </x:c>
      <x:c r="E198" s="13" t="str">
        <x:v>Pending</x:v>
      </x:c>
      <x:c r="F198" s="13" t="n">
        <x:v>1</x:v>
      </x:c>
      <x:c r="G198" s="13" t="n">
        <x:v>4</x:v>
      </x:c>
      <x:c r="H198" s="13" t="n">
        <x:v>1</x:v>
      </x:c>
      <x:c r="I198" s="13" t="str">
        <x:v>0303990000</x:v>
      </x:c>
      <x:c r="J198" s="13" t="str">
        <x:v>0303990100; 0303990200; 0303990300; 0303999900</x:v>
      </x:c>
      <x:c r="K198" s="13" t="str">
        <x:v>0303990000</x:v>
      </x:c>
      <x:c r="L198" s="13" t="str">
        <x:v>UNRESOLVED</x:v>
      </x:c>
      <x:c r="M198" s="13" t="str"/>
      <x:c r="N198" s="13" t="str">
        <x:v>NO / DEFAULT</x:v>
      </x:c>
      <x:c r="O198" s="13" t="str"/>
      <x:c r="P198" s="13" t="str">
        <x:v>NO / DEFAULT</x:v>
      </x:c>
      <x:c r="Q198" s="13" t="str"/>
      <x:c r="R198" s="13" t="str">
        <x:v>INDEPENDENT / DEFAULT</x:v>
      </x:c>
      <x:c r="S198" s="13" t="str"/>
      <x:c r="T198" s="13" t="str">
        <x:v>UNRESOLVED</x:v>
      </x:c>
      <x:c r="U198" s="13" t="str"/>
      <x:c r="V198" s="13" t="str"/>
      <x:c r="W198" s="13" t="str"/>
      <x:c r="X198" s="13" t="str">
        <x:f>IF(L198&lt;&gt;"COVERED","HELD — COVERAGE",IF(N198="YES — SENSITIVE","C ACTIONABLE","CHAPTER 5 DEFAULT"))</x:f>
        <x:v>HELD — COVERAGE</x:v>
      </x:c>
      <x:c r="Y198" s="13" t="str">
        <x:f>IF(L198&lt;&gt;"COVERED","HELD — COVERAGE",IF(P198="YES — MANAGED ACCESS","D ACTIONABLE","NO D FIELD"))</x:f>
        <x:v>HELD — COVERAGE</x:v>
      </x:c>
      <x:c r="Z198" s="13" t="str">
        <x:f>IF(L198&lt;&gt;"COVERED","HELD — COVERAGE",IF(OR(R198="PAIRED SYNCHRONIZED",R198="TRILATERAL SYNCHRONIZED"),"E ACTIONABLE","INDEPENDENT"))</x:f>
        <x:v>HELD — COVERAGE</x:v>
      </x:c>
      <x:c r="AA198" s="13" t="str">
        <x:f>IF(L198&lt;&gt;"COVERED","HELD — COVERAGE","WAIT FOR UPSTREAM COMPLETION")</x:f>
        <x:v>HELD — COVERAGE</x:v>
      </x:c>
      <x:c r="AB198" s="13" t="str">
        <x:f>IF(L198&lt;&gt;"COVERED","HELD — COVERAGE",IF(T198="UNRESOLVED","G DECISION REQUIRED",IF(T198="NOT APPLICABLE","G N/A","G ACTIONABLE")))</x:f>
        <x:v>HELD — COVERAGE</x:v>
      </x:c>
      <x:c r="AC198" s="13" t="str">
        <x:f>IF(L198="UNRESOLVED","COVERAGE FIRST",IF(OR(L198="EXCLUDED",L198="OUT OF SCOPE"),"CLOSED BY COVERAGE",IF(AND(L198="COVERED",T198&lt;&gt;"UNRESOLVED"),"PARTIALLY ADOPTED","DECISIONS REMAIN")))</x:f>
        <x:v>COVERAGE FIRST</x:v>
      </x:c>
    </x:row>
    <x:row r="199">
      <x:c r="A199" s="13" t="str">
        <x:v>NAAFTC-HS6-030431</x:v>
      </x:c>
      <x:c r="B199" s="13" t="str">
        <x:v>030431</x:v>
      </x:c>
      <x:c r="C199" s="13" t="str">
        <x:v>03</x:v>
      </x:c>
      <x:c r="D199" s="13" t="str">
        <x:v>TRILATERAL_1_TO_1_TO_1</x:v>
      </x:c>
      <x:c r="E199" s="13" t="str">
        <x:v>Pending</x:v>
      </x:c>
      <x:c r="F199" s="13" t="n">
        <x:v>1</x:v>
      </x:c>
      <x:c r="G199" s="13" t="n">
        <x:v>1</x:v>
      </x:c>
      <x:c r="H199" s="13" t="n">
        <x:v>1</x:v>
      </x:c>
      <x:c r="I199" s="13" t="str">
        <x:v>0304310000</x:v>
      </x:c>
      <x:c r="J199" s="13" t="str">
        <x:v>0304310100</x:v>
      </x:c>
      <x:c r="K199" s="13" t="str">
        <x:v>0304310000</x:v>
      </x:c>
      <x:c r="L199" s="13" t="str">
        <x:v>UNRESOLVED</x:v>
      </x:c>
      <x:c r="M199" s="13" t="str"/>
      <x:c r="N199" s="13" t="str">
        <x:v>NO / DEFAULT</x:v>
      </x:c>
      <x:c r="O199" s="13" t="str"/>
      <x:c r="P199" s="13" t="str">
        <x:v>NO / DEFAULT</x:v>
      </x:c>
      <x:c r="Q199" s="13" t="str"/>
      <x:c r="R199" s="13" t="str">
        <x:v>INDEPENDENT / DEFAULT</x:v>
      </x:c>
      <x:c r="S199" s="13" t="str"/>
      <x:c r="T199" s="13" t="str">
        <x:v>UNRESOLVED</x:v>
      </x:c>
      <x:c r="U199" s="13" t="str"/>
      <x:c r="V199" s="13" t="str"/>
      <x:c r="W199" s="13" t="str"/>
      <x:c r="X199" s="13" t="str">
        <x:f>IF(L199&lt;&gt;"COVERED","HELD — COVERAGE",IF(N199="YES — SENSITIVE","C ACTIONABLE","CHAPTER 5 DEFAULT"))</x:f>
        <x:v>HELD — COVERAGE</x:v>
      </x:c>
      <x:c r="Y199" s="13" t="str">
        <x:f>IF(L199&lt;&gt;"COVERED","HELD — COVERAGE",IF(P199="YES — MANAGED ACCESS","D ACTIONABLE","NO D FIELD"))</x:f>
        <x:v>HELD — COVERAGE</x:v>
      </x:c>
      <x:c r="Z199" s="13" t="str">
        <x:f>IF(L199&lt;&gt;"COVERED","HELD — COVERAGE",IF(OR(R199="PAIRED SYNCHRONIZED",R199="TRILATERAL SYNCHRONIZED"),"E ACTIONABLE","INDEPENDENT"))</x:f>
        <x:v>HELD — COVERAGE</x:v>
      </x:c>
      <x:c r="AA199" s="13" t="str">
        <x:f>IF(L199&lt;&gt;"COVERED","HELD — COVERAGE","WAIT FOR UPSTREAM COMPLETION")</x:f>
        <x:v>HELD — COVERAGE</x:v>
      </x:c>
      <x:c r="AB199" s="13" t="str">
        <x:f>IF(L199&lt;&gt;"COVERED","HELD — COVERAGE",IF(T199="UNRESOLVED","G DECISION REQUIRED",IF(T199="NOT APPLICABLE","G N/A","G ACTIONABLE")))</x:f>
        <x:v>HELD — COVERAGE</x:v>
      </x:c>
      <x:c r="AC199" s="13" t="str">
        <x:f>IF(L199="UNRESOLVED","COVERAGE FIRST",IF(OR(L199="EXCLUDED",L199="OUT OF SCOPE"),"CLOSED BY COVERAGE",IF(AND(L199="COVERED",T199&lt;&gt;"UNRESOLVED"),"PARTIALLY ADOPTED","DECISIONS REMAIN")))</x:f>
        <x:v>COVERAGE FIRST</x:v>
      </x:c>
    </x:row>
    <x:row r="200">
      <x:c r="A200" s="13" t="str">
        <x:v>NAAFTC-HS6-030432</x:v>
      </x:c>
      <x:c r="B200" s="13" t="str">
        <x:v>030432</x:v>
      </x:c>
      <x:c r="C200" s="13" t="str">
        <x:v>03</x:v>
      </x:c>
      <x:c r="D200" s="13" t="str">
        <x:v>TRILATERAL_SPLIT_MERGE</x:v>
      </x:c>
      <x:c r="E200" s="13" t="str">
        <x:v>Pending</x:v>
      </x:c>
      <x:c r="F200" s="13" t="n">
        <x:v>3</x:v>
      </x:c>
      <x:c r="G200" s="13" t="n">
        <x:v>1</x:v>
      </x:c>
      <x:c r="H200" s="13" t="n">
        <x:v>1</x:v>
      </x:c>
      <x:c r="I200" s="13" t="str">
        <x:v>0304320010; 0304320020; 0304320090</x:v>
      </x:c>
      <x:c r="J200" s="13" t="str">
        <x:v>0304320100</x:v>
      </x:c>
      <x:c r="K200" s="13" t="str">
        <x:v>0304320000</x:v>
      </x:c>
      <x:c r="L200" s="13" t="str">
        <x:v>UNRESOLVED</x:v>
      </x:c>
      <x:c r="M200" s="13" t="str"/>
      <x:c r="N200" s="13" t="str">
        <x:v>NO / DEFAULT</x:v>
      </x:c>
      <x:c r="O200" s="13" t="str"/>
      <x:c r="P200" s="13" t="str">
        <x:v>NO / DEFAULT</x:v>
      </x:c>
      <x:c r="Q200" s="13" t="str"/>
      <x:c r="R200" s="13" t="str">
        <x:v>INDEPENDENT / DEFAULT</x:v>
      </x:c>
      <x:c r="S200" s="13" t="str"/>
      <x:c r="T200" s="13" t="str">
        <x:v>UNRESOLVED</x:v>
      </x:c>
      <x:c r="U200" s="13" t="str"/>
      <x:c r="V200" s="13" t="str"/>
      <x:c r="W200" s="13" t="str"/>
      <x:c r="X200" s="13" t="str">
        <x:f>IF(L200&lt;&gt;"COVERED","HELD — COVERAGE",IF(N200="YES — SENSITIVE","C ACTIONABLE","CHAPTER 5 DEFAULT"))</x:f>
        <x:v>HELD — COVERAGE</x:v>
      </x:c>
      <x:c r="Y200" s="13" t="str">
        <x:f>IF(L200&lt;&gt;"COVERED","HELD — COVERAGE",IF(P200="YES — MANAGED ACCESS","D ACTIONABLE","NO D FIELD"))</x:f>
        <x:v>HELD — COVERAGE</x:v>
      </x:c>
      <x:c r="Z200" s="13" t="str">
        <x:f>IF(L200&lt;&gt;"COVERED","HELD — COVERAGE",IF(OR(R200="PAIRED SYNCHRONIZED",R200="TRILATERAL SYNCHRONIZED"),"E ACTIONABLE","INDEPENDENT"))</x:f>
        <x:v>HELD — COVERAGE</x:v>
      </x:c>
      <x:c r="AA200" s="13" t="str">
        <x:f>IF(L200&lt;&gt;"COVERED","HELD — COVERAGE","WAIT FOR UPSTREAM COMPLETION")</x:f>
        <x:v>HELD — COVERAGE</x:v>
      </x:c>
      <x:c r="AB200" s="13" t="str">
        <x:f>IF(L200&lt;&gt;"COVERED","HELD — COVERAGE",IF(T200="UNRESOLVED","G DECISION REQUIRED",IF(T200="NOT APPLICABLE","G N/A","G ACTIONABLE")))</x:f>
        <x:v>HELD — COVERAGE</x:v>
      </x:c>
      <x:c r="AC200" s="13" t="str">
        <x:f>IF(L200="UNRESOLVED","COVERAGE FIRST",IF(OR(L200="EXCLUDED",L200="OUT OF SCOPE"),"CLOSED BY COVERAGE",IF(AND(L200="COVERED",T200&lt;&gt;"UNRESOLVED"),"PARTIALLY ADOPTED","DECISIONS REMAIN")))</x:f>
        <x:v>COVERAGE FIRST</x:v>
      </x:c>
    </x:row>
    <x:row r="201">
      <x:c r="A201" s="13" t="str">
        <x:v>NAAFTC-HS6-030433</x:v>
      </x:c>
      <x:c r="B201" s="13" t="str">
        <x:v>030433</x:v>
      </x:c>
      <x:c r="C201" s="13" t="str">
        <x:v>03</x:v>
      </x:c>
      <x:c r="D201" s="13" t="str">
        <x:v>TRILATERAL_1_TO_1_TO_1</x:v>
      </x:c>
      <x:c r="E201" s="13" t="str">
        <x:v>Pending</x:v>
      </x:c>
      <x:c r="F201" s="13" t="n">
        <x:v>1</x:v>
      </x:c>
      <x:c r="G201" s="13" t="n">
        <x:v>1</x:v>
      </x:c>
      <x:c r="H201" s="13" t="n">
        <x:v>1</x:v>
      </x:c>
      <x:c r="I201" s="13" t="str">
        <x:v>0304330000</x:v>
      </x:c>
      <x:c r="J201" s="13" t="str">
        <x:v>0304330100</x:v>
      </x:c>
      <x:c r="K201" s="13" t="str">
        <x:v>0304330000</x:v>
      </x:c>
      <x:c r="L201" s="13" t="str">
        <x:v>UNRESOLVED</x:v>
      </x:c>
      <x:c r="M201" s="13" t="str"/>
      <x:c r="N201" s="13" t="str">
        <x:v>NO / DEFAULT</x:v>
      </x:c>
      <x:c r="O201" s="13" t="str"/>
      <x:c r="P201" s="13" t="str">
        <x:v>NO / DEFAULT</x:v>
      </x:c>
      <x:c r="Q201" s="13" t="str"/>
      <x:c r="R201" s="13" t="str">
        <x:v>INDEPENDENT / DEFAULT</x:v>
      </x:c>
      <x:c r="S201" s="13" t="str"/>
      <x:c r="T201" s="13" t="str">
        <x:v>UNRESOLVED</x:v>
      </x:c>
      <x:c r="U201" s="13" t="str"/>
      <x:c r="V201" s="13" t="str"/>
      <x:c r="W201" s="13" t="str"/>
      <x:c r="X201" s="13" t="str">
        <x:f>IF(L201&lt;&gt;"COVERED","HELD — COVERAGE",IF(N201="YES — SENSITIVE","C ACTIONABLE","CHAPTER 5 DEFAULT"))</x:f>
        <x:v>HELD — COVERAGE</x:v>
      </x:c>
      <x:c r="Y201" s="13" t="str">
        <x:f>IF(L201&lt;&gt;"COVERED","HELD — COVERAGE",IF(P201="YES — MANAGED ACCESS","D ACTIONABLE","NO D FIELD"))</x:f>
        <x:v>HELD — COVERAGE</x:v>
      </x:c>
      <x:c r="Z201" s="13" t="str">
        <x:f>IF(L201&lt;&gt;"COVERED","HELD — COVERAGE",IF(OR(R201="PAIRED SYNCHRONIZED",R201="TRILATERAL SYNCHRONIZED"),"E ACTIONABLE","INDEPENDENT"))</x:f>
        <x:v>HELD — COVERAGE</x:v>
      </x:c>
      <x:c r="AA201" s="13" t="str">
        <x:f>IF(L201&lt;&gt;"COVERED","HELD — COVERAGE","WAIT FOR UPSTREAM COMPLETION")</x:f>
        <x:v>HELD — COVERAGE</x:v>
      </x:c>
      <x:c r="AB201" s="13" t="str">
        <x:f>IF(L201&lt;&gt;"COVERED","HELD — COVERAGE",IF(T201="UNRESOLVED","G DECISION REQUIRED",IF(T201="NOT APPLICABLE","G N/A","G ACTIONABLE")))</x:f>
        <x:v>HELD — COVERAGE</x:v>
      </x:c>
      <x:c r="AC201" s="13" t="str">
        <x:f>IF(L201="UNRESOLVED","COVERAGE FIRST",IF(OR(L201="EXCLUDED",L201="OUT OF SCOPE"),"CLOSED BY COVERAGE",IF(AND(L201="COVERED",T201&lt;&gt;"UNRESOLVED"),"PARTIALLY ADOPTED","DECISIONS REMAIN")))</x:f>
        <x:v>COVERAGE FIRST</x:v>
      </x:c>
    </x:row>
    <x:row r="202">
      <x:c r="A202" s="13" t="str">
        <x:v>NAAFTC-HS6-030439</x:v>
      </x:c>
      <x:c r="B202" s="13" t="str">
        <x:v>030439</x:v>
      </x:c>
      <x:c r="C202" s="13" t="str">
        <x:v>03</x:v>
      </x:c>
      <x:c r="D202" s="13" t="str">
        <x:v>TRILATERAL_1_TO_1_TO_1</x:v>
      </x:c>
      <x:c r="E202" s="13" t="str">
        <x:v>Pending</x:v>
      </x:c>
      <x:c r="F202" s="13" t="n">
        <x:v>1</x:v>
      </x:c>
      <x:c r="G202" s="13" t="n">
        <x:v>1</x:v>
      </x:c>
      <x:c r="H202" s="13" t="n">
        <x:v>1</x:v>
      </x:c>
      <x:c r="I202" s="13" t="str">
        <x:v>0304390000</x:v>
      </x:c>
      <x:c r="J202" s="13" t="str">
        <x:v>0304399900</x:v>
      </x:c>
      <x:c r="K202" s="13" t="str">
        <x:v>0304390000</x:v>
      </x:c>
      <x:c r="L202" s="13" t="str">
        <x:v>UNRESOLVED</x:v>
      </x:c>
      <x:c r="M202" s="13" t="str"/>
      <x:c r="N202" s="13" t="str">
        <x:v>NO / DEFAULT</x:v>
      </x:c>
      <x:c r="O202" s="13" t="str"/>
      <x:c r="P202" s="13" t="str">
        <x:v>NO / DEFAULT</x:v>
      </x:c>
      <x:c r="Q202" s="13" t="str"/>
      <x:c r="R202" s="13" t="str">
        <x:v>INDEPENDENT / DEFAULT</x:v>
      </x:c>
      <x:c r="S202" s="13" t="str"/>
      <x:c r="T202" s="13" t="str">
        <x:v>UNRESOLVED</x:v>
      </x:c>
      <x:c r="U202" s="13" t="str"/>
      <x:c r="V202" s="13" t="str"/>
      <x:c r="W202" s="13" t="str"/>
      <x:c r="X202" s="13" t="str">
        <x:f>IF(L202&lt;&gt;"COVERED","HELD — COVERAGE",IF(N202="YES — SENSITIVE","C ACTIONABLE","CHAPTER 5 DEFAULT"))</x:f>
        <x:v>HELD — COVERAGE</x:v>
      </x:c>
      <x:c r="Y202" s="13" t="str">
        <x:f>IF(L202&lt;&gt;"COVERED","HELD — COVERAGE",IF(P202="YES — MANAGED ACCESS","D ACTIONABLE","NO D FIELD"))</x:f>
        <x:v>HELD — COVERAGE</x:v>
      </x:c>
      <x:c r="Z202" s="13" t="str">
        <x:f>IF(L202&lt;&gt;"COVERED","HELD — COVERAGE",IF(OR(R202="PAIRED SYNCHRONIZED",R202="TRILATERAL SYNCHRONIZED"),"E ACTIONABLE","INDEPENDENT"))</x:f>
        <x:v>HELD — COVERAGE</x:v>
      </x:c>
      <x:c r="AA202" s="13" t="str">
        <x:f>IF(L202&lt;&gt;"COVERED","HELD — COVERAGE","WAIT FOR UPSTREAM COMPLETION")</x:f>
        <x:v>HELD — COVERAGE</x:v>
      </x:c>
      <x:c r="AB202" s="13" t="str">
        <x:f>IF(L202&lt;&gt;"COVERED","HELD — COVERAGE",IF(T202="UNRESOLVED","G DECISION REQUIRED",IF(T202="NOT APPLICABLE","G N/A","G ACTIONABLE")))</x:f>
        <x:v>HELD — COVERAGE</x:v>
      </x:c>
      <x:c r="AC202" s="13" t="str">
        <x:f>IF(L202="UNRESOLVED","COVERAGE FIRST",IF(OR(L202="EXCLUDED",L202="OUT OF SCOPE"),"CLOSED BY COVERAGE",IF(AND(L202="COVERED",T202&lt;&gt;"UNRESOLVED"),"PARTIALLY ADOPTED","DECISIONS REMAIN")))</x:f>
        <x:v>COVERAGE FIRST</x:v>
      </x:c>
    </x:row>
    <x:row r="203">
      <x:c r="A203" s="13" t="str">
        <x:v>NAAFTC-HS6-030441</x:v>
      </x:c>
      <x:c r="B203" s="13" t="str">
        <x:v>030441</x:v>
      </x:c>
      <x:c r="C203" s="13" t="str">
        <x:v>03</x:v>
      </x:c>
      <x:c r="D203" s="13" t="str">
        <x:v>TRILATERAL_SPLIT_MERGE</x:v>
      </x:c>
      <x:c r="E203" s="13" t="str">
        <x:v>Pending</x:v>
      </x:c>
      <x:c r="F203" s="13" t="n">
        <x:v>3</x:v>
      </x:c>
      <x:c r="G203" s="13" t="n">
        <x:v>1</x:v>
      </x:c>
      <x:c r="H203" s="13" t="n">
        <x:v>1</x:v>
      </x:c>
      <x:c r="I203" s="13" t="str">
        <x:v>0304410010; 0304410020; 0304410090</x:v>
      </x:c>
      <x:c r="J203" s="13" t="str">
        <x:v>0304410100</x:v>
      </x:c>
      <x:c r="K203" s="13" t="str">
        <x:v>0304410000</x:v>
      </x:c>
      <x:c r="L203" s="13" t="str">
        <x:v>UNRESOLVED</x:v>
      </x:c>
      <x:c r="M203" s="13" t="str"/>
      <x:c r="N203" s="13" t="str">
        <x:v>NO / DEFAULT</x:v>
      </x:c>
      <x:c r="O203" s="13" t="str"/>
      <x:c r="P203" s="13" t="str">
        <x:v>NO / DEFAULT</x:v>
      </x:c>
      <x:c r="Q203" s="13" t="str"/>
      <x:c r="R203" s="13" t="str">
        <x:v>INDEPENDENT / DEFAULT</x:v>
      </x:c>
      <x:c r="S203" s="13" t="str"/>
      <x:c r="T203" s="13" t="str">
        <x:v>UNRESOLVED</x:v>
      </x:c>
      <x:c r="U203" s="13" t="str"/>
      <x:c r="V203" s="13" t="str"/>
      <x:c r="W203" s="13" t="str"/>
      <x:c r="X203" s="13" t="str">
        <x:f>IF(L203&lt;&gt;"COVERED","HELD — COVERAGE",IF(N203="YES — SENSITIVE","C ACTIONABLE","CHAPTER 5 DEFAULT"))</x:f>
        <x:v>HELD — COVERAGE</x:v>
      </x:c>
      <x:c r="Y203" s="13" t="str">
        <x:f>IF(L203&lt;&gt;"COVERED","HELD — COVERAGE",IF(P203="YES — MANAGED ACCESS","D ACTIONABLE","NO D FIELD"))</x:f>
        <x:v>HELD — COVERAGE</x:v>
      </x:c>
      <x:c r="Z203" s="13" t="str">
        <x:f>IF(L203&lt;&gt;"COVERED","HELD — COVERAGE",IF(OR(R203="PAIRED SYNCHRONIZED",R203="TRILATERAL SYNCHRONIZED"),"E ACTIONABLE","INDEPENDENT"))</x:f>
        <x:v>HELD — COVERAGE</x:v>
      </x:c>
      <x:c r="AA203" s="13" t="str">
        <x:f>IF(L203&lt;&gt;"COVERED","HELD — COVERAGE","WAIT FOR UPSTREAM COMPLETION")</x:f>
        <x:v>HELD — COVERAGE</x:v>
      </x:c>
      <x:c r="AB203" s="13" t="str">
        <x:f>IF(L203&lt;&gt;"COVERED","HELD — COVERAGE",IF(T203="UNRESOLVED","G DECISION REQUIRED",IF(T203="NOT APPLICABLE","G N/A","G ACTIONABLE")))</x:f>
        <x:v>HELD — COVERAGE</x:v>
      </x:c>
      <x:c r="AC203" s="13" t="str">
        <x:f>IF(L203="UNRESOLVED","COVERAGE FIRST",IF(OR(L203="EXCLUDED",L203="OUT OF SCOPE"),"CLOSED BY COVERAGE",IF(AND(L203="COVERED",T203&lt;&gt;"UNRESOLVED"),"PARTIALLY ADOPTED","DECISIONS REMAIN")))</x:f>
        <x:v>COVERAGE FIRST</x:v>
      </x:c>
    </x:row>
    <x:row r="204">
      <x:c r="A204" s="13" t="str">
        <x:v>NAAFTC-HS6-030442</x:v>
      </x:c>
      <x:c r="B204" s="13" t="str">
        <x:v>030442</x:v>
      </x:c>
      <x:c r="C204" s="13" t="str">
        <x:v>03</x:v>
      </x:c>
      <x:c r="D204" s="13" t="str">
        <x:v>TRILATERAL_1_TO_1_TO_1</x:v>
      </x:c>
      <x:c r="E204" s="13" t="str">
        <x:v>Pending</x:v>
      </x:c>
      <x:c r="F204" s="13" t="n">
        <x:v>1</x:v>
      </x:c>
      <x:c r="G204" s="13" t="n">
        <x:v>1</x:v>
      </x:c>
      <x:c r="H204" s="13" t="n">
        <x:v>1</x:v>
      </x:c>
      <x:c r="I204" s="13" t="str">
        <x:v>0304420000</x:v>
      </x:c>
      <x:c r="J204" s="13" t="str">
        <x:v>0304420100</x:v>
      </x:c>
      <x:c r="K204" s="13" t="str">
        <x:v>0304420000</x:v>
      </x:c>
      <x:c r="L204" s="13" t="str">
        <x:v>UNRESOLVED</x:v>
      </x:c>
      <x:c r="M204" s="13" t="str"/>
      <x:c r="N204" s="13" t="str">
        <x:v>NO / DEFAULT</x:v>
      </x:c>
      <x:c r="O204" s="13" t="str"/>
      <x:c r="P204" s="13" t="str">
        <x:v>NO / DEFAULT</x:v>
      </x:c>
      <x:c r="Q204" s="13" t="str"/>
      <x:c r="R204" s="13" t="str">
        <x:v>INDEPENDENT / DEFAULT</x:v>
      </x:c>
      <x:c r="S204" s="13" t="str"/>
      <x:c r="T204" s="13" t="str">
        <x:v>UNRESOLVED</x:v>
      </x:c>
      <x:c r="U204" s="13" t="str"/>
      <x:c r="V204" s="13" t="str"/>
      <x:c r="W204" s="13" t="str"/>
      <x:c r="X204" s="13" t="str">
        <x:f>IF(L204&lt;&gt;"COVERED","HELD — COVERAGE",IF(N204="YES — SENSITIVE","C ACTIONABLE","CHAPTER 5 DEFAULT"))</x:f>
        <x:v>HELD — COVERAGE</x:v>
      </x:c>
      <x:c r="Y204" s="13" t="str">
        <x:f>IF(L204&lt;&gt;"COVERED","HELD — COVERAGE",IF(P204="YES — MANAGED ACCESS","D ACTIONABLE","NO D FIELD"))</x:f>
        <x:v>HELD — COVERAGE</x:v>
      </x:c>
      <x:c r="Z204" s="13" t="str">
        <x:f>IF(L204&lt;&gt;"COVERED","HELD — COVERAGE",IF(OR(R204="PAIRED SYNCHRONIZED",R204="TRILATERAL SYNCHRONIZED"),"E ACTIONABLE","INDEPENDENT"))</x:f>
        <x:v>HELD — COVERAGE</x:v>
      </x:c>
      <x:c r="AA204" s="13" t="str">
        <x:f>IF(L204&lt;&gt;"COVERED","HELD — COVERAGE","WAIT FOR UPSTREAM COMPLETION")</x:f>
        <x:v>HELD — COVERAGE</x:v>
      </x:c>
      <x:c r="AB204" s="13" t="str">
        <x:f>IF(L204&lt;&gt;"COVERED","HELD — COVERAGE",IF(T204="UNRESOLVED","G DECISION REQUIRED",IF(T204="NOT APPLICABLE","G N/A","G ACTIONABLE")))</x:f>
        <x:v>HELD — COVERAGE</x:v>
      </x:c>
      <x:c r="AC204" s="13" t="str">
        <x:f>IF(L204="UNRESOLVED","COVERAGE FIRST",IF(OR(L204="EXCLUDED",L204="OUT OF SCOPE"),"CLOSED BY COVERAGE",IF(AND(L204="COVERED",T204&lt;&gt;"UNRESOLVED"),"PARTIALLY ADOPTED","DECISIONS REMAIN")))</x:f>
        <x:v>COVERAGE FIRST</x:v>
      </x:c>
    </x:row>
    <x:row r="205">
      <x:c r="A205" s="13" t="str">
        <x:v>NAAFTC-HS6-030443</x:v>
      </x:c>
      <x:c r="B205" s="13" t="str">
        <x:v>030443</x:v>
      </x:c>
      <x:c r="C205" s="13" t="str">
        <x:v>03</x:v>
      </x:c>
      <x:c r="D205" s="13" t="str">
        <x:v>TRILATERAL_SPLIT_MERGE</x:v>
      </x:c>
      <x:c r="E205" s="13" t="str">
        <x:v>Pending</x:v>
      </x:c>
      <x:c r="F205" s="13" t="n">
        <x:v>5</x:v>
      </x:c>
      <x:c r="G205" s="13" t="n">
        <x:v>1</x:v>
      </x:c>
      <x:c r="H205" s="13" t="n">
        <x:v>1</x:v>
      </x:c>
      <x:c r="I205" s="13" t="str">
        <x:v>0304430010; 0304430015; 0304430020; 0304430025; 0304430090</x:v>
      </x:c>
      <x:c r="J205" s="13" t="str">
        <x:v>0304430100</x:v>
      </x:c>
      <x:c r="K205" s="13" t="str">
        <x:v>0304430000</x:v>
      </x:c>
      <x:c r="L205" s="13" t="str">
        <x:v>UNRESOLVED</x:v>
      </x:c>
      <x:c r="M205" s="13" t="str"/>
      <x:c r="N205" s="13" t="str">
        <x:v>NO / DEFAULT</x:v>
      </x:c>
      <x:c r="O205" s="13" t="str"/>
      <x:c r="P205" s="13" t="str">
        <x:v>NO / DEFAULT</x:v>
      </x:c>
      <x:c r="Q205" s="13" t="str"/>
      <x:c r="R205" s="13" t="str">
        <x:v>INDEPENDENT / DEFAULT</x:v>
      </x:c>
      <x:c r="S205" s="13" t="str"/>
      <x:c r="T205" s="13" t="str">
        <x:v>UNRESOLVED</x:v>
      </x:c>
      <x:c r="U205" s="13" t="str"/>
      <x:c r="V205" s="13" t="str"/>
      <x:c r="W205" s="13" t="str"/>
      <x:c r="X205" s="13" t="str">
        <x:f>IF(L205&lt;&gt;"COVERED","HELD — COVERAGE",IF(N205="YES — SENSITIVE","C ACTIONABLE","CHAPTER 5 DEFAULT"))</x:f>
        <x:v>HELD — COVERAGE</x:v>
      </x:c>
      <x:c r="Y205" s="13" t="str">
        <x:f>IF(L205&lt;&gt;"COVERED","HELD — COVERAGE",IF(P205="YES — MANAGED ACCESS","D ACTIONABLE","NO D FIELD"))</x:f>
        <x:v>HELD — COVERAGE</x:v>
      </x:c>
      <x:c r="Z205" s="13" t="str">
        <x:f>IF(L205&lt;&gt;"COVERED","HELD — COVERAGE",IF(OR(R205="PAIRED SYNCHRONIZED",R205="TRILATERAL SYNCHRONIZED"),"E ACTIONABLE","INDEPENDENT"))</x:f>
        <x:v>HELD — COVERAGE</x:v>
      </x:c>
      <x:c r="AA205" s="13" t="str">
        <x:f>IF(L205&lt;&gt;"COVERED","HELD — COVERAGE","WAIT FOR UPSTREAM COMPLETION")</x:f>
        <x:v>HELD — COVERAGE</x:v>
      </x:c>
      <x:c r="AB205" s="13" t="str">
        <x:f>IF(L205&lt;&gt;"COVERED","HELD — COVERAGE",IF(T205="UNRESOLVED","G DECISION REQUIRED",IF(T205="NOT APPLICABLE","G N/A","G ACTIONABLE")))</x:f>
        <x:v>HELD — COVERAGE</x:v>
      </x:c>
      <x:c r="AC205" s="13" t="str">
        <x:f>IF(L205="UNRESOLVED","COVERAGE FIRST",IF(OR(L205="EXCLUDED",L205="OUT OF SCOPE"),"CLOSED BY COVERAGE",IF(AND(L205="COVERED",T205&lt;&gt;"UNRESOLVED"),"PARTIALLY ADOPTED","DECISIONS REMAIN")))</x:f>
        <x:v>COVERAGE FIRST</x:v>
      </x:c>
    </x:row>
    <x:row r="206">
      <x:c r="A206" s="13" t="str">
        <x:v>NAAFTC-HS6-030444</x:v>
      </x:c>
      <x:c r="B206" s="13" t="str">
        <x:v>030444</x:v>
      </x:c>
      <x:c r="C206" s="13" t="str">
        <x:v>03</x:v>
      </x:c>
      <x:c r="D206" s="13" t="str">
        <x:v>TRILATERAL_SPLIT_MERGE</x:v>
      </x:c>
      <x:c r="E206" s="13" t="str">
        <x:v>Pending</x:v>
      </x:c>
      <x:c r="F206" s="13" t="n">
        <x:v>6</x:v>
      </x:c>
      <x:c r="G206" s="13" t="n">
        <x:v>2</x:v>
      </x:c>
      <x:c r="H206" s="13" t="n">
        <x:v>1</x:v>
      </x:c>
      <x:c r="I206" s="13" t="str">
        <x:v>0304440010; 0304440015; 0304440020; 0304440025; 0304440030; 0304440090</x:v>
      </x:c>
      <x:c r="J206" s="13" t="str">
        <x:v>0304440101; 0304440199</x:v>
      </x:c>
      <x:c r="K206" s="13" t="str">
        <x:v>03044400</x:v>
      </x:c>
      <x:c r="L206" s="13" t="str">
        <x:v>UNRESOLVED</x:v>
      </x:c>
      <x:c r="M206" s="13" t="str"/>
      <x:c r="N206" s="13" t="str">
        <x:v>NO / DEFAULT</x:v>
      </x:c>
      <x:c r="O206" s="13" t="str"/>
      <x:c r="P206" s="13" t="str">
        <x:v>NO / DEFAULT</x:v>
      </x:c>
      <x:c r="Q206" s="13" t="str"/>
      <x:c r="R206" s="13" t="str">
        <x:v>INDEPENDENT / DEFAULT</x:v>
      </x:c>
      <x:c r="S206" s="13" t="str"/>
      <x:c r="T206" s="13" t="str">
        <x:v>UNRESOLVED</x:v>
      </x:c>
      <x:c r="U206" s="13" t="str"/>
      <x:c r="V206" s="13" t="str"/>
      <x:c r="W206" s="13" t="str"/>
      <x:c r="X206" s="13" t="str">
        <x:f>IF(L206&lt;&gt;"COVERED","HELD — COVERAGE",IF(N206="YES — SENSITIVE","C ACTIONABLE","CHAPTER 5 DEFAULT"))</x:f>
        <x:v>HELD — COVERAGE</x:v>
      </x:c>
      <x:c r="Y206" s="13" t="str">
        <x:f>IF(L206&lt;&gt;"COVERED","HELD — COVERAGE",IF(P206="YES — MANAGED ACCESS","D ACTIONABLE","NO D FIELD"))</x:f>
        <x:v>HELD — COVERAGE</x:v>
      </x:c>
      <x:c r="Z206" s="13" t="str">
        <x:f>IF(L206&lt;&gt;"COVERED","HELD — COVERAGE",IF(OR(R206="PAIRED SYNCHRONIZED",R206="TRILATERAL SYNCHRONIZED"),"E ACTIONABLE","INDEPENDENT"))</x:f>
        <x:v>HELD — COVERAGE</x:v>
      </x:c>
      <x:c r="AA206" s="13" t="str">
        <x:f>IF(L206&lt;&gt;"COVERED","HELD — COVERAGE","WAIT FOR UPSTREAM COMPLETION")</x:f>
        <x:v>HELD — COVERAGE</x:v>
      </x:c>
      <x:c r="AB206" s="13" t="str">
        <x:f>IF(L206&lt;&gt;"COVERED","HELD — COVERAGE",IF(T206="UNRESOLVED","G DECISION REQUIRED",IF(T206="NOT APPLICABLE","G N/A","G ACTIONABLE")))</x:f>
        <x:v>HELD — COVERAGE</x:v>
      </x:c>
      <x:c r="AC206" s="13" t="str">
        <x:f>IF(L206="UNRESOLVED","COVERAGE FIRST",IF(OR(L206="EXCLUDED",L206="OUT OF SCOPE"),"CLOSED BY COVERAGE",IF(AND(L206="COVERED",T206&lt;&gt;"UNRESOLVED"),"PARTIALLY ADOPTED","DECISIONS REMAIN")))</x:f>
        <x:v>COVERAGE FIRST</x:v>
      </x:c>
    </x:row>
    <x:row r="207">
      <x:c r="A207" s="13" t="str">
        <x:v>NAAFTC-HS6-030445</x:v>
      </x:c>
      <x:c r="B207" s="13" t="str">
        <x:v>030445</x:v>
      </x:c>
      <x:c r="C207" s="13" t="str">
        <x:v>03</x:v>
      </x:c>
      <x:c r="D207" s="13" t="str">
        <x:v>TRILATERAL_1_TO_1_TO_1</x:v>
      </x:c>
      <x:c r="E207" s="13" t="str">
        <x:v>Pending</x:v>
      </x:c>
      <x:c r="F207" s="13" t="n">
        <x:v>1</x:v>
      </x:c>
      <x:c r="G207" s="13" t="n">
        <x:v>1</x:v>
      </x:c>
      <x:c r="H207" s="13" t="n">
        <x:v>1</x:v>
      </x:c>
      <x:c r="I207" s="13" t="str">
        <x:v>0304450000</x:v>
      </x:c>
      <x:c r="J207" s="13" t="str">
        <x:v>0304450100</x:v>
      </x:c>
      <x:c r="K207" s="13" t="str">
        <x:v>0304450000</x:v>
      </x:c>
      <x:c r="L207" s="13" t="str">
        <x:v>UNRESOLVED</x:v>
      </x:c>
      <x:c r="M207" s="13" t="str"/>
      <x:c r="N207" s="13" t="str">
        <x:v>NO / DEFAULT</x:v>
      </x:c>
      <x:c r="O207" s="13" t="str"/>
      <x:c r="P207" s="13" t="str">
        <x:v>NO / DEFAULT</x:v>
      </x:c>
      <x:c r="Q207" s="13" t="str"/>
      <x:c r="R207" s="13" t="str">
        <x:v>INDEPENDENT / DEFAULT</x:v>
      </x:c>
      <x:c r="S207" s="13" t="str"/>
      <x:c r="T207" s="13" t="str">
        <x:v>UNRESOLVED</x:v>
      </x:c>
      <x:c r="U207" s="13" t="str"/>
      <x:c r="V207" s="13" t="str"/>
      <x:c r="W207" s="13" t="str"/>
      <x:c r="X207" s="13" t="str">
        <x:f>IF(L207&lt;&gt;"COVERED","HELD — COVERAGE",IF(N207="YES — SENSITIVE","C ACTIONABLE","CHAPTER 5 DEFAULT"))</x:f>
        <x:v>HELD — COVERAGE</x:v>
      </x:c>
      <x:c r="Y207" s="13" t="str">
        <x:f>IF(L207&lt;&gt;"COVERED","HELD — COVERAGE",IF(P207="YES — MANAGED ACCESS","D ACTIONABLE","NO D FIELD"))</x:f>
        <x:v>HELD — COVERAGE</x:v>
      </x:c>
      <x:c r="Z207" s="13" t="str">
        <x:f>IF(L207&lt;&gt;"COVERED","HELD — COVERAGE",IF(OR(R207="PAIRED SYNCHRONIZED",R207="TRILATERAL SYNCHRONIZED"),"E ACTIONABLE","INDEPENDENT"))</x:f>
        <x:v>HELD — COVERAGE</x:v>
      </x:c>
      <x:c r="AA207" s="13" t="str">
        <x:f>IF(L207&lt;&gt;"COVERED","HELD — COVERAGE","WAIT FOR UPSTREAM COMPLETION")</x:f>
        <x:v>HELD — COVERAGE</x:v>
      </x:c>
      <x:c r="AB207" s="13" t="str">
        <x:f>IF(L207&lt;&gt;"COVERED","HELD — COVERAGE",IF(T207="UNRESOLVED","G DECISION REQUIRED",IF(T207="NOT APPLICABLE","G N/A","G ACTIONABLE")))</x:f>
        <x:v>HELD — COVERAGE</x:v>
      </x:c>
      <x:c r="AC207" s="13" t="str">
        <x:f>IF(L207="UNRESOLVED","COVERAGE FIRST",IF(OR(L207="EXCLUDED",L207="OUT OF SCOPE"),"CLOSED BY COVERAGE",IF(AND(L207="COVERED",T207&lt;&gt;"UNRESOLVED"),"PARTIALLY ADOPTED","DECISIONS REMAIN")))</x:f>
        <x:v>COVERAGE FIRST</x:v>
      </x:c>
    </x:row>
    <x:row r="208">
      <x:c r="A208" s="13" t="str">
        <x:v>NAAFTC-HS6-030446</x:v>
      </x:c>
      <x:c r="B208" s="13" t="str">
        <x:v>030446</x:v>
      </x:c>
      <x:c r="C208" s="13" t="str">
        <x:v>03</x:v>
      </x:c>
      <x:c r="D208" s="13" t="str">
        <x:v>TRILATERAL_1_TO_1_TO_1</x:v>
      </x:c>
      <x:c r="E208" s="13" t="str">
        <x:v>Pending</x:v>
      </x:c>
      <x:c r="F208" s="13" t="n">
        <x:v>1</x:v>
      </x:c>
      <x:c r="G208" s="13" t="n">
        <x:v>1</x:v>
      </x:c>
      <x:c r="H208" s="13" t="n">
        <x:v>1</x:v>
      </x:c>
      <x:c r="I208" s="13" t="str">
        <x:v>0304460000</x:v>
      </x:c>
      <x:c r="J208" s="13" t="str">
        <x:v>0304460100</x:v>
      </x:c>
      <x:c r="K208" s="13" t="str">
        <x:v>0304460000</x:v>
      </x:c>
      <x:c r="L208" s="13" t="str">
        <x:v>UNRESOLVED</x:v>
      </x:c>
      <x:c r="M208" s="13" t="str"/>
      <x:c r="N208" s="13" t="str">
        <x:v>NO / DEFAULT</x:v>
      </x:c>
      <x:c r="O208" s="13" t="str"/>
      <x:c r="P208" s="13" t="str">
        <x:v>NO / DEFAULT</x:v>
      </x:c>
      <x:c r="Q208" s="13" t="str"/>
      <x:c r="R208" s="13" t="str">
        <x:v>INDEPENDENT / DEFAULT</x:v>
      </x:c>
      <x:c r="S208" s="13" t="str"/>
      <x:c r="T208" s="13" t="str">
        <x:v>UNRESOLVED</x:v>
      </x:c>
      <x:c r="U208" s="13" t="str"/>
      <x:c r="V208" s="13" t="str"/>
      <x:c r="W208" s="13" t="str"/>
      <x:c r="X208" s="13" t="str">
        <x:f>IF(L208&lt;&gt;"COVERED","HELD — COVERAGE",IF(N208="YES — SENSITIVE","C ACTIONABLE","CHAPTER 5 DEFAULT"))</x:f>
        <x:v>HELD — COVERAGE</x:v>
      </x:c>
      <x:c r="Y208" s="13" t="str">
        <x:f>IF(L208&lt;&gt;"COVERED","HELD — COVERAGE",IF(P208="YES — MANAGED ACCESS","D ACTIONABLE","NO D FIELD"))</x:f>
        <x:v>HELD — COVERAGE</x:v>
      </x:c>
      <x:c r="Z208" s="13" t="str">
        <x:f>IF(L208&lt;&gt;"COVERED","HELD — COVERAGE",IF(OR(R208="PAIRED SYNCHRONIZED",R208="TRILATERAL SYNCHRONIZED"),"E ACTIONABLE","INDEPENDENT"))</x:f>
        <x:v>HELD — COVERAGE</x:v>
      </x:c>
      <x:c r="AA208" s="13" t="str">
        <x:f>IF(L208&lt;&gt;"COVERED","HELD — COVERAGE","WAIT FOR UPSTREAM COMPLETION")</x:f>
        <x:v>HELD — COVERAGE</x:v>
      </x:c>
      <x:c r="AB208" s="13" t="str">
        <x:f>IF(L208&lt;&gt;"COVERED","HELD — COVERAGE",IF(T208="UNRESOLVED","G DECISION REQUIRED",IF(T208="NOT APPLICABLE","G N/A","G ACTIONABLE")))</x:f>
        <x:v>HELD — COVERAGE</x:v>
      </x:c>
      <x:c r="AC208" s="13" t="str">
        <x:f>IF(L208="UNRESOLVED","COVERAGE FIRST",IF(OR(L208="EXCLUDED",L208="OUT OF SCOPE"),"CLOSED BY COVERAGE",IF(AND(L208="COVERED",T208&lt;&gt;"UNRESOLVED"),"PARTIALLY ADOPTED","DECISIONS REMAIN")))</x:f>
        <x:v>COVERAGE FIRST</x:v>
      </x:c>
    </x:row>
    <x:row r="209">
      <x:c r="A209" s="13" t="str">
        <x:v>NAAFTC-HS6-030447</x:v>
      </x:c>
      <x:c r="B209" s="13" t="str">
        <x:v>030447</x:v>
      </x:c>
      <x:c r="C209" s="13" t="str">
        <x:v>03</x:v>
      </x:c>
      <x:c r="D209" s="13" t="str">
        <x:v>TRILATERAL_1_TO_1_TO_1</x:v>
      </x:c>
      <x:c r="E209" s="13" t="str">
        <x:v>Pending</x:v>
      </x:c>
      <x:c r="F209" s="13" t="n">
        <x:v>1</x:v>
      </x:c>
      <x:c r="G209" s="13" t="n">
        <x:v>1</x:v>
      </x:c>
      <x:c r="H209" s="13" t="n">
        <x:v>1</x:v>
      </x:c>
      <x:c r="I209" s="13" t="str">
        <x:v>0304470000</x:v>
      </x:c>
      <x:c r="J209" s="13" t="str">
        <x:v>0304470100</x:v>
      </x:c>
      <x:c r="K209" s="13" t="str">
        <x:v>0304470000</x:v>
      </x:c>
      <x:c r="L209" s="13" t="str">
        <x:v>UNRESOLVED</x:v>
      </x:c>
      <x:c r="M209" s="13" t="str"/>
      <x:c r="N209" s="13" t="str">
        <x:v>NO / DEFAULT</x:v>
      </x:c>
      <x:c r="O209" s="13" t="str"/>
      <x:c r="P209" s="13" t="str">
        <x:v>NO / DEFAULT</x:v>
      </x:c>
      <x:c r="Q209" s="13" t="str"/>
      <x:c r="R209" s="13" t="str">
        <x:v>INDEPENDENT / DEFAULT</x:v>
      </x:c>
      <x:c r="S209" s="13" t="str"/>
      <x:c r="T209" s="13" t="str">
        <x:v>UNRESOLVED</x:v>
      </x:c>
      <x:c r="U209" s="13" t="str"/>
      <x:c r="V209" s="13" t="str"/>
      <x:c r="W209" s="13" t="str"/>
      <x:c r="X209" s="13" t="str">
        <x:f>IF(L209&lt;&gt;"COVERED","HELD — COVERAGE",IF(N209="YES — SENSITIVE","C ACTIONABLE","CHAPTER 5 DEFAULT"))</x:f>
        <x:v>HELD — COVERAGE</x:v>
      </x:c>
      <x:c r="Y209" s="13" t="str">
        <x:f>IF(L209&lt;&gt;"COVERED","HELD — COVERAGE",IF(P209="YES — MANAGED ACCESS","D ACTIONABLE","NO D FIELD"))</x:f>
        <x:v>HELD — COVERAGE</x:v>
      </x:c>
      <x:c r="Z209" s="13" t="str">
        <x:f>IF(L209&lt;&gt;"COVERED","HELD — COVERAGE",IF(OR(R209="PAIRED SYNCHRONIZED",R209="TRILATERAL SYNCHRONIZED"),"E ACTIONABLE","INDEPENDENT"))</x:f>
        <x:v>HELD — COVERAGE</x:v>
      </x:c>
      <x:c r="AA209" s="13" t="str">
        <x:f>IF(L209&lt;&gt;"COVERED","HELD — COVERAGE","WAIT FOR UPSTREAM COMPLETION")</x:f>
        <x:v>HELD — COVERAGE</x:v>
      </x:c>
      <x:c r="AB209" s="13" t="str">
        <x:f>IF(L209&lt;&gt;"COVERED","HELD — COVERAGE",IF(T209="UNRESOLVED","G DECISION REQUIRED",IF(T209="NOT APPLICABLE","G N/A","G ACTIONABLE")))</x:f>
        <x:v>HELD — COVERAGE</x:v>
      </x:c>
      <x:c r="AC209" s="13" t="str">
        <x:f>IF(L209="UNRESOLVED","COVERAGE FIRST",IF(OR(L209="EXCLUDED",L209="OUT OF SCOPE"),"CLOSED BY COVERAGE",IF(AND(L209="COVERED",T209&lt;&gt;"UNRESOLVED"),"PARTIALLY ADOPTED","DECISIONS REMAIN")))</x:f>
        <x:v>COVERAGE FIRST</x:v>
      </x:c>
    </x:row>
    <x:row r="210">
      <x:c r="A210" s="13" t="str">
        <x:v>NAAFTC-HS6-030448</x:v>
      </x:c>
      <x:c r="B210" s="13" t="str">
        <x:v>030448</x:v>
      </x:c>
      <x:c r="C210" s="13" t="str">
        <x:v>03</x:v>
      </x:c>
      <x:c r="D210" s="13" t="str">
        <x:v>TRILATERAL_1_TO_1_TO_1</x:v>
      </x:c>
      <x:c r="E210" s="13" t="str">
        <x:v>Pending</x:v>
      </x:c>
      <x:c r="F210" s="13" t="n">
        <x:v>1</x:v>
      </x:c>
      <x:c r="G210" s="13" t="n">
        <x:v>1</x:v>
      </x:c>
      <x:c r="H210" s="13" t="n">
        <x:v>1</x:v>
      </x:c>
      <x:c r="I210" s="13" t="str">
        <x:v>0304480000</x:v>
      </x:c>
      <x:c r="J210" s="13" t="str">
        <x:v>0304480100</x:v>
      </x:c>
      <x:c r="K210" s="13" t="str">
        <x:v>0304480000</x:v>
      </x:c>
      <x:c r="L210" s="13" t="str">
        <x:v>UNRESOLVED</x:v>
      </x:c>
      <x:c r="M210" s="13" t="str"/>
      <x:c r="N210" s="13" t="str">
        <x:v>NO / DEFAULT</x:v>
      </x:c>
      <x:c r="O210" s="13" t="str"/>
      <x:c r="P210" s="13" t="str">
        <x:v>NO / DEFAULT</x:v>
      </x:c>
      <x:c r="Q210" s="13" t="str"/>
      <x:c r="R210" s="13" t="str">
        <x:v>INDEPENDENT / DEFAULT</x:v>
      </x:c>
      <x:c r="S210" s="13" t="str"/>
      <x:c r="T210" s="13" t="str">
        <x:v>UNRESOLVED</x:v>
      </x:c>
      <x:c r="U210" s="13" t="str"/>
      <x:c r="V210" s="13" t="str"/>
      <x:c r="W210" s="13" t="str"/>
      <x:c r="X210" s="13" t="str">
        <x:f>IF(L210&lt;&gt;"COVERED","HELD — COVERAGE",IF(N210="YES — SENSITIVE","C ACTIONABLE","CHAPTER 5 DEFAULT"))</x:f>
        <x:v>HELD — COVERAGE</x:v>
      </x:c>
      <x:c r="Y210" s="13" t="str">
        <x:f>IF(L210&lt;&gt;"COVERED","HELD — COVERAGE",IF(P210="YES — MANAGED ACCESS","D ACTIONABLE","NO D FIELD"))</x:f>
        <x:v>HELD — COVERAGE</x:v>
      </x:c>
      <x:c r="Z210" s="13" t="str">
        <x:f>IF(L210&lt;&gt;"COVERED","HELD — COVERAGE",IF(OR(R210="PAIRED SYNCHRONIZED",R210="TRILATERAL SYNCHRONIZED"),"E ACTIONABLE","INDEPENDENT"))</x:f>
        <x:v>HELD — COVERAGE</x:v>
      </x:c>
      <x:c r="AA210" s="13" t="str">
        <x:f>IF(L210&lt;&gt;"COVERED","HELD — COVERAGE","WAIT FOR UPSTREAM COMPLETION")</x:f>
        <x:v>HELD — COVERAGE</x:v>
      </x:c>
      <x:c r="AB210" s="13" t="str">
        <x:f>IF(L210&lt;&gt;"COVERED","HELD — COVERAGE",IF(T210="UNRESOLVED","G DECISION REQUIRED",IF(T210="NOT APPLICABLE","G N/A","G ACTIONABLE")))</x:f>
        <x:v>HELD — COVERAGE</x:v>
      </x:c>
      <x:c r="AC210" s="13" t="str">
        <x:f>IF(L210="UNRESOLVED","COVERAGE FIRST",IF(OR(L210="EXCLUDED",L210="OUT OF SCOPE"),"CLOSED BY COVERAGE",IF(AND(L210="COVERED",T210&lt;&gt;"UNRESOLVED"),"PARTIALLY ADOPTED","DECISIONS REMAIN")))</x:f>
        <x:v>COVERAGE FIRST</x:v>
      </x:c>
    </x:row>
    <x:row r="211">
      <x:c r="A211" s="13" t="str">
        <x:v>NAAFTC-HS6-030449</x:v>
      </x:c>
      <x:c r="B211" s="13" t="str">
        <x:v>030449</x:v>
      </x:c>
      <x:c r="C211" s="13" t="str">
        <x:v>03</x:v>
      </x:c>
      <x:c r="D211" s="13" t="str">
        <x:v>TRILATERAL_SPLIT_MERGE</x:v>
      </x:c>
      <x:c r="E211" s="13" t="str">
        <x:v>Pending</x:v>
      </x:c>
      <x:c r="F211" s="13" t="n">
        <x:v>8</x:v>
      </x:c>
      <x:c r="G211" s="13" t="n">
        <x:v>4</x:v>
      </x:c>
      <x:c r="H211" s="13" t="n">
        <x:v>1</x:v>
      </x:c>
      <x:c r="I211" s="13" t="str">
        <x:v>0304490103; 0304490106; 0304490109; 0304490112; 0304490115; 0304490120; +2 more</x:v>
      </x:c>
      <x:c r="J211" s="13" t="str">
        <x:v>0304499901; 0304499902; 0304499903; 0304499999</x:v>
      </x:c>
      <x:c r="K211" s="13" t="str">
        <x:v>03044900</x:v>
      </x:c>
      <x:c r="L211" s="13" t="str">
        <x:v>UNRESOLVED</x:v>
      </x:c>
      <x:c r="M211" s="13" t="str"/>
      <x:c r="N211" s="13" t="str">
        <x:v>NO / DEFAULT</x:v>
      </x:c>
      <x:c r="O211" s="13" t="str"/>
      <x:c r="P211" s="13" t="str">
        <x:v>NO / DEFAULT</x:v>
      </x:c>
      <x:c r="Q211" s="13" t="str"/>
      <x:c r="R211" s="13" t="str">
        <x:v>INDEPENDENT / DEFAULT</x:v>
      </x:c>
      <x:c r="S211" s="13" t="str"/>
      <x:c r="T211" s="13" t="str">
        <x:v>UNRESOLVED</x:v>
      </x:c>
      <x:c r="U211" s="13" t="str"/>
      <x:c r="V211" s="13" t="str"/>
      <x:c r="W211" s="13" t="str"/>
      <x:c r="X211" s="13" t="str">
        <x:f>IF(L211&lt;&gt;"COVERED","HELD — COVERAGE",IF(N211="YES — SENSITIVE","C ACTIONABLE","CHAPTER 5 DEFAULT"))</x:f>
        <x:v>HELD — COVERAGE</x:v>
      </x:c>
      <x:c r="Y211" s="13" t="str">
        <x:f>IF(L211&lt;&gt;"COVERED","HELD — COVERAGE",IF(P211="YES — MANAGED ACCESS","D ACTIONABLE","NO D FIELD"))</x:f>
        <x:v>HELD — COVERAGE</x:v>
      </x:c>
      <x:c r="Z211" s="13" t="str">
        <x:f>IF(L211&lt;&gt;"COVERED","HELD — COVERAGE",IF(OR(R211="PAIRED SYNCHRONIZED",R211="TRILATERAL SYNCHRONIZED"),"E ACTIONABLE","INDEPENDENT"))</x:f>
        <x:v>HELD — COVERAGE</x:v>
      </x:c>
      <x:c r="AA211" s="13" t="str">
        <x:f>IF(L211&lt;&gt;"COVERED","HELD — COVERAGE","WAIT FOR UPSTREAM COMPLETION")</x:f>
        <x:v>HELD — COVERAGE</x:v>
      </x:c>
      <x:c r="AB211" s="13" t="str">
        <x:f>IF(L211&lt;&gt;"COVERED","HELD — COVERAGE",IF(T211="UNRESOLVED","G DECISION REQUIRED",IF(T211="NOT APPLICABLE","G N/A","G ACTIONABLE")))</x:f>
        <x:v>HELD — COVERAGE</x:v>
      </x:c>
      <x:c r="AC211" s="13" t="str">
        <x:f>IF(L211="UNRESOLVED","COVERAGE FIRST",IF(OR(L211="EXCLUDED",L211="OUT OF SCOPE"),"CLOSED BY COVERAGE",IF(AND(L211="COVERED",T211&lt;&gt;"UNRESOLVED"),"PARTIALLY ADOPTED","DECISIONS REMAIN")))</x:f>
        <x:v>COVERAGE FIRST</x:v>
      </x:c>
    </x:row>
    <x:row r="212">
      <x:c r="A212" s="13" t="str">
        <x:v>NAAFTC-HS6-030451</x:v>
      </x:c>
      <x:c r="B212" s="13" t="str">
        <x:v>030451</x:v>
      </x:c>
      <x:c r="C212" s="13" t="str">
        <x:v>03</x:v>
      </x:c>
      <x:c r="D212" s="13" t="str">
        <x:v>TRILATERAL_SPLIT_MERGE</x:v>
      </x:c>
      <x:c r="E212" s="13" t="str">
        <x:v>Pending</x:v>
      </x:c>
      <x:c r="F212" s="13" t="n">
        <x:v>5</x:v>
      </x:c>
      <x:c r="G212" s="13" t="n">
        <x:v>1</x:v>
      </x:c>
      <x:c r="H212" s="13" t="n">
        <x:v>1</x:v>
      </x:c>
      <x:c r="I212" s="13" t="str">
        <x:v>0304510110; 0304510115; 0304510120; 0304510125; 0304510190</x:v>
      </x:c>
      <x:c r="J212" s="13" t="str">
        <x:v>0304510100</x:v>
      </x:c>
      <x:c r="K212" s="13" t="str">
        <x:v>0304510000</x:v>
      </x:c>
      <x:c r="L212" s="13" t="str">
        <x:v>UNRESOLVED</x:v>
      </x:c>
      <x:c r="M212" s="13" t="str"/>
      <x:c r="N212" s="13" t="str">
        <x:v>NO / DEFAULT</x:v>
      </x:c>
      <x:c r="O212" s="13" t="str"/>
      <x:c r="P212" s="13" t="str">
        <x:v>NO / DEFAULT</x:v>
      </x:c>
      <x:c r="Q212" s="13" t="str"/>
      <x:c r="R212" s="13" t="str">
        <x:v>INDEPENDENT / DEFAULT</x:v>
      </x:c>
      <x:c r="S212" s="13" t="str"/>
      <x:c r="T212" s="13" t="str">
        <x:v>UNRESOLVED</x:v>
      </x:c>
      <x:c r="U212" s="13" t="str"/>
      <x:c r="V212" s="13" t="str"/>
      <x:c r="W212" s="13" t="str"/>
      <x:c r="X212" s="13" t="str">
        <x:f>IF(L212&lt;&gt;"COVERED","HELD — COVERAGE",IF(N212="YES — SENSITIVE","C ACTIONABLE","CHAPTER 5 DEFAULT"))</x:f>
        <x:v>HELD — COVERAGE</x:v>
      </x:c>
      <x:c r="Y212" s="13" t="str">
        <x:f>IF(L212&lt;&gt;"COVERED","HELD — COVERAGE",IF(P212="YES — MANAGED ACCESS","D ACTIONABLE","NO D FIELD"))</x:f>
        <x:v>HELD — COVERAGE</x:v>
      </x:c>
      <x:c r="Z212" s="13" t="str">
        <x:f>IF(L212&lt;&gt;"COVERED","HELD — COVERAGE",IF(OR(R212="PAIRED SYNCHRONIZED",R212="TRILATERAL SYNCHRONIZED"),"E ACTIONABLE","INDEPENDENT"))</x:f>
        <x:v>HELD — COVERAGE</x:v>
      </x:c>
      <x:c r="AA212" s="13" t="str">
        <x:f>IF(L212&lt;&gt;"COVERED","HELD — COVERAGE","WAIT FOR UPSTREAM COMPLETION")</x:f>
        <x:v>HELD — COVERAGE</x:v>
      </x:c>
      <x:c r="AB212" s="13" t="str">
        <x:f>IF(L212&lt;&gt;"COVERED","HELD — COVERAGE",IF(T212="UNRESOLVED","G DECISION REQUIRED",IF(T212="NOT APPLICABLE","G N/A","G ACTIONABLE")))</x:f>
        <x:v>HELD — COVERAGE</x:v>
      </x:c>
      <x:c r="AC212" s="13" t="str">
        <x:f>IF(L212="UNRESOLVED","COVERAGE FIRST",IF(OR(L212="EXCLUDED",L212="OUT OF SCOPE"),"CLOSED BY COVERAGE",IF(AND(L212="COVERED",T212&lt;&gt;"UNRESOLVED"),"PARTIALLY ADOPTED","DECISIONS REMAIN")))</x:f>
        <x:v>COVERAGE FIRST</x:v>
      </x:c>
    </x:row>
    <x:row r="213">
      <x:c r="A213" s="13" t="str">
        <x:v>NAAFTC-HS6-030452</x:v>
      </x:c>
      <x:c r="B213" s="13" t="str">
        <x:v>030452</x:v>
      </x:c>
      <x:c r="C213" s="13" t="str">
        <x:v>03</x:v>
      </x:c>
      <x:c r="D213" s="13" t="str">
        <x:v>TRILATERAL_SPLIT_MERGE</x:v>
      </x:c>
      <x:c r="E213" s="13" t="str">
        <x:v>Pending</x:v>
      </x:c>
      <x:c r="F213" s="13" t="n">
        <x:v>4</x:v>
      </x:c>
      <x:c r="G213" s="13" t="n">
        <x:v>2</x:v>
      </x:c>
      <x:c r="H213" s="13" t="n">
        <x:v>1</x:v>
      </x:c>
      <x:c r="I213" s="13" t="str">
        <x:v>0304520010; 0304520015; 0304520020; 0304520090</x:v>
      </x:c>
      <x:c r="J213" s="13" t="str">
        <x:v>0304520101; 0304520199</x:v>
      </x:c>
      <x:c r="K213" s="13" t="str">
        <x:v>0304520000</x:v>
      </x:c>
      <x:c r="L213" s="13" t="str">
        <x:v>UNRESOLVED</x:v>
      </x:c>
      <x:c r="M213" s="13" t="str"/>
      <x:c r="N213" s="13" t="str">
        <x:v>NO / DEFAULT</x:v>
      </x:c>
      <x:c r="O213" s="13" t="str"/>
      <x:c r="P213" s="13" t="str">
        <x:v>NO / DEFAULT</x:v>
      </x:c>
      <x:c r="Q213" s="13" t="str"/>
      <x:c r="R213" s="13" t="str">
        <x:v>INDEPENDENT / DEFAULT</x:v>
      </x:c>
      <x:c r="S213" s="13" t="str"/>
      <x:c r="T213" s="13" t="str">
        <x:v>UNRESOLVED</x:v>
      </x:c>
      <x:c r="U213" s="13" t="str"/>
      <x:c r="V213" s="13" t="str"/>
      <x:c r="W213" s="13" t="str"/>
      <x:c r="X213" s="13" t="str">
        <x:f>IF(L213&lt;&gt;"COVERED","HELD — COVERAGE",IF(N213="YES — SENSITIVE","C ACTIONABLE","CHAPTER 5 DEFAULT"))</x:f>
        <x:v>HELD — COVERAGE</x:v>
      </x:c>
      <x:c r="Y213" s="13" t="str">
        <x:f>IF(L213&lt;&gt;"COVERED","HELD — COVERAGE",IF(P213="YES — MANAGED ACCESS","D ACTIONABLE","NO D FIELD"))</x:f>
        <x:v>HELD — COVERAGE</x:v>
      </x:c>
      <x:c r="Z213" s="13" t="str">
        <x:f>IF(L213&lt;&gt;"COVERED","HELD — COVERAGE",IF(OR(R213="PAIRED SYNCHRONIZED",R213="TRILATERAL SYNCHRONIZED"),"E ACTIONABLE","INDEPENDENT"))</x:f>
        <x:v>HELD — COVERAGE</x:v>
      </x:c>
      <x:c r="AA213" s="13" t="str">
        <x:f>IF(L213&lt;&gt;"COVERED","HELD — COVERAGE","WAIT FOR UPSTREAM COMPLETION")</x:f>
        <x:v>HELD — COVERAGE</x:v>
      </x:c>
      <x:c r="AB213" s="13" t="str">
        <x:f>IF(L213&lt;&gt;"COVERED","HELD — COVERAGE",IF(T213="UNRESOLVED","G DECISION REQUIRED",IF(T213="NOT APPLICABLE","G N/A","G ACTIONABLE")))</x:f>
        <x:v>HELD — COVERAGE</x:v>
      </x:c>
      <x:c r="AC213" s="13" t="str">
        <x:f>IF(L213="UNRESOLVED","COVERAGE FIRST",IF(OR(L213="EXCLUDED",L213="OUT OF SCOPE"),"CLOSED BY COVERAGE",IF(AND(L213="COVERED",T213&lt;&gt;"UNRESOLVED"),"PARTIALLY ADOPTED","DECISIONS REMAIN")))</x:f>
        <x:v>COVERAGE FIRST</x:v>
      </x:c>
    </x:row>
    <x:row r="214">
      <x:c r="A214" s="13" t="str">
        <x:v>NAAFTC-HS6-030453</x:v>
      </x:c>
      <x:c r="B214" s="13" t="str">
        <x:v>030453</x:v>
      </x:c>
      <x:c r="C214" s="13" t="str">
        <x:v>03</x:v>
      </x:c>
      <x:c r="D214" s="13" t="str">
        <x:v>TRILATERAL_SPLIT_MERGE</x:v>
      </x:c>
      <x:c r="E214" s="13" t="str">
        <x:v>Pending</x:v>
      </x:c>
      <x:c r="F214" s="13" t="n">
        <x:v>6</x:v>
      </x:c>
      <x:c r="G214" s="13" t="n">
        <x:v>2</x:v>
      </x:c>
      <x:c r="H214" s="13" t="n">
        <x:v>1</x:v>
      </x:c>
      <x:c r="I214" s="13" t="str">
        <x:v>0304530010; 0304530015; 0304530020; 0304530025; 0304530030; 0304530090</x:v>
      </x:c>
      <x:c r="J214" s="13" t="str">
        <x:v>0304530101; 0304530199</x:v>
      </x:c>
      <x:c r="K214" s="13" t="str">
        <x:v>0304530000</x:v>
      </x:c>
      <x:c r="L214" s="13" t="str">
        <x:v>UNRESOLVED</x:v>
      </x:c>
      <x:c r="M214" s="13" t="str"/>
      <x:c r="N214" s="13" t="str">
        <x:v>NO / DEFAULT</x:v>
      </x:c>
      <x:c r="O214" s="13" t="str"/>
      <x:c r="P214" s="13" t="str">
        <x:v>NO / DEFAULT</x:v>
      </x:c>
      <x:c r="Q214" s="13" t="str"/>
      <x:c r="R214" s="13" t="str">
        <x:v>INDEPENDENT / DEFAULT</x:v>
      </x:c>
      <x:c r="S214" s="13" t="str"/>
      <x:c r="T214" s="13" t="str">
        <x:v>UNRESOLVED</x:v>
      </x:c>
      <x:c r="U214" s="13" t="str"/>
      <x:c r="V214" s="13" t="str"/>
      <x:c r="W214" s="13" t="str"/>
      <x:c r="X214" s="13" t="str">
        <x:f>IF(L214&lt;&gt;"COVERED","HELD — COVERAGE",IF(N214="YES — SENSITIVE","C ACTIONABLE","CHAPTER 5 DEFAULT"))</x:f>
        <x:v>HELD — COVERAGE</x:v>
      </x:c>
      <x:c r="Y214" s="13" t="str">
        <x:f>IF(L214&lt;&gt;"COVERED","HELD — COVERAGE",IF(P214="YES — MANAGED ACCESS","D ACTIONABLE","NO D FIELD"))</x:f>
        <x:v>HELD — COVERAGE</x:v>
      </x:c>
      <x:c r="Z214" s="13" t="str">
        <x:f>IF(L214&lt;&gt;"COVERED","HELD — COVERAGE",IF(OR(R214="PAIRED SYNCHRONIZED",R214="TRILATERAL SYNCHRONIZED"),"E ACTIONABLE","INDEPENDENT"))</x:f>
        <x:v>HELD — COVERAGE</x:v>
      </x:c>
      <x:c r="AA214" s="13" t="str">
        <x:f>IF(L214&lt;&gt;"COVERED","HELD — COVERAGE","WAIT FOR UPSTREAM COMPLETION")</x:f>
        <x:v>HELD — COVERAGE</x:v>
      </x:c>
      <x:c r="AB214" s="13" t="str">
        <x:f>IF(L214&lt;&gt;"COVERED","HELD — COVERAGE",IF(T214="UNRESOLVED","G DECISION REQUIRED",IF(T214="NOT APPLICABLE","G N/A","G ACTIONABLE")))</x:f>
        <x:v>HELD — COVERAGE</x:v>
      </x:c>
      <x:c r="AC214" s="13" t="str">
        <x:f>IF(L214="UNRESOLVED","COVERAGE FIRST",IF(OR(L214="EXCLUDED",L214="OUT OF SCOPE"),"CLOSED BY COVERAGE",IF(AND(L214="COVERED",T214&lt;&gt;"UNRESOLVED"),"PARTIALLY ADOPTED","DECISIONS REMAIN")))</x:f>
        <x:v>COVERAGE FIRST</x:v>
      </x:c>
    </x:row>
    <x:row r="215">
      <x:c r="A215" s="13" t="str">
        <x:v>NAAFTC-HS6-030454</x:v>
      </x:c>
      <x:c r="B215" s="13" t="str">
        <x:v>030454</x:v>
      </x:c>
      <x:c r="C215" s="13" t="str">
        <x:v>03</x:v>
      </x:c>
      <x:c r="D215" s="13" t="str">
        <x:v>TRILATERAL_1_TO_1_TO_1</x:v>
      </x:c>
      <x:c r="E215" s="13" t="str">
        <x:v>Pending</x:v>
      </x:c>
      <x:c r="F215" s="13" t="n">
        <x:v>1</x:v>
      </x:c>
      <x:c r="G215" s="13" t="n">
        <x:v>1</x:v>
      </x:c>
      <x:c r="H215" s="13" t="n">
        <x:v>1</x:v>
      </x:c>
      <x:c r="I215" s="13" t="str">
        <x:v>0304540000</x:v>
      </x:c>
      <x:c r="J215" s="13" t="str">
        <x:v>0304540100</x:v>
      </x:c>
      <x:c r="K215" s="13" t="str">
        <x:v>0304540000</x:v>
      </x:c>
      <x:c r="L215" s="13" t="str">
        <x:v>UNRESOLVED</x:v>
      </x:c>
      <x:c r="M215" s="13" t="str"/>
      <x:c r="N215" s="13" t="str">
        <x:v>NO / DEFAULT</x:v>
      </x:c>
      <x:c r="O215" s="13" t="str"/>
      <x:c r="P215" s="13" t="str">
        <x:v>NO / DEFAULT</x:v>
      </x:c>
      <x:c r="Q215" s="13" t="str"/>
      <x:c r="R215" s="13" t="str">
        <x:v>INDEPENDENT / DEFAULT</x:v>
      </x:c>
      <x:c r="S215" s="13" t="str"/>
      <x:c r="T215" s="13" t="str">
        <x:v>UNRESOLVED</x:v>
      </x:c>
      <x:c r="U215" s="13" t="str"/>
      <x:c r="V215" s="13" t="str"/>
      <x:c r="W215" s="13" t="str"/>
      <x:c r="X215" s="13" t="str">
        <x:f>IF(L215&lt;&gt;"COVERED","HELD — COVERAGE",IF(N215="YES — SENSITIVE","C ACTIONABLE","CHAPTER 5 DEFAULT"))</x:f>
        <x:v>HELD — COVERAGE</x:v>
      </x:c>
      <x:c r="Y215" s="13" t="str">
        <x:f>IF(L215&lt;&gt;"COVERED","HELD — COVERAGE",IF(P215="YES — MANAGED ACCESS","D ACTIONABLE","NO D FIELD"))</x:f>
        <x:v>HELD — COVERAGE</x:v>
      </x:c>
      <x:c r="Z215" s="13" t="str">
        <x:f>IF(L215&lt;&gt;"COVERED","HELD — COVERAGE",IF(OR(R215="PAIRED SYNCHRONIZED",R215="TRILATERAL SYNCHRONIZED"),"E ACTIONABLE","INDEPENDENT"))</x:f>
        <x:v>HELD — COVERAGE</x:v>
      </x:c>
      <x:c r="AA215" s="13" t="str">
        <x:f>IF(L215&lt;&gt;"COVERED","HELD — COVERAGE","WAIT FOR UPSTREAM COMPLETION")</x:f>
        <x:v>HELD — COVERAGE</x:v>
      </x:c>
      <x:c r="AB215" s="13" t="str">
        <x:f>IF(L215&lt;&gt;"COVERED","HELD — COVERAGE",IF(T215="UNRESOLVED","G DECISION REQUIRED",IF(T215="NOT APPLICABLE","G N/A","G ACTIONABLE")))</x:f>
        <x:v>HELD — COVERAGE</x:v>
      </x:c>
      <x:c r="AC215" s="13" t="str">
        <x:f>IF(L215="UNRESOLVED","COVERAGE FIRST",IF(OR(L215="EXCLUDED",L215="OUT OF SCOPE"),"CLOSED BY COVERAGE",IF(AND(L215="COVERED",T215&lt;&gt;"UNRESOLVED"),"PARTIALLY ADOPTED","DECISIONS REMAIN")))</x:f>
        <x:v>COVERAGE FIRST</x:v>
      </x:c>
    </x:row>
    <x:row r="216">
      <x:c r="A216" s="13" t="str">
        <x:v>NAAFTC-HS6-030455</x:v>
      </x:c>
      <x:c r="B216" s="13" t="str">
        <x:v>030455</x:v>
      </x:c>
      <x:c r="C216" s="13" t="str">
        <x:v>03</x:v>
      </x:c>
      <x:c r="D216" s="13" t="str">
        <x:v>TRILATERAL_1_TO_1_TO_1</x:v>
      </x:c>
      <x:c r="E216" s="13" t="str">
        <x:v>Pending</x:v>
      </x:c>
      <x:c r="F216" s="13" t="n">
        <x:v>1</x:v>
      </x:c>
      <x:c r="G216" s="13" t="n">
        <x:v>1</x:v>
      </x:c>
      <x:c r="H216" s="13" t="n">
        <x:v>1</x:v>
      </x:c>
      <x:c r="I216" s="13" t="str">
        <x:v>0304550000</x:v>
      </x:c>
      <x:c r="J216" s="13" t="str">
        <x:v>0304550100</x:v>
      </x:c>
      <x:c r="K216" s="13" t="str">
        <x:v>0304550000</x:v>
      </x:c>
      <x:c r="L216" s="13" t="str">
        <x:v>UNRESOLVED</x:v>
      </x:c>
      <x:c r="M216" s="13" t="str"/>
      <x:c r="N216" s="13" t="str">
        <x:v>NO / DEFAULT</x:v>
      </x:c>
      <x:c r="O216" s="13" t="str"/>
      <x:c r="P216" s="13" t="str">
        <x:v>NO / DEFAULT</x:v>
      </x:c>
      <x:c r="Q216" s="13" t="str"/>
      <x:c r="R216" s="13" t="str">
        <x:v>INDEPENDENT / DEFAULT</x:v>
      </x:c>
      <x:c r="S216" s="13" t="str"/>
      <x:c r="T216" s="13" t="str">
        <x:v>UNRESOLVED</x:v>
      </x:c>
      <x:c r="U216" s="13" t="str"/>
      <x:c r="V216" s="13" t="str"/>
      <x:c r="W216" s="13" t="str"/>
      <x:c r="X216" s="13" t="str">
        <x:f>IF(L216&lt;&gt;"COVERED","HELD — COVERAGE",IF(N216="YES — SENSITIVE","C ACTIONABLE","CHAPTER 5 DEFAULT"))</x:f>
        <x:v>HELD — COVERAGE</x:v>
      </x:c>
      <x:c r="Y216" s="13" t="str">
        <x:f>IF(L216&lt;&gt;"COVERED","HELD — COVERAGE",IF(P216="YES — MANAGED ACCESS","D ACTIONABLE","NO D FIELD"))</x:f>
        <x:v>HELD — COVERAGE</x:v>
      </x:c>
      <x:c r="Z216" s="13" t="str">
        <x:f>IF(L216&lt;&gt;"COVERED","HELD — COVERAGE",IF(OR(R216="PAIRED SYNCHRONIZED",R216="TRILATERAL SYNCHRONIZED"),"E ACTIONABLE","INDEPENDENT"))</x:f>
        <x:v>HELD — COVERAGE</x:v>
      </x:c>
      <x:c r="AA216" s="13" t="str">
        <x:f>IF(L216&lt;&gt;"COVERED","HELD — COVERAGE","WAIT FOR UPSTREAM COMPLETION")</x:f>
        <x:v>HELD — COVERAGE</x:v>
      </x:c>
      <x:c r="AB216" s="13" t="str">
        <x:f>IF(L216&lt;&gt;"COVERED","HELD — COVERAGE",IF(T216="UNRESOLVED","G DECISION REQUIRED",IF(T216="NOT APPLICABLE","G N/A","G ACTIONABLE")))</x:f>
        <x:v>HELD — COVERAGE</x:v>
      </x:c>
      <x:c r="AC216" s="13" t="str">
        <x:f>IF(L216="UNRESOLVED","COVERAGE FIRST",IF(OR(L216="EXCLUDED",L216="OUT OF SCOPE"),"CLOSED BY COVERAGE",IF(AND(L216="COVERED",T216&lt;&gt;"UNRESOLVED"),"PARTIALLY ADOPTED","DECISIONS REMAIN")))</x:f>
        <x:v>COVERAGE FIRST</x:v>
      </x:c>
    </x:row>
    <x:row r="217">
      <x:c r="A217" s="13" t="str">
        <x:v>NAAFTC-HS6-030456</x:v>
      </x:c>
      <x:c r="B217" s="13" t="str">
        <x:v>030456</x:v>
      </x:c>
      <x:c r="C217" s="13" t="str">
        <x:v>03</x:v>
      </x:c>
      <x:c r="D217" s="13" t="str">
        <x:v>TRILATERAL_1_TO_1_TO_1</x:v>
      </x:c>
      <x:c r="E217" s="13" t="str">
        <x:v>Pending</x:v>
      </x:c>
      <x:c r="F217" s="13" t="n">
        <x:v>1</x:v>
      </x:c>
      <x:c r="G217" s="13" t="n">
        <x:v>1</x:v>
      </x:c>
      <x:c r="H217" s="13" t="n">
        <x:v>1</x:v>
      </x:c>
      <x:c r="I217" s="13" t="str">
        <x:v>0304560000</x:v>
      </x:c>
      <x:c r="J217" s="13" t="str">
        <x:v>0304560100</x:v>
      </x:c>
      <x:c r="K217" s="13" t="str">
        <x:v>0304560000</x:v>
      </x:c>
      <x:c r="L217" s="13" t="str">
        <x:v>UNRESOLVED</x:v>
      </x:c>
      <x:c r="M217" s="13" t="str"/>
      <x:c r="N217" s="13" t="str">
        <x:v>NO / DEFAULT</x:v>
      </x:c>
      <x:c r="O217" s="13" t="str"/>
      <x:c r="P217" s="13" t="str">
        <x:v>NO / DEFAULT</x:v>
      </x:c>
      <x:c r="Q217" s="13" t="str"/>
      <x:c r="R217" s="13" t="str">
        <x:v>INDEPENDENT / DEFAULT</x:v>
      </x:c>
      <x:c r="S217" s="13" t="str"/>
      <x:c r="T217" s="13" t="str">
        <x:v>UNRESOLVED</x:v>
      </x:c>
      <x:c r="U217" s="13" t="str"/>
      <x:c r="V217" s="13" t="str"/>
      <x:c r="W217" s="13" t="str"/>
      <x:c r="X217" s="13" t="str">
        <x:f>IF(L217&lt;&gt;"COVERED","HELD — COVERAGE",IF(N217="YES — SENSITIVE","C ACTIONABLE","CHAPTER 5 DEFAULT"))</x:f>
        <x:v>HELD — COVERAGE</x:v>
      </x:c>
      <x:c r="Y217" s="13" t="str">
        <x:f>IF(L217&lt;&gt;"COVERED","HELD — COVERAGE",IF(P217="YES — MANAGED ACCESS","D ACTIONABLE","NO D FIELD"))</x:f>
        <x:v>HELD — COVERAGE</x:v>
      </x:c>
      <x:c r="Z217" s="13" t="str">
        <x:f>IF(L217&lt;&gt;"COVERED","HELD — COVERAGE",IF(OR(R217="PAIRED SYNCHRONIZED",R217="TRILATERAL SYNCHRONIZED"),"E ACTIONABLE","INDEPENDENT"))</x:f>
        <x:v>HELD — COVERAGE</x:v>
      </x:c>
      <x:c r="AA217" s="13" t="str">
        <x:f>IF(L217&lt;&gt;"COVERED","HELD — COVERAGE","WAIT FOR UPSTREAM COMPLETION")</x:f>
        <x:v>HELD — COVERAGE</x:v>
      </x:c>
      <x:c r="AB217" s="13" t="str">
        <x:f>IF(L217&lt;&gt;"COVERED","HELD — COVERAGE",IF(T217="UNRESOLVED","G DECISION REQUIRED",IF(T217="NOT APPLICABLE","G N/A","G ACTIONABLE")))</x:f>
        <x:v>HELD — COVERAGE</x:v>
      </x:c>
      <x:c r="AC217" s="13" t="str">
        <x:f>IF(L217="UNRESOLVED","COVERAGE FIRST",IF(OR(L217="EXCLUDED",L217="OUT OF SCOPE"),"CLOSED BY COVERAGE",IF(AND(L217="COVERED",T217&lt;&gt;"UNRESOLVED"),"PARTIALLY ADOPTED","DECISIONS REMAIN")))</x:f>
        <x:v>COVERAGE FIRST</x:v>
      </x:c>
    </x:row>
    <x:row r="218">
      <x:c r="A218" s="13" t="str">
        <x:v>NAAFTC-HS6-030457</x:v>
      </x:c>
      <x:c r="B218" s="13" t="str">
        <x:v>030457</x:v>
      </x:c>
      <x:c r="C218" s="13" t="str">
        <x:v>03</x:v>
      </x:c>
      <x:c r="D218" s="13" t="str">
        <x:v>TRILATERAL_1_TO_1_TO_1</x:v>
      </x:c>
      <x:c r="E218" s="13" t="str">
        <x:v>Pending</x:v>
      </x:c>
      <x:c r="F218" s="13" t="n">
        <x:v>1</x:v>
      </x:c>
      <x:c r="G218" s="13" t="n">
        <x:v>1</x:v>
      </x:c>
      <x:c r="H218" s="13" t="n">
        <x:v>1</x:v>
      </x:c>
      <x:c r="I218" s="13" t="str">
        <x:v>0304570000</x:v>
      </x:c>
      <x:c r="J218" s="13" t="str">
        <x:v>0304570100</x:v>
      </x:c>
      <x:c r="K218" s="13" t="str">
        <x:v>0304570000</x:v>
      </x:c>
      <x:c r="L218" s="13" t="str">
        <x:v>UNRESOLVED</x:v>
      </x:c>
      <x:c r="M218" s="13" t="str"/>
      <x:c r="N218" s="13" t="str">
        <x:v>NO / DEFAULT</x:v>
      </x:c>
      <x:c r="O218" s="13" t="str"/>
      <x:c r="P218" s="13" t="str">
        <x:v>NO / DEFAULT</x:v>
      </x:c>
      <x:c r="Q218" s="13" t="str"/>
      <x:c r="R218" s="13" t="str">
        <x:v>INDEPENDENT / DEFAULT</x:v>
      </x:c>
      <x:c r="S218" s="13" t="str"/>
      <x:c r="T218" s="13" t="str">
        <x:v>UNRESOLVED</x:v>
      </x:c>
      <x:c r="U218" s="13" t="str"/>
      <x:c r="V218" s="13" t="str"/>
      <x:c r="W218" s="13" t="str"/>
      <x:c r="X218" s="13" t="str">
        <x:f>IF(L218&lt;&gt;"COVERED","HELD — COVERAGE",IF(N218="YES — SENSITIVE","C ACTIONABLE","CHAPTER 5 DEFAULT"))</x:f>
        <x:v>HELD — COVERAGE</x:v>
      </x:c>
      <x:c r="Y218" s="13" t="str">
        <x:f>IF(L218&lt;&gt;"COVERED","HELD — COVERAGE",IF(P218="YES — MANAGED ACCESS","D ACTIONABLE","NO D FIELD"))</x:f>
        <x:v>HELD — COVERAGE</x:v>
      </x:c>
      <x:c r="Z218" s="13" t="str">
        <x:f>IF(L218&lt;&gt;"COVERED","HELD — COVERAGE",IF(OR(R218="PAIRED SYNCHRONIZED",R218="TRILATERAL SYNCHRONIZED"),"E ACTIONABLE","INDEPENDENT"))</x:f>
        <x:v>HELD — COVERAGE</x:v>
      </x:c>
      <x:c r="AA218" s="13" t="str">
        <x:f>IF(L218&lt;&gt;"COVERED","HELD — COVERAGE","WAIT FOR UPSTREAM COMPLETION")</x:f>
        <x:v>HELD — COVERAGE</x:v>
      </x:c>
      <x:c r="AB218" s="13" t="str">
        <x:f>IF(L218&lt;&gt;"COVERED","HELD — COVERAGE",IF(T218="UNRESOLVED","G DECISION REQUIRED",IF(T218="NOT APPLICABLE","G N/A","G ACTIONABLE")))</x:f>
        <x:v>HELD — COVERAGE</x:v>
      </x:c>
      <x:c r="AC218" s="13" t="str">
        <x:f>IF(L218="UNRESOLVED","COVERAGE FIRST",IF(OR(L218="EXCLUDED",L218="OUT OF SCOPE"),"CLOSED BY COVERAGE",IF(AND(L218="COVERED",T218&lt;&gt;"UNRESOLVED"),"PARTIALLY ADOPTED","DECISIONS REMAIN")))</x:f>
        <x:v>COVERAGE FIRST</x:v>
      </x:c>
    </x:row>
    <x:row r="219">
      <x:c r="A219" s="13" t="str">
        <x:v>NAAFTC-HS6-030459</x:v>
      </x:c>
      <x:c r="B219" s="13" t="str">
        <x:v>030459</x:v>
      </x:c>
      <x:c r="C219" s="13" t="str">
        <x:v>03</x:v>
      </x:c>
      <x:c r="D219" s="13" t="str">
        <x:v>TRILATERAL_SPLIT_MERGE</x:v>
      </x:c>
      <x:c r="E219" s="13" t="str">
        <x:v>Pending</x:v>
      </x:c>
      <x:c r="F219" s="13" t="n">
        <x:v>16</x:v>
      </x:c>
      <x:c r="G219" s="13" t="n">
        <x:v>4</x:v>
      </x:c>
      <x:c r="H219" s="13" t="n">
        <x:v>1</x:v>
      </x:c>
      <x:c r="I219" s="13" t="str">
        <x:v>0304590003; 0304590006; 0304590009; 0304590015; 0304590020; 0304590025; +10 more</x:v>
      </x:c>
      <x:c r="J219" s="13" t="str">
        <x:v>0304599901; 0304599902; 0304599903; 0304599999</x:v>
      </x:c>
      <x:c r="K219" s="13" t="str">
        <x:v>0304590000</x:v>
      </x:c>
      <x:c r="L219" s="13" t="str">
        <x:v>UNRESOLVED</x:v>
      </x:c>
      <x:c r="M219" s="13" t="str"/>
      <x:c r="N219" s="13" t="str">
        <x:v>NO / DEFAULT</x:v>
      </x:c>
      <x:c r="O219" s="13" t="str"/>
      <x:c r="P219" s="13" t="str">
        <x:v>NO / DEFAULT</x:v>
      </x:c>
      <x:c r="Q219" s="13" t="str"/>
      <x:c r="R219" s="13" t="str">
        <x:v>INDEPENDENT / DEFAULT</x:v>
      </x:c>
      <x:c r="S219" s="13" t="str"/>
      <x:c r="T219" s="13" t="str">
        <x:v>UNRESOLVED</x:v>
      </x:c>
      <x:c r="U219" s="13" t="str"/>
      <x:c r="V219" s="13" t="str"/>
      <x:c r="W219" s="13" t="str"/>
      <x:c r="X219" s="13" t="str">
        <x:f>IF(L219&lt;&gt;"COVERED","HELD — COVERAGE",IF(N219="YES — SENSITIVE","C ACTIONABLE","CHAPTER 5 DEFAULT"))</x:f>
        <x:v>HELD — COVERAGE</x:v>
      </x:c>
      <x:c r="Y219" s="13" t="str">
        <x:f>IF(L219&lt;&gt;"COVERED","HELD — COVERAGE",IF(P219="YES — MANAGED ACCESS","D ACTIONABLE","NO D FIELD"))</x:f>
        <x:v>HELD — COVERAGE</x:v>
      </x:c>
      <x:c r="Z219" s="13" t="str">
        <x:f>IF(L219&lt;&gt;"COVERED","HELD — COVERAGE",IF(OR(R219="PAIRED SYNCHRONIZED",R219="TRILATERAL SYNCHRONIZED"),"E ACTIONABLE","INDEPENDENT"))</x:f>
        <x:v>HELD — COVERAGE</x:v>
      </x:c>
      <x:c r="AA219" s="13" t="str">
        <x:f>IF(L219&lt;&gt;"COVERED","HELD — COVERAGE","WAIT FOR UPSTREAM COMPLETION")</x:f>
        <x:v>HELD — COVERAGE</x:v>
      </x:c>
      <x:c r="AB219" s="13" t="str">
        <x:f>IF(L219&lt;&gt;"COVERED","HELD — COVERAGE",IF(T219="UNRESOLVED","G DECISION REQUIRED",IF(T219="NOT APPLICABLE","G N/A","G ACTIONABLE")))</x:f>
        <x:v>HELD — COVERAGE</x:v>
      </x:c>
      <x:c r="AC219" s="13" t="str">
        <x:f>IF(L219="UNRESOLVED","COVERAGE FIRST",IF(OR(L219="EXCLUDED",L219="OUT OF SCOPE"),"CLOSED BY COVERAGE",IF(AND(L219="COVERED",T219&lt;&gt;"UNRESOLVED"),"PARTIALLY ADOPTED","DECISIONS REMAIN")))</x:f>
        <x:v>COVERAGE FIRST</x:v>
      </x:c>
    </x:row>
    <x:row r="220">
      <x:c r="A220" s="13" t="str">
        <x:v>NAAFTC-HS6-030461</x:v>
      </x:c>
      <x:c r="B220" s="13" t="str">
        <x:v>030461</x:v>
      </x:c>
      <x:c r="C220" s="13" t="str">
        <x:v>03</x:v>
      </x:c>
      <x:c r="D220" s="13" t="str">
        <x:v>TRILATERAL_1_TO_1_TO_1</x:v>
      </x:c>
      <x:c r="E220" s="13" t="str">
        <x:v>Pending</x:v>
      </x:c>
      <x:c r="F220" s="13" t="n">
        <x:v>1</x:v>
      </x:c>
      <x:c r="G220" s="13" t="n">
        <x:v>1</x:v>
      </x:c>
      <x:c r="H220" s="13" t="n">
        <x:v>1</x:v>
      </x:c>
      <x:c r="I220" s="13" t="str">
        <x:v>0304610000</x:v>
      </x:c>
      <x:c r="J220" s="13" t="str">
        <x:v>0304610100</x:v>
      </x:c>
      <x:c r="K220" s="13" t="str">
        <x:v>0304610000</x:v>
      </x:c>
      <x:c r="L220" s="13" t="str">
        <x:v>UNRESOLVED</x:v>
      </x:c>
      <x:c r="M220" s="13" t="str"/>
      <x:c r="N220" s="13" t="str">
        <x:v>NO / DEFAULT</x:v>
      </x:c>
      <x:c r="O220" s="13" t="str"/>
      <x:c r="P220" s="13" t="str">
        <x:v>NO / DEFAULT</x:v>
      </x:c>
      <x:c r="Q220" s="13" t="str"/>
      <x:c r="R220" s="13" t="str">
        <x:v>INDEPENDENT / DEFAULT</x:v>
      </x:c>
      <x:c r="S220" s="13" t="str"/>
      <x:c r="T220" s="13" t="str">
        <x:v>UNRESOLVED</x:v>
      </x:c>
      <x:c r="U220" s="13" t="str"/>
      <x:c r="V220" s="13" t="str"/>
      <x:c r="W220" s="13" t="str"/>
      <x:c r="X220" s="13" t="str">
        <x:f>IF(L220&lt;&gt;"COVERED","HELD — COVERAGE",IF(N220="YES — SENSITIVE","C ACTIONABLE","CHAPTER 5 DEFAULT"))</x:f>
        <x:v>HELD — COVERAGE</x:v>
      </x:c>
      <x:c r="Y220" s="13" t="str">
        <x:f>IF(L220&lt;&gt;"COVERED","HELD — COVERAGE",IF(P220="YES — MANAGED ACCESS","D ACTIONABLE","NO D FIELD"))</x:f>
        <x:v>HELD — COVERAGE</x:v>
      </x:c>
      <x:c r="Z220" s="13" t="str">
        <x:f>IF(L220&lt;&gt;"COVERED","HELD — COVERAGE",IF(OR(R220="PAIRED SYNCHRONIZED",R220="TRILATERAL SYNCHRONIZED"),"E ACTIONABLE","INDEPENDENT"))</x:f>
        <x:v>HELD — COVERAGE</x:v>
      </x:c>
      <x:c r="AA220" s="13" t="str">
        <x:f>IF(L220&lt;&gt;"COVERED","HELD — COVERAGE","WAIT FOR UPSTREAM COMPLETION")</x:f>
        <x:v>HELD — COVERAGE</x:v>
      </x:c>
      <x:c r="AB220" s="13" t="str">
        <x:f>IF(L220&lt;&gt;"COVERED","HELD — COVERAGE",IF(T220="UNRESOLVED","G DECISION REQUIRED",IF(T220="NOT APPLICABLE","G N/A","G ACTIONABLE")))</x:f>
        <x:v>HELD — COVERAGE</x:v>
      </x:c>
      <x:c r="AC220" s="13" t="str">
        <x:f>IF(L220="UNRESOLVED","COVERAGE FIRST",IF(OR(L220="EXCLUDED",L220="OUT OF SCOPE"),"CLOSED BY COVERAGE",IF(AND(L220="COVERED",T220&lt;&gt;"UNRESOLVED"),"PARTIALLY ADOPTED","DECISIONS REMAIN")))</x:f>
        <x:v>COVERAGE FIRST</x:v>
      </x:c>
    </x:row>
    <x:row r="221">
      <x:c r="A221" s="13" t="str">
        <x:v>NAAFTC-HS6-030462</x:v>
      </x:c>
      <x:c r="B221" s="13" t="str">
        <x:v>030462</x:v>
      </x:c>
      <x:c r="C221" s="13" t="str">
        <x:v>03</x:v>
      </x:c>
      <x:c r="D221" s="13" t="str">
        <x:v>TRILATERAL_SPLIT_MERGE</x:v>
      </x:c>
      <x:c r="E221" s="13" t="str">
        <x:v>Pending</x:v>
      </x:c>
      <x:c r="F221" s="13" t="n">
        <x:v>4</x:v>
      </x:c>
      <x:c r="G221" s="13" t="n">
        <x:v>1</x:v>
      </x:c>
      <x:c r="H221" s="13" t="n">
        <x:v>1</x:v>
      </x:c>
      <x:c r="I221" s="13" t="str">
        <x:v>0304620010; 0304620020; 0304620030; 0304620090</x:v>
      </x:c>
      <x:c r="J221" s="13" t="str">
        <x:v>0304620100</x:v>
      </x:c>
      <x:c r="K221" s="13" t="str">
        <x:v>0304620000</x:v>
      </x:c>
      <x:c r="L221" s="13" t="str">
        <x:v>UNRESOLVED</x:v>
      </x:c>
      <x:c r="M221" s="13" t="str"/>
      <x:c r="N221" s="13" t="str">
        <x:v>NO / DEFAULT</x:v>
      </x:c>
      <x:c r="O221" s="13" t="str"/>
      <x:c r="P221" s="13" t="str">
        <x:v>NO / DEFAULT</x:v>
      </x:c>
      <x:c r="Q221" s="13" t="str"/>
      <x:c r="R221" s="13" t="str">
        <x:v>INDEPENDENT / DEFAULT</x:v>
      </x:c>
      <x:c r="S221" s="13" t="str"/>
      <x:c r="T221" s="13" t="str">
        <x:v>UNRESOLVED</x:v>
      </x:c>
      <x:c r="U221" s="13" t="str"/>
      <x:c r="V221" s="13" t="str"/>
      <x:c r="W221" s="13" t="str"/>
      <x:c r="X221" s="13" t="str">
        <x:f>IF(L221&lt;&gt;"COVERED","HELD — COVERAGE",IF(N221="YES — SENSITIVE","C ACTIONABLE","CHAPTER 5 DEFAULT"))</x:f>
        <x:v>HELD — COVERAGE</x:v>
      </x:c>
      <x:c r="Y221" s="13" t="str">
        <x:f>IF(L221&lt;&gt;"COVERED","HELD — COVERAGE",IF(P221="YES — MANAGED ACCESS","D ACTIONABLE","NO D FIELD"))</x:f>
        <x:v>HELD — COVERAGE</x:v>
      </x:c>
      <x:c r="Z221" s="13" t="str">
        <x:f>IF(L221&lt;&gt;"COVERED","HELD — COVERAGE",IF(OR(R221="PAIRED SYNCHRONIZED",R221="TRILATERAL SYNCHRONIZED"),"E ACTIONABLE","INDEPENDENT"))</x:f>
        <x:v>HELD — COVERAGE</x:v>
      </x:c>
      <x:c r="AA221" s="13" t="str">
        <x:f>IF(L221&lt;&gt;"COVERED","HELD — COVERAGE","WAIT FOR UPSTREAM COMPLETION")</x:f>
        <x:v>HELD — COVERAGE</x:v>
      </x:c>
      <x:c r="AB221" s="13" t="str">
        <x:f>IF(L221&lt;&gt;"COVERED","HELD — COVERAGE",IF(T221="UNRESOLVED","G DECISION REQUIRED",IF(T221="NOT APPLICABLE","G N/A","G ACTIONABLE")))</x:f>
        <x:v>HELD — COVERAGE</x:v>
      </x:c>
      <x:c r="AC221" s="13" t="str">
        <x:f>IF(L221="UNRESOLVED","COVERAGE FIRST",IF(OR(L221="EXCLUDED",L221="OUT OF SCOPE"),"CLOSED BY COVERAGE",IF(AND(L221="COVERED",T221&lt;&gt;"UNRESOLVED"),"PARTIALLY ADOPTED","DECISIONS REMAIN")))</x:f>
        <x:v>COVERAGE FIRST</x:v>
      </x:c>
    </x:row>
    <x:row r="222">
      <x:c r="A222" s="13" t="str">
        <x:v>NAAFTC-HS6-030463</x:v>
      </x:c>
      <x:c r="B222" s="13" t="str">
        <x:v>030463</x:v>
      </x:c>
      <x:c r="C222" s="13" t="str">
        <x:v>03</x:v>
      </x:c>
      <x:c r="D222" s="13" t="str">
        <x:v>TRILATERAL_1_TO_1_TO_1</x:v>
      </x:c>
      <x:c r="E222" s="13" t="str">
        <x:v>Pending</x:v>
      </x:c>
      <x:c r="F222" s="13" t="n">
        <x:v>1</x:v>
      </x:c>
      <x:c r="G222" s="13" t="n">
        <x:v>1</x:v>
      </x:c>
      <x:c r="H222" s="13" t="n">
        <x:v>1</x:v>
      </x:c>
      <x:c r="I222" s="13" t="str">
        <x:v>0304630000</x:v>
      </x:c>
      <x:c r="J222" s="13" t="str">
        <x:v>0304630100</x:v>
      </x:c>
      <x:c r="K222" s="13" t="str">
        <x:v>0304630000</x:v>
      </x:c>
      <x:c r="L222" s="13" t="str">
        <x:v>UNRESOLVED</x:v>
      </x:c>
      <x:c r="M222" s="13" t="str"/>
      <x:c r="N222" s="13" t="str">
        <x:v>NO / DEFAULT</x:v>
      </x:c>
      <x:c r="O222" s="13" t="str"/>
      <x:c r="P222" s="13" t="str">
        <x:v>NO / DEFAULT</x:v>
      </x:c>
      <x:c r="Q222" s="13" t="str"/>
      <x:c r="R222" s="13" t="str">
        <x:v>INDEPENDENT / DEFAULT</x:v>
      </x:c>
      <x:c r="S222" s="13" t="str"/>
      <x:c r="T222" s="13" t="str">
        <x:v>UNRESOLVED</x:v>
      </x:c>
      <x:c r="U222" s="13" t="str"/>
      <x:c r="V222" s="13" t="str"/>
      <x:c r="W222" s="13" t="str"/>
      <x:c r="X222" s="13" t="str">
        <x:f>IF(L222&lt;&gt;"COVERED","HELD — COVERAGE",IF(N222="YES — SENSITIVE","C ACTIONABLE","CHAPTER 5 DEFAULT"))</x:f>
        <x:v>HELD — COVERAGE</x:v>
      </x:c>
      <x:c r="Y222" s="13" t="str">
        <x:f>IF(L222&lt;&gt;"COVERED","HELD — COVERAGE",IF(P222="YES — MANAGED ACCESS","D ACTIONABLE","NO D FIELD"))</x:f>
        <x:v>HELD — COVERAGE</x:v>
      </x:c>
      <x:c r="Z222" s="13" t="str">
        <x:f>IF(L222&lt;&gt;"COVERED","HELD — COVERAGE",IF(OR(R222="PAIRED SYNCHRONIZED",R222="TRILATERAL SYNCHRONIZED"),"E ACTIONABLE","INDEPENDENT"))</x:f>
        <x:v>HELD — COVERAGE</x:v>
      </x:c>
      <x:c r="AA222" s="13" t="str">
        <x:f>IF(L222&lt;&gt;"COVERED","HELD — COVERAGE","WAIT FOR UPSTREAM COMPLETION")</x:f>
        <x:v>HELD — COVERAGE</x:v>
      </x:c>
      <x:c r="AB222" s="13" t="str">
        <x:f>IF(L222&lt;&gt;"COVERED","HELD — COVERAGE",IF(T222="UNRESOLVED","G DECISION REQUIRED",IF(T222="NOT APPLICABLE","G N/A","G ACTIONABLE")))</x:f>
        <x:v>HELD — COVERAGE</x:v>
      </x:c>
      <x:c r="AC222" s="13" t="str">
        <x:f>IF(L222="UNRESOLVED","COVERAGE FIRST",IF(OR(L222="EXCLUDED",L222="OUT OF SCOPE"),"CLOSED BY COVERAGE",IF(AND(L222="COVERED",T222&lt;&gt;"UNRESOLVED"),"PARTIALLY ADOPTED","DECISIONS REMAIN")))</x:f>
        <x:v>COVERAGE FIRST</x:v>
      </x:c>
    </x:row>
    <x:row r="223">
      <x:c r="A223" s="13" t="str">
        <x:v>NAAFTC-HS6-030469</x:v>
      </x:c>
      <x:c r="B223" s="13" t="str">
        <x:v>030469</x:v>
      </x:c>
      <x:c r="C223" s="13" t="str">
        <x:v>03</x:v>
      </x:c>
      <x:c r="D223" s="13" t="str">
        <x:v>TRILATERAL_1_TO_1_TO_1</x:v>
      </x:c>
      <x:c r="E223" s="13" t="str">
        <x:v>Pending</x:v>
      </x:c>
      <x:c r="F223" s="13" t="n">
        <x:v>1</x:v>
      </x:c>
      <x:c r="G223" s="13" t="n">
        <x:v>1</x:v>
      </x:c>
      <x:c r="H223" s="13" t="n">
        <x:v>1</x:v>
      </x:c>
      <x:c r="I223" s="13" t="str">
        <x:v>0304690000</x:v>
      </x:c>
      <x:c r="J223" s="13" t="str">
        <x:v>0304699900</x:v>
      </x:c>
      <x:c r="K223" s="13" t="str">
        <x:v>0304690000</x:v>
      </x:c>
      <x:c r="L223" s="13" t="str">
        <x:v>UNRESOLVED</x:v>
      </x:c>
      <x:c r="M223" s="13" t="str"/>
      <x:c r="N223" s="13" t="str">
        <x:v>NO / DEFAULT</x:v>
      </x:c>
      <x:c r="O223" s="13" t="str"/>
      <x:c r="P223" s="13" t="str">
        <x:v>NO / DEFAULT</x:v>
      </x:c>
      <x:c r="Q223" s="13" t="str"/>
      <x:c r="R223" s="13" t="str">
        <x:v>INDEPENDENT / DEFAULT</x:v>
      </x:c>
      <x:c r="S223" s="13" t="str"/>
      <x:c r="T223" s="13" t="str">
        <x:v>UNRESOLVED</x:v>
      </x:c>
      <x:c r="U223" s="13" t="str"/>
      <x:c r="V223" s="13" t="str"/>
      <x:c r="W223" s="13" t="str"/>
      <x:c r="X223" s="13" t="str">
        <x:f>IF(L223&lt;&gt;"COVERED","HELD — COVERAGE",IF(N223="YES — SENSITIVE","C ACTIONABLE","CHAPTER 5 DEFAULT"))</x:f>
        <x:v>HELD — COVERAGE</x:v>
      </x:c>
      <x:c r="Y223" s="13" t="str">
        <x:f>IF(L223&lt;&gt;"COVERED","HELD — COVERAGE",IF(P223="YES — MANAGED ACCESS","D ACTIONABLE","NO D FIELD"))</x:f>
        <x:v>HELD — COVERAGE</x:v>
      </x:c>
      <x:c r="Z223" s="13" t="str">
        <x:f>IF(L223&lt;&gt;"COVERED","HELD — COVERAGE",IF(OR(R223="PAIRED SYNCHRONIZED",R223="TRILATERAL SYNCHRONIZED"),"E ACTIONABLE","INDEPENDENT"))</x:f>
        <x:v>HELD — COVERAGE</x:v>
      </x:c>
      <x:c r="AA223" s="13" t="str">
        <x:f>IF(L223&lt;&gt;"COVERED","HELD — COVERAGE","WAIT FOR UPSTREAM COMPLETION")</x:f>
        <x:v>HELD — COVERAGE</x:v>
      </x:c>
      <x:c r="AB223" s="13" t="str">
        <x:f>IF(L223&lt;&gt;"COVERED","HELD — COVERAGE",IF(T223="UNRESOLVED","G DECISION REQUIRED",IF(T223="NOT APPLICABLE","G N/A","G ACTIONABLE")))</x:f>
        <x:v>HELD — COVERAGE</x:v>
      </x:c>
      <x:c r="AC223" s="13" t="str">
        <x:f>IF(L223="UNRESOLVED","COVERAGE FIRST",IF(OR(L223="EXCLUDED",L223="OUT OF SCOPE"),"CLOSED BY COVERAGE",IF(AND(L223="COVERED",T223&lt;&gt;"UNRESOLVED"),"PARTIALLY ADOPTED","DECISIONS REMAIN")))</x:f>
        <x:v>COVERAGE FIRST</x:v>
      </x:c>
    </x:row>
    <x:row r="224">
      <x:c r="A224" s="13" t="str">
        <x:v>NAAFTC-HS6-030471</x:v>
      </x:c>
      <x:c r="B224" s="13" t="str">
        <x:v>030471</x:v>
      </x:c>
      <x:c r="C224" s="13" t="str">
        <x:v>03</x:v>
      </x:c>
      <x:c r="D224" s="13" t="str">
        <x:v>TRILATERAL_SPLIT_MERGE</x:v>
      </x:c>
      <x:c r="E224" s="13" t="str">
        <x:v>Pending</x:v>
      </x:c>
      <x:c r="F224" s="13" t="n">
        <x:v>2</x:v>
      </x:c>
      <x:c r="G224" s="13" t="n">
        <x:v>1</x:v>
      </x:c>
      <x:c r="H224" s="13" t="n">
        <x:v>1</x:v>
      </x:c>
      <x:c r="I224" s="13" t="str">
        <x:v>0304711000; 0304715000</x:v>
      </x:c>
      <x:c r="J224" s="13" t="str">
        <x:v>0304710100</x:v>
      </x:c>
      <x:c r="K224" s="13" t="str">
        <x:v>0304710000</x:v>
      </x:c>
      <x:c r="L224" s="13" t="str">
        <x:v>UNRESOLVED</x:v>
      </x:c>
      <x:c r="M224" s="13" t="str"/>
      <x:c r="N224" s="13" t="str">
        <x:v>NO / DEFAULT</x:v>
      </x:c>
      <x:c r="O224" s="13" t="str"/>
      <x:c r="P224" s="13" t="str">
        <x:v>NO / DEFAULT</x:v>
      </x:c>
      <x:c r="Q224" s="13" t="str"/>
      <x:c r="R224" s="13" t="str">
        <x:v>INDEPENDENT / DEFAULT</x:v>
      </x:c>
      <x:c r="S224" s="13" t="str"/>
      <x:c r="T224" s="13" t="str">
        <x:v>UNRESOLVED</x:v>
      </x:c>
      <x:c r="U224" s="13" t="str"/>
      <x:c r="V224" s="13" t="str"/>
      <x:c r="W224" s="13" t="str"/>
      <x:c r="X224" s="13" t="str">
        <x:f>IF(L224&lt;&gt;"COVERED","HELD — COVERAGE",IF(N224="YES — SENSITIVE","C ACTIONABLE","CHAPTER 5 DEFAULT"))</x:f>
        <x:v>HELD — COVERAGE</x:v>
      </x:c>
      <x:c r="Y224" s="13" t="str">
        <x:f>IF(L224&lt;&gt;"COVERED","HELD — COVERAGE",IF(P224="YES — MANAGED ACCESS","D ACTIONABLE","NO D FIELD"))</x:f>
        <x:v>HELD — COVERAGE</x:v>
      </x:c>
      <x:c r="Z224" s="13" t="str">
        <x:f>IF(L224&lt;&gt;"COVERED","HELD — COVERAGE",IF(OR(R224="PAIRED SYNCHRONIZED",R224="TRILATERAL SYNCHRONIZED"),"E ACTIONABLE","INDEPENDENT"))</x:f>
        <x:v>HELD — COVERAGE</x:v>
      </x:c>
      <x:c r="AA224" s="13" t="str">
        <x:f>IF(L224&lt;&gt;"COVERED","HELD — COVERAGE","WAIT FOR UPSTREAM COMPLETION")</x:f>
        <x:v>HELD — COVERAGE</x:v>
      </x:c>
      <x:c r="AB224" s="13" t="str">
        <x:f>IF(L224&lt;&gt;"COVERED","HELD — COVERAGE",IF(T224="UNRESOLVED","G DECISION REQUIRED",IF(T224="NOT APPLICABLE","G N/A","G ACTIONABLE")))</x:f>
        <x:v>HELD — COVERAGE</x:v>
      </x:c>
      <x:c r="AC224" s="13" t="str">
        <x:f>IF(L224="UNRESOLVED","COVERAGE FIRST",IF(OR(L224="EXCLUDED",L224="OUT OF SCOPE"),"CLOSED BY COVERAGE",IF(AND(L224="COVERED",T224&lt;&gt;"UNRESOLVED"),"PARTIALLY ADOPTED","DECISIONS REMAIN")))</x:f>
        <x:v>COVERAGE FIRST</x:v>
      </x:c>
    </x:row>
    <x:row r="225">
      <x:c r="A225" s="13" t="str">
        <x:v>NAAFTC-HS6-030472</x:v>
      </x:c>
      <x:c r="B225" s="13" t="str">
        <x:v>030472</x:v>
      </x:c>
      <x:c r="C225" s="13" t="str">
        <x:v>03</x:v>
      </x:c>
      <x:c r="D225" s="13" t="str">
        <x:v>TRILATERAL_SPLIT_MERGE</x:v>
      </x:c>
      <x:c r="E225" s="13" t="str">
        <x:v>Pending</x:v>
      </x:c>
      <x:c r="F225" s="13" t="n">
        <x:v>2</x:v>
      </x:c>
      <x:c r="G225" s="13" t="n">
        <x:v>1</x:v>
      </x:c>
      <x:c r="H225" s="13" t="n">
        <x:v>1</x:v>
      </x:c>
      <x:c r="I225" s="13" t="str">
        <x:v>0304721000; 0304725000</x:v>
      </x:c>
      <x:c r="J225" s="13" t="str">
        <x:v>0304720100</x:v>
      </x:c>
      <x:c r="K225" s="13" t="str">
        <x:v>0304720000</x:v>
      </x:c>
      <x:c r="L225" s="13" t="str">
        <x:v>UNRESOLVED</x:v>
      </x:c>
      <x:c r="M225" s="13" t="str"/>
      <x:c r="N225" s="13" t="str">
        <x:v>NO / DEFAULT</x:v>
      </x:c>
      <x:c r="O225" s="13" t="str"/>
      <x:c r="P225" s="13" t="str">
        <x:v>NO / DEFAULT</x:v>
      </x:c>
      <x:c r="Q225" s="13" t="str"/>
      <x:c r="R225" s="13" t="str">
        <x:v>INDEPENDENT / DEFAULT</x:v>
      </x:c>
      <x:c r="S225" s="13" t="str"/>
      <x:c r="T225" s="13" t="str">
        <x:v>UNRESOLVED</x:v>
      </x:c>
      <x:c r="U225" s="13" t="str"/>
      <x:c r="V225" s="13" t="str"/>
      <x:c r="W225" s="13" t="str"/>
      <x:c r="X225" s="13" t="str">
        <x:f>IF(L225&lt;&gt;"COVERED","HELD — COVERAGE",IF(N225="YES — SENSITIVE","C ACTIONABLE","CHAPTER 5 DEFAULT"))</x:f>
        <x:v>HELD — COVERAGE</x:v>
      </x:c>
      <x:c r="Y225" s="13" t="str">
        <x:f>IF(L225&lt;&gt;"COVERED","HELD — COVERAGE",IF(P225="YES — MANAGED ACCESS","D ACTIONABLE","NO D FIELD"))</x:f>
        <x:v>HELD — COVERAGE</x:v>
      </x:c>
      <x:c r="Z225" s="13" t="str">
        <x:f>IF(L225&lt;&gt;"COVERED","HELD — COVERAGE",IF(OR(R225="PAIRED SYNCHRONIZED",R225="TRILATERAL SYNCHRONIZED"),"E ACTIONABLE","INDEPENDENT"))</x:f>
        <x:v>HELD — COVERAGE</x:v>
      </x:c>
      <x:c r="AA225" s="13" t="str">
        <x:f>IF(L225&lt;&gt;"COVERED","HELD — COVERAGE","WAIT FOR UPSTREAM COMPLETION")</x:f>
        <x:v>HELD — COVERAGE</x:v>
      </x:c>
      <x:c r="AB225" s="13" t="str">
        <x:f>IF(L225&lt;&gt;"COVERED","HELD — COVERAGE",IF(T225="UNRESOLVED","G DECISION REQUIRED",IF(T225="NOT APPLICABLE","G N/A","G ACTIONABLE")))</x:f>
        <x:v>HELD — COVERAGE</x:v>
      </x:c>
      <x:c r="AC225" s="13" t="str">
        <x:f>IF(L225="UNRESOLVED","COVERAGE FIRST",IF(OR(L225="EXCLUDED",L225="OUT OF SCOPE"),"CLOSED BY COVERAGE",IF(AND(L225="COVERED",T225&lt;&gt;"UNRESOLVED"),"PARTIALLY ADOPTED","DECISIONS REMAIN")))</x:f>
        <x:v>COVERAGE FIRST</x:v>
      </x:c>
    </x:row>
    <x:row r="226">
      <x:c r="A226" s="13" t="str">
        <x:v>NAAFTC-HS6-030473</x:v>
      </x:c>
      <x:c r="B226" s="13" t="str">
        <x:v>030473</x:v>
      </x:c>
      <x:c r="C226" s="13" t="str">
        <x:v>03</x:v>
      </x:c>
      <x:c r="D226" s="13" t="str">
        <x:v>TRILATERAL_SPLIT_MERGE</x:v>
      </x:c>
      <x:c r="E226" s="13" t="str">
        <x:v>Pending</x:v>
      </x:c>
      <x:c r="F226" s="13" t="n">
        <x:v>2</x:v>
      </x:c>
      <x:c r="G226" s="13" t="n">
        <x:v>1</x:v>
      </x:c>
      <x:c r="H226" s="13" t="n">
        <x:v>1</x:v>
      </x:c>
      <x:c r="I226" s="13" t="str">
        <x:v>0304731000; 0304735000</x:v>
      </x:c>
      <x:c r="J226" s="13" t="str">
        <x:v>0304730100</x:v>
      </x:c>
      <x:c r="K226" s="13" t="str">
        <x:v>0304730000</x:v>
      </x:c>
      <x:c r="L226" s="13" t="str">
        <x:v>UNRESOLVED</x:v>
      </x:c>
      <x:c r="M226" s="13" t="str"/>
      <x:c r="N226" s="13" t="str">
        <x:v>NO / DEFAULT</x:v>
      </x:c>
      <x:c r="O226" s="13" t="str"/>
      <x:c r="P226" s="13" t="str">
        <x:v>NO / DEFAULT</x:v>
      </x:c>
      <x:c r="Q226" s="13" t="str"/>
      <x:c r="R226" s="13" t="str">
        <x:v>INDEPENDENT / DEFAULT</x:v>
      </x:c>
      <x:c r="S226" s="13" t="str"/>
      <x:c r="T226" s="13" t="str">
        <x:v>UNRESOLVED</x:v>
      </x:c>
      <x:c r="U226" s="13" t="str"/>
      <x:c r="V226" s="13" t="str"/>
      <x:c r="W226" s="13" t="str"/>
      <x:c r="X226" s="13" t="str">
        <x:f>IF(L226&lt;&gt;"COVERED","HELD — COVERAGE",IF(N226="YES — SENSITIVE","C ACTIONABLE","CHAPTER 5 DEFAULT"))</x:f>
        <x:v>HELD — COVERAGE</x:v>
      </x:c>
      <x:c r="Y226" s="13" t="str">
        <x:f>IF(L226&lt;&gt;"COVERED","HELD — COVERAGE",IF(P226="YES — MANAGED ACCESS","D ACTIONABLE","NO D FIELD"))</x:f>
        <x:v>HELD — COVERAGE</x:v>
      </x:c>
      <x:c r="Z226" s="13" t="str">
        <x:f>IF(L226&lt;&gt;"COVERED","HELD — COVERAGE",IF(OR(R226="PAIRED SYNCHRONIZED",R226="TRILATERAL SYNCHRONIZED"),"E ACTIONABLE","INDEPENDENT"))</x:f>
        <x:v>HELD — COVERAGE</x:v>
      </x:c>
      <x:c r="AA226" s="13" t="str">
        <x:f>IF(L226&lt;&gt;"COVERED","HELD — COVERAGE","WAIT FOR UPSTREAM COMPLETION")</x:f>
        <x:v>HELD — COVERAGE</x:v>
      </x:c>
      <x:c r="AB226" s="13" t="str">
        <x:f>IF(L226&lt;&gt;"COVERED","HELD — COVERAGE",IF(T226="UNRESOLVED","G DECISION REQUIRED",IF(T226="NOT APPLICABLE","G N/A","G ACTIONABLE")))</x:f>
        <x:v>HELD — COVERAGE</x:v>
      </x:c>
      <x:c r="AC226" s="13" t="str">
        <x:f>IF(L226="UNRESOLVED","COVERAGE FIRST",IF(OR(L226="EXCLUDED",L226="OUT OF SCOPE"),"CLOSED BY COVERAGE",IF(AND(L226="COVERED",T226&lt;&gt;"UNRESOLVED"),"PARTIALLY ADOPTED","DECISIONS REMAIN")))</x:f>
        <x:v>COVERAGE FIRST</x:v>
      </x:c>
    </x:row>
    <x:row r="227">
      <x:c r="A227" s="13" t="str">
        <x:v>NAAFTC-HS6-030474</x:v>
      </x:c>
      <x:c r="B227" s="13" t="str">
        <x:v>030474</x:v>
      </x:c>
      <x:c r="C227" s="13" t="str">
        <x:v>03</x:v>
      </x:c>
      <x:c r="D227" s="13" t="str">
        <x:v>TRILATERAL_SPLIT_MERGE</x:v>
      </x:c>
      <x:c r="E227" s="13" t="str">
        <x:v>Pending</x:v>
      </x:c>
      <x:c r="F227" s="13" t="n">
        <x:v>2</x:v>
      </x:c>
      <x:c r="G227" s="13" t="n">
        <x:v>2</x:v>
      </x:c>
      <x:c r="H227" s="13" t="n">
        <x:v>1</x:v>
      </x:c>
      <x:c r="I227" s="13" t="str">
        <x:v>0304741000; 0304745000</x:v>
      </x:c>
      <x:c r="J227" s="13" t="str">
        <x:v>0304740101; 0304740199</x:v>
      </x:c>
      <x:c r="K227" s="13" t="str">
        <x:v>0304740000</x:v>
      </x:c>
      <x:c r="L227" s="13" t="str">
        <x:v>UNRESOLVED</x:v>
      </x:c>
      <x:c r="M227" s="13" t="str"/>
      <x:c r="N227" s="13" t="str">
        <x:v>NO / DEFAULT</x:v>
      </x:c>
      <x:c r="O227" s="13" t="str"/>
      <x:c r="P227" s="13" t="str">
        <x:v>NO / DEFAULT</x:v>
      </x:c>
      <x:c r="Q227" s="13" t="str"/>
      <x:c r="R227" s="13" t="str">
        <x:v>INDEPENDENT / DEFAULT</x:v>
      </x:c>
      <x:c r="S227" s="13" t="str"/>
      <x:c r="T227" s="13" t="str">
        <x:v>UNRESOLVED</x:v>
      </x:c>
      <x:c r="U227" s="13" t="str"/>
      <x:c r="V227" s="13" t="str"/>
      <x:c r="W227" s="13" t="str"/>
      <x:c r="X227" s="13" t="str">
        <x:f>IF(L227&lt;&gt;"COVERED","HELD — COVERAGE",IF(N227="YES — SENSITIVE","C ACTIONABLE","CHAPTER 5 DEFAULT"))</x:f>
        <x:v>HELD — COVERAGE</x:v>
      </x:c>
      <x:c r="Y227" s="13" t="str">
        <x:f>IF(L227&lt;&gt;"COVERED","HELD — COVERAGE",IF(P227="YES — MANAGED ACCESS","D ACTIONABLE","NO D FIELD"))</x:f>
        <x:v>HELD — COVERAGE</x:v>
      </x:c>
      <x:c r="Z227" s="13" t="str">
        <x:f>IF(L227&lt;&gt;"COVERED","HELD — COVERAGE",IF(OR(R227="PAIRED SYNCHRONIZED",R227="TRILATERAL SYNCHRONIZED"),"E ACTIONABLE","INDEPENDENT"))</x:f>
        <x:v>HELD — COVERAGE</x:v>
      </x:c>
      <x:c r="AA227" s="13" t="str">
        <x:f>IF(L227&lt;&gt;"COVERED","HELD — COVERAGE","WAIT FOR UPSTREAM COMPLETION")</x:f>
        <x:v>HELD — COVERAGE</x:v>
      </x:c>
      <x:c r="AB227" s="13" t="str">
        <x:f>IF(L227&lt;&gt;"COVERED","HELD — COVERAGE",IF(T227="UNRESOLVED","G DECISION REQUIRED",IF(T227="NOT APPLICABLE","G N/A","G ACTIONABLE")))</x:f>
        <x:v>HELD — COVERAGE</x:v>
      </x:c>
      <x:c r="AC227" s="13" t="str">
        <x:f>IF(L227="UNRESOLVED","COVERAGE FIRST",IF(OR(L227="EXCLUDED",L227="OUT OF SCOPE"),"CLOSED BY COVERAGE",IF(AND(L227="COVERED",T227&lt;&gt;"UNRESOLVED"),"PARTIALLY ADOPTED","DECISIONS REMAIN")))</x:f>
        <x:v>COVERAGE FIRST</x:v>
      </x:c>
    </x:row>
    <x:row r="228">
      <x:c r="A228" s="13" t="str">
        <x:v>NAAFTC-HS6-030475</x:v>
      </x:c>
      <x:c r="B228" s="13" t="str">
        <x:v>030475</x:v>
      </x:c>
      <x:c r="C228" s="13" t="str">
        <x:v>03</x:v>
      </x:c>
      <x:c r="D228" s="13" t="str">
        <x:v>TRILATERAL_SPLIT_MERGE</x:v>
      </x:c>
      <x:c r="E228" s="13" t="str">
        <x:v>Pending</x:v>
      </x:c>
      <x:c r="F228" s="13" t="n">
        <x:v>2</x:v>
      </x:c>
      <x:c r="G228" s="13" t="n">
        <x:v>1</x:v>
      </x:c>
      <x:c r="H228" s="13" t="n">
        <x:v>1</x:v>
      </x:c>
      <x:c r="I228" s="13" t="str">
        <x:v>0304751000; 0304755000</x:v>
      </x:c>
      <x:c r="J228" s="13" t="str">
        <x:v>0304750100</x:v>
      </x:c>
      <x:c r="K228" s="13" t="str">
        <x:v>0304750000</x:v>
      </x:c>
      <x:c r="L228" s="13" t="str">
        <x:v>UNRESOLVED</x:v>
      </x:c>
      <x:c r="M228" s="13" t="str"/>
      <x:c r="N228" s="13" t="str">
        <x:v>NO / DEFAULT</x:v>
      </x:c>
      <x:c r="O228" s="13" t="str"/>
      <x:c r="P228" s="13" t="str">
        <x:v>NO / DEFAULT</x:v>
      </x:c>
      <x:c r="Q228" s="13" t="str"/>
      <x:c r="R228" s="13" t="str">
        <x:v>INDEPENDENT / DEFAULT</x:v>
      </x:c>
      <x:c r="S228" s="13" t="str"/>
      <x:c r="T228" s="13" t="str">
        <x:v>UNRESOLVED</x:v>
      </x:c>
      <x:c r="U228" s="13" t="str"/>
      <x:c r="V228" s="13" t="str"/>
      <x:c r="W228" s="13" t="str"/>
      <x:c r="X228" s="13" t="str">
        <x:f>IF(L228&lt;&gt;"COVERED","HELD — COVERAGE",IF(N228="YES — SENSITIVE","C ACTIONABLE","CHAPTER 5 DEFAULT"))</x:f>
        <x:v>HELD — COVERAGE</x:v>
      </x:c>
      <x:c r="Y228" s="13" t="str">
        <x:f>IF(L228&lt;&gt;"COVERED","HELD — COVERAGE",IF(P228="YES — MANAGED ACCESS","D ACTIONABLE","NO D FIELD"))</x:f>
        <x:v>HELD — COVERAGE</x:v>
      </x:c>
      <x:c r="Z228" s="13" t="str">
        <x:f>IF(L228&lt;&gt;"COVERED","HELD — COVERAGE",IF(OR(R228="PAIRED SYNCHRONIZED",R228="TRILATERAL SYNCHRONIZED"),"E ACTIONABLE","INDEPENDENT"))</x:f>
        <x:v>HELD — COVERAGE</x:v>
      </x:c>
      <x:c r="AA228" s="13" t="str">
        <x:f>IF(L228&lt;&gt;"COVERED","HELD — COVERAGE","WAIT FOR UPSTREAM COMPLETION")</x:f>
        <x:v>HELD — COVERAGE</x:v>
      </x:c>
      <x:c r="AB228" s="13" t="str">
        <x:f>IF(L228&lt;&gt;"COVERED","HELD — COVERAGE",IF(T228="UNRESOLVED","G DECISION REQUIRED",IF(T228="NOT APPLICABLE","G N/A","G ACTIONABLE")))</x:f>
        <x:v>HELD — COVERAGE</x:v>
      </x:c>
      <x:c r="AC228" s="13" t="str">
        <x:f>IF(L228="UNRESOLVED","COVERAGE FIRST",IF(OR(L228="EXCLUDED",L228="OUT OF SCOPE"),"CLOSED BY COVERAGE",IF(AND(L228="COVERED",T228&lt;&gt;"UNRESOLVED"),"PARTIALLY ADOPTED","DECISIONS REMAIN")))</x:f>
        <x:v>COVERAGE FIRST</x:v>
      </x:c>
    </x:row>
    <x:row r="229">
      <x:c r="A229" s="13" t="str">
        <x:v>NAAFTC-HS6-030479</x:v>
      </x:c>
      <x:c r="B229" s="13" t="str">
        <x:v>030479</x:v>
      </x:c>
      <x:c r="C229" s="13" t="str">
        <x:v>03</x:v>
      </x:c>
      <x:c r="D229" s="13" t="str">
        <x:v>TRILATERAL_SPLIT_MERGE</x:v>
      </x:c>
      <x:c r="E229" s="13" t="str">
        <x:v>Pending</x:v>
      </x:c>
      <x:c r="F229" s="13" t="n">
        <x:v>4</x:v>
      </x:c>
      <x:c r="G229" s="13" t="n">
        <x:v>1</x:v>
      </x:c>
      <x:c r="H229" s="13" t="n">
        <x:v>1</x:v>
      </x:c>
      <x:c r="I229" s="13" t="str">
        <x:v>0304791010; 0304791015; 0304791090; 0304795000</x:v>
      </x:c>
      <x:c r="J229" s="13" t="str">
        <x:v>0304799900</x:v>
      </x:c>
      <x:c r="K229" s="13" t="str">
        <x:v>0304790000</x:v>
      </x:c>
      <x:c r="L229" s="13" t="str">
        <x:v>UNRESOLVED</x:v>
      </x:c>
      <x:c r="M229" s="13" t="str"/>
      <x:c r="N229" s="13" t="str">
        <x:v>NO / DEFAULT</x:v>
      </x:c>
      <x:c r="O229" s="13" t="str"/>
      <x:c r="P229" s="13" t="str">
        <x:v>NO / DEFAULT</x:v>
      </x:c>
      <x:c r="Q229" s="13" t="str"/>
      <x:c r="R229" s="13" t="str">
        <x:v>INDEPENDENT / DEFAULT</x:v>
      </x:c>
      <x:c r="S229" s="13" t="str"/>
      <x:c r="T229" s="13" t="str">
        <x:v>UNRESOLVED</x:v>
      </x:c>
      <x:c r="U229" s="13" t="str"/>
      <x:c r="V229" s="13" t="str"/>
      <x:c r="W229" s="13" t="str"/>
      <x:c r="X229" s="13" t="str">
        <x:f>IF(L229&lt;&gt;"COVERED","HELD — COVERAGE",IF(N229="YES — SENSITIVE","C ACTIONABLE","CHAPTER 5 DEFAULT"))</x:f>
        <x:v>HELD — COVERAGE</x:v>
      </x:c>
      <x:c r="Y229" s="13" t="str">
        <x:f>IF(L229&lt;&gt;"COVERED","HELD — COVERAGE",IF(P229="YES — MANAGED ACCESS","D ACTIONABLE","NO D FIELD"))</x:f>
        <x:v>HELD — COVERAGE</x:v>
      </x:c>
      <x:c r="Z229" s="13" t="str">
        <x:f>IF(L229&lt;&gt;"COVERED","HELD — COVERAGE",IF(OR(R229="PAIRED SYNCHRONIZED",R229="TRILATERAL SYNCHRONIZED"),"E ACTIONABLE","INDEPENDENT"))</x:f>
        <x:v>HELD — COVERAGE</x:v>
      </x:c>
      <x:c r="AA229" s="13" t="str">
        <x:f>IF(L229&lt;&gt;"COVERED","HELD — COVERAGE","WAIT FOR UPSTREAM COMPLETION")</x:f>
        <x:v>HELD — COVERAGE</x:v>
      </x:c>
      <x:c r="AB229" s="13" t="str">
        <x:f>IF(L229&lt;&gt;"COVERED","HELD — COVERAGE",IF(T229="UNRESOLVED","G DECISION REQUIRED",IF(T229="NOT APPLICABLE","G N/A","G ACTIONABLE")))</x:f>
        <x:v>HELD — COVERAGE</x:v>
      </x:c>
      <x:c r="AC229" s="13" t="str">
        <x:f>IF(L229="UNRESOLVED","COVERAGE FIRST",IF(OR(L229="EXCLUDED",L229="OUT OF SCOPE"),"CLOSED BY COVERAGE",IF(AND(L229="COVERED",T229&lt;&gt;"UNRESOLVED"),"PARTIALLY ADOPTED","DECISIONS REMAIN")))</x:f>
        <x:v>COVERAGE FIRST</x:v>
      </x:c>
    </x:row>
    <x:row r="230">
      <x:c r="A230" s="13" t="str">
        <x:v>NAAFTC-HS6-030481</x:v>
      </x:c>
      <x:c r="B230" s="13" t="str">
        <x:v>030481</x:v>
      </x:c>
      <x:c r="C230" s="13" t="str">
        <x:v>03</x:v>
      </x:c>
      <x:c r="D230" s="13" t="str">
        <x:v>TRILATERAL_SPLIT_MERGE</x:v>
      </x:c>
      <x:c r="E230" s="13" t="str">
        <x:v>Pending</x:v>
      </x:c>
      <x:c r="F230" s="13" t="n">
        <x:v>3</x:v>
      </x:c>
      <x:c r="G230" s="13" t="n">
        <x:v>1</x:v>
      </x:c>
      <x:c r="H230" s="13" t="n">
        <x:v>1</x:v>
      </x:c>
      <x:c r="I230" s="13" t="str">
        <x:v>0304811000; 0304815010; 0304815090</x:v>
      </x:c>
      <x:c r="J230" s="13" t="str">
        <x:v>0304810100</x:v>
      </x:c>
      <x:c r="K230" s="13" t="str">
        <x:v>0304810000</x:v>
      </x:c>
      <x:c r="L230" s="13" t="str">
        <x:v>UNRESOLVED</x:v>
      </x:c>
      <x:c r="M230" s="13" t="str"/>
      <x:c r="N230" s="13" t="str">
        <x:v>NO / DEFAULT</x:v>
      </x:c>
      <x:c r="O230" s="13" t="str"/>
      <x:c r="P230" s="13" t="str">
        <x:v>NO / DEFAULT</x:v>
      </x:c>
      <x:c r="Q230" s="13" t="str"/>
      <x:c r="R230" s="13" t="str">
        <x:v>INDEPENDENT / DEFAULT</x:v>
      </x:c>
      <x:c r="S230" s="13" t="str"/>
      <x:c r="T230" s="13" t="str">
        <x:v>UNRESOLVED</x:v>
      </x:c>
      <x:c r="U230" s="13" t="str"/>
      <x:c r="V230" s="13" t="str"/>
      <x:c r="W230" s="13" t="str"/>
      <x:c r="X230" s="13" t="str">
        <x:f>IF(L230&lt;&gt;"COVERED","HELD — COVERAGE",IF(N230="YES — SENSITIVE","C ACTIONABLE","CHAPTER 5 DEFAULT"))</x:f>
        <x:v>HELD — COVERAGE</x:v>
      </x:c>
      <x:c r="Y230" s="13" t="str">
        <x:f>IF(L230&lt;&gt;"COVERED","HELD — COVERAGE",IF(P230="YES — MANAGED ACCESS","D ACTIONABLE","NO D FIELD"))</x:f>
        <x:v>HELD — COVERAGE</x:v>
      </x:c>
      <x:c r="Z230" s="13" t="str">
        <x:f>IF(L230&lt;&gt;"COVERED","HELD — COVERAGE",IF(OR(R230="PAIRED SYNCHRONIZED",R230="TRILATERAL SYNCHRONIZED"),"E ACTIONABLE","INDEPENDENT"))</x:f>
        <x:v>HELD — COVERAGE</x:v>
      </x:c>
      <x:c r="AA230" s="13" t="str">
        <x:f>IF(L230&lt;&gt;"COVERED","HELD — COVERAGE","WAIT FOR UPSTREAM COMPLETION")</x:f>
        <x:v>HELD — COVERAGE</x:v>
      </x:c>
      <x:c r="AB230" s="13" t="str">
        <x:f>IF(L230&lt;&gt;"COVERED","HELD — COVERAGE",IF(T230="UNRESOLVED","G DECISION REQUIRED",IF(T230="NOT APPLICABLE","G N/A","G ACTIONABLE")))</x:f>
        <x:v>HELD — COVERAGE</x:v>
      </x:c>
      <x:c r="AC230" s="13" t="str">
        <x:f>IF(L230="UNRESOLVED","COVERAGE FIRST",IF(OR(L230="EXCLUDED",L230="OUT OF SCOPE"),"CLOSED BY COVERAGE",IF(AND(L230="COVERED",T230&lt;&gt;"UNRESOLVED"),"PARTIALLY ADOPTED","DECISIONS REMAIN")))</x:f>
        <x:v>COVERAGE FIRST</x:v>
      </x:c>
    </x:row>
    <x:row r="231">
      <x:c r="A231" s="13" t="str">
        <x:v>NAAFTC-HS6-030482</x:v>
      </x:c>
      <x:c r="B231" s="13" t="str">
        <x:v>030482</x:v>
      </x:c>
      <x:c r="C231" s="13" t="str">
        <x:v>03</x:v>
      </x:c>
      <x:c r="D231" s="13" t="str">
        <x:v>TRILATERAL_SPLIT_MERGE</x:v>
      </x:c>
      <x:c r="E231" s="13" t="str">
        <x:v>Pending</x:v>
      </x:c>
      <x:c r="F231" s="13" t="n">
        <x:v>2</x:v>
      </x:c>
      <x:c r="G231" s="13" t="n">
        <x:v>1</x:v>
      </x:c>
      <x:c r="H231" s="13" t="n">
        <x:v>1</x:v>
      </x:c>
      <x:c r="I231" s="13" t="str">
        <x:v>0304821000; 0304825000</x:v>
      </x:c>
      <x:c r="J231" s="13" t="str">
        <x:v>0304820100</x:v>
      </x:c>
      <x:c r="K231" s="13" t="str">
        <x:v>0304820000</x:v>
      </x:c>
      <x:c r="L231" s="13" t="str">
        <x:v>UNRESOLVED</x:v>
      </x:c>
      <x:c r="M231" s="13" t="str"/>
      <x:c r="N231" s="13" t="str">
        <x:v>NO / DEFAULT</x:v>
      </x:c>
      <x:c r="O231" s="13" t="str"/>
      <x:c r="P231" s="13" t="str">
        <x:v>NO / DEFAULT</x:v>
      </x:c>
      <x:c r="Q231" s="13" t="str"/>
      <x:c r="R231" s="13" t="str">
        <x:v>INDEPENDENT / DEFAULT</x:v>
      </x:c>
      <x:c r="S231" s="13" t="str"/>
      <x:c r="T231" s="13" t="str">
        <x:v>UNRESOLVED</x:v>
      </x:c>
      <x:c r="U231" s="13" t="str"/>
      <x:c r="V231" s="13" t="str"/>
      <x:c r="W231" s="13" t="str"/>
      <x:c r="X231" s="13" t="str">
        <x:f>IF(L231&lt;&gt;"COVERED","HELD — COVERAGE",IF(N231="YES — SENSITIVE","C ACTIONABLE","CHAPTER 5 DEFAULT"))</x:f>
        <x:v>HELD — COVERAGE</x:v>
      </x:c>
      <x:c r="Y231" s="13" t="str">
        <x:f>IF(L231&lt;&gt;"COVERED","HELD — COVERAGE",IF(P231="YES — MANAGED ACCESS","D ACTIONABLE","NO D FIELD"))</x:f>
        <x:v>HELD — COVERAGE</x:v>
      </x:c>
      <x:c r="Z231" s="13" t="str">
        <x:f>IF(L231&lt;&gt;"COVERED","HELD — COVERAGE",IF(OR(R231="PAIRED SYNCHRONIZED",R231="TRILATERAL SYNCHRONIZED"),"E ACTIONABLE","INDEPENDENT"))</x:f>
        <x:v>HELD — COVERAGE</x:v>
      </x:c>
      <x:c r="AA231" s="13" t="str">
        <x:f>IF(L231&lt;&gt;"COVERED","HELD — COVERAGE","WAIT FOR UPSTREAM COMPLETION")</x:f>
        <x:v>HELD — COVERAGE</x:v>
      </x:c>
      <x:c r="AB231" s="13" t="str">
        <x:f>IF(L231&lt;&gt;"COVERED","HELD — COVERAGE",IF(T231="UNRESOLVED","G DECISION REQUIRED",IF(T231="NOT APPLICABLE","G N/A","G ACTIONABLE")))</x:f>
        <x:v>HELD — COVERAGE</x:v>
      </x:c>
      <x:c r="AC231" s="13" t="str">
        <x:f>IF(L231="UNRESOLVED","COVERAGE FIRST",IF(OR(L231="EXCLUDED",L231="OUT OF SCOPE"),"CLOSED BY COVERAGE",IF(AND(L231="COVERED",T231&lt;&gt;"UNRESOLVED"),"PARTIALLY ADOPTED","DECISIONS REMAIN")))</x:f>
        <x:v>COVERAGE FIRST</x:v>
      </x:c>
    </x:row>
    <x:row r="232">
      <x:c r="A232" s="13" t="str">
        <x:v>NAAFTC-HS6-030483</x:v>
      </x:c>
      <x:c r="B232" s="13" t="str">
        <x:v>030483</x:v>
      </x:c>
      <x:c r="C232" s="13" t="str">
        <x:v>03</x:v>
      </x:c>
      <x:c r="D232" s="13" t="str">
        <x:v>TRILATERAL_SPLIT_MERGE</x:v>
      </x:c>
      <x:c r="E232" s="13" t="str">
        <x:v>Pending</x:v>
      </x:c>
      <x:c r="F232" s="13" t="n">
        <x:v>12</x:v>
      </x:c>
      <x:c r="G232" s="13" t="n">
        <x:v>1</x:v>
      </x:c>
      <x:c r="H232" s="13" t="n">
        <x:v>1</x:v>
      </x:c>
      <x:c r="I232" s="13" t="str">
        <x:v>0304831010; 0304831015; 0304831020; 0304831025; 0304831030; 0304831090; +6 more</x:v>
      </x:c>
      <x:c r="J232" s="13" t="str">
        <x:v>0304830100</x:v>
      </x:c>
      <x:c r="K232" s="13" t="str">
        <x:v>03048300</x:v>
      </x:c>
      <x:c r="L232" s="13" t="str">
        <x:v>UNRESOLVED</x:v>
      </x:c>
      <x:c r="M232" s="13" t="str"/>
      <x:c r="N232" s="13" t="str">
        <x:v>NO / DEFAULT</x:v>
      </x:c>
      <x:c r="O232" s="13" t="str"/>
      <x:c r="P232" s="13" t="str">
        <x:v>NO / DEFAULT</x:v>
      </x:c>
      <x:c r="Q232" s="13" t="str"/>
      <x:c r="R232" s="13" t="str">
        <x:v>INDEPENDENT / DEFAULT</x:v>
      </x:c>
      <x:c r="S232" s="13" t="str"/>
      <x:c r="T232" s="13" t="str">
        <x:v>UNRESOLVED</x:v>
      </x:c>
      <x:c r="U232" s="13" t="str"/>
      <x:c r="V232" s="13" t="str"/>
      <x:c r="W232" s="13" t="str"/>
      <x:c r="X232" s="13" t="str">
        <x:f>IF(L232&lt;&gt;"COVERED","HELD — COVERAGE",IF(N232="YES — SENSITIVE","C ACTIONABLE","CHAPTER 5 DEFAULT"))</x:f>
        <x:v>HELD — COVERAGE</x:v>
      </x:c>
      <x:c r="Y232" s="13" t="str">
        <x:f>IF(L232&lt;&gt;"COVERED","HELD — COVERAGE",IF(P232="YES — MANAGED ACCESS","D ACTIONABLE","NO D FIELD"))</x:f>
        <x:v>HELD — COVERAGE</x:v>
      </x:c>
      <x:c r="Z232" s="13" t="str">
        <x:f>IF(L232&lt;&gt;"COVERED","HELD — COVERAGE",IF(OR(R232="PAIRED SYNCHRONIZED",R232="TRILATERAL SYNCHRONIZED"),"E ACTIONABLE","INDEPENDENT"))</x:f>
        <x:v>HELD — COVERAGE</x:v>
      </x:c>
      <x:c r="AA232" s="13" t="str">
        <x:f>IF(L232&lt;&gt;"COVERED","HELD — COVERAGE","WAIT FOR UPSTREAM COMPLETION")</x:f>
        <x:v>HELD — COVERAGE</x:v>
      </x:c>
      <x:c r="AB232" s="13" t="str">
        <x:f>IF(L232&lt;&gt;"COVERED","HELD — COVERAGE",IF(T232="UNRESOLVED","G DECISION REQUIRED",IF(T232="NOT APPLICABLE","G N/A","G ACTIONABLE")))</x:f>
        <x:v>HELD — COVERAGE</x:v>
      </x:c>
      <x:c r="AC232" s="13" t="str">
        <x:f>IF(L232="UNRESOLVED","COVERAGE FIRST",IF(OR(L232="EXCLUDED",L232="OUT OF SCOPE"),"CLOSED BY COVERAGE",IF(AND(L232="COVERED",T232&lt;&gt;"UNRESOLVED"),"PARTIALLY ADOPTED","DECISIONS REMAIN")))</x:f>
        <x:v>COVERAGE FIRST</x:v>
      </x:c>
    </x:row>
    <x:row r="233">
      <x:c r="A233" s="13" t="str">
        <x:v>NAAFTC-HS6-030484</x:v>
      </x:c>
      <x:c r="B233" s="13" t="str">
        <x:v>030484</x:v>
      </x:c>
      <x:c r="C233" s="13" t="str">
        <x:v>03</x:v>
      </x:c>
      <x:c r="D233" s="13" t="str">
        <x:v>TRILATERAL_1_TO_1_TO_1</x:v>
      </x:c>
      <x:c r="E233" s="13" t="str">
        <x:v>Pending</x:v>
      </x:c>
      <x:c r="F233" s="13" t="n">
        <x:v>1</x:v>
      </x:c>
      <x:c r="G233" s="13" t="n">
        <x:v>1</x:v>
      </x:c>
      <x:c r="H233" s="13" t="n">
        <x:v>1</x:v>
      </x:c>
      <x:c r="I233" s="13" t="str">
        <x:v>0304840000</x:v>
      </x:c>
      <x:c r="J233" s="13" t="str">
        <x:v>0304840100</x:v>
      </x:c>
      <x:c r="K233" s="13" t="str">
        <x:v>0304840000</x:v>
      </x:c>
      <x:c r="L233" s="13" t="str">
        <x:v>UNRESOLVED</x:v>
      </x:c>
      <x:c r="M233" s="13" t="str"/>
      <x:c r="N233" s="13" t="str">
        <x:v>NO / DEFAULT</x:v>
      </x:c>
      <x:c r="O233" s="13" t="str"/>
      <x:c r="P233" s="13" t="str">
        <x:v>NO / DEFAULT</x:v>
      </x:c>
      <x:c r="Q233" s="13" t="str"/>
      <x:c r="R233" s="13" t="str">
        <x:v>INDEPENDENT / DEFAULT</x:v>
      </x:c>
      <x:c r="S233" s="13" t="str"/>
      <x:c r="T233" s="13" t="str">
        <x:v>UNRESOLVED</x:v>
      </x:c>
      <x:c r="U233" s="13" t="str"/>
      <x:c r="V233" s="13" t="str"/>
      <x:c r="W233" s="13" t="str"/>
      <x:c r="X233" s="13" t="str">
        <x:f>IF(L233&lt;&gt;"COVERED","HELD — COVERAGE",IF(N233="YES — SENSITIVE","C ACTIONABLE","CHAPTER 5 DEFAULT"))</x:f>
        <x:v>HELD — COVERAGE</x:v>
      </x:c>
      <x:c r="Y233" s="13" t="str">
        <x:f>IF(L233&lt;&gt;"COVERED","HELD — COVERAGE",IF(P233="YES — MANAGED ACCESS","D ACTIONABLE","NO D FIELD"))</x:f>
        <x:v>HELD — COVERAGE</x:v>
      </x:c>
      <x:c r="Z233" s="13" t="str">
        <x:f>IF(L233&lt;&gt;"COVERED","HELD — COVERAGE",IF(OR(R233="PAIRED SYNCHRONIZED",R233="TRILATERAL SYNCHRONIZED"),"E ACTIONABLE","INDEPENDENT"))</x:f>
        <x:v>HELD — COVERAGE</x:v>
      </x:c>
      <x:c r="AA233" s="13" t="str">
        <x:f>IF(L233&lt;&gt;"COVERED","HELD — COVERAGE","WAIT FOR UPSTREAM COMPLETION")</x:f>
        <x:v>HELD — COVERAGE</x:v>
      </x:c>
      <x:c r="AB233" s="13" t="str">
        <x:f>IF(L233&lt;&gt;"COVERED","HELD — COVERAGE",IF(T233="UNRESOLVED","G DECISION REQUIRED",IF(T233="NOT APPLICABLE","G N/A","G ACTIONABLE")))</x:f>
        <x:v>HELD — COVERAGE</x:v>
      </x:c>
      <x:c r="AC233" s="13" t="str">
        <x:f>IF(L233="UNRESOLVED","COVERAGE FIRST",IF(OR(L233="EXCLUDED",L233="OUT OF SCOPE"),"CLOSED BY COVERAGE",IF(AND(L233="COVERED",T233&lt;&gt;"UNRESOLVED"),"PARTIALLY ADOPTED","DECISIONS REMAIN")))</x:f>
        <x:v>COVERAGE FIRST</x:v>
      </x:c>
    </x:row>
    <x:row r="234">
      <x:c r="A234" s="13" t="str">
        <x:v>NAAFTC-HS6-030485</x:v>
      </x:c>
      <x:c r="B234" s="13" t="str">
        <x:v>030485</x:v>
      </x:c>
      <x:c r="C234" s="13" t="str">
        <x:v>03</x:v>
      </x:c>
      <x:c r="D234" s="13" t="str">
        <x:v>TRILATERAL_1_TO_1_TO_1</x:v>
      </x:c>
      <x:c r="E234" s="13" t="str">
        <x:v>Pending</x:v>
      </x:c>
      <x:c r="F234" s="13" t="n">
        <x:v>1</x:v>
      </x:c>
      <x:c r="G234" s="13" t="n">
        <x:v>1</x:v>
      </x:c>
      <x:c r="H234" s="13" t="n">
        <x:v>1</x:v>
      </x:c>
      <x:c r="I234" s="13" t="str">
        <x:v>0304850000</x:v>
      </x:c>
      <x:c r="J234" s="13" t="str">
        <x:v>0304850100</x:v>
      </x:c>
      <x:c r="K234" s="13" t="str">
        <x:v>0304850000</x:v>
      </x:c>
      <x:c r="L234" s="13" t="str">
        <x:v>UNRESOLVED</x:v>
      </x:c>
      <x:c r="M234" s="13" t="str"/>
      <x:c r="N234" s="13" t="str">
        <x:v>NO / DEFAULT</x:v>
      </x:c>
      <x:c r="O234" s="13" t="str"/>
      <x:c r="P234" s="13" t="str">
        <x:v>NO / DEFAULT</x:v>
      </x:c>
      <x:c r="Q234" s="13" t="str"/>
      <x:c r="R234" s="13" t="str">
        <x:v>INDEPENDENT / DEFAULT</x:v>
      </x:c>
      <x:c r="S234" s="13" t="str"/>
      <x:c r="T234" s="13" t="str">
        <x:v>UNRESOLVED</x:v>
      </x:c>
      <x:c r="U234" s="13" t="str"/>
      <x:c r="V234" s="13" t="str"/>
      <x:c r="W234" s="13" t="str"/>
      <x:c r="X234" s="13" t="str">
        <x:f>IF(L234&lt;&gt;"COVERED","HELD — COVERAGE",IF(N234="YES — SENSITIVE","C ACTIONABLE","CHAPTER 5 DEFAULT"))</x:f>
        <x:v>HELD — COVERAGE</x:v>
      </x:c>
      <x:c r="Y234" s="13" t="str">
        <x:f>IF(L234&lt;&gt;"COVERED","HELD — COVERAGE",IF(P234="YES — MANAGED ACCESS","D ACTIONABLE","NO D FIELD"))</x:f>
        <x:v>HELD — COVERAGE</x:v>
      </x:c>
      <x:c r="Z234" s="13" t="str">
        <x:f>IF(L234&lt;&gt;"COVERED","HELD — COVERAGE",IF(OR(R234="PAIRED SYNCHRONIZED",R234="TRILATERAL SYNCHRONIZED"),"E ACTIONABLE","INDEPENDENT"))</x:f>
        <x:v>HELD — COVERAGE</x:v>
      </x:c>
      <x:c r="AA234" s="13" t="str">
        <x:f>IF(L234&lt;&gt;"COVERED","HELD — COVERAGE","WAIT FOR UPSTREAM COMPLETION")</x:f>
        <x:v>HELD — COVERAGE</x:v>
      </x:c>
      <x:c r="AB234" s="13" t="str">
        <x:f>IF(L234&lt;&gt;"COVERED","HELD — COVERAGE",IF(T234="UNRESOLVED","G DECISION REQUIRED",IF(T234="NOT APPLICABLE","G N/A","G ACTIONABLE")))</x:f>
        <x:v>HELD — COVERAGE</x:v>
      </x:c>
      <x:c r="AC234" s="13" t="str">
        <x:f>IF(L234="UNRESOLVED","COVERAGE FIRST",IF(OR(L234="EXCLUDED",L234="OUT OF SCOPE"),"CLOSED BY COVERAGE",IF(AND(L234="COVERED",T234&lt;&gt;"UNRESOLVED"),"PARTIALLY ADOPTED","DECISIONS REMAIN")))</x:f>
        <x:v>COVERAGE FIRST</x:v>
      </x:c>
    </x:row>
    <x:row r="235">
      <x:c r="A235" s="13" t="str">
        <x:v>NAAFTC-HS6-030486</x:v>
      </x:c>
      <x:c r="B235" s="13" t="str">
        <x:v>030486</x:v>
      </x:c>
      <x:c r="C235" s="13" t="str">
        <x:v>03</x:v>
      </x:c>
      <x:c r="D235" s="13" t="str">
        <x:v>TRILATERAL_1_TO_1_TO_1</x:v>
      </x:c>
      <x:c r="E235" s="13" t="str">
        <x:v>Pending</x:v>
      </x:c>
      <x:c r="F235" s="13" t="n">
        <x:v>1</x:v>
      </x:c>
      <x:c r="G235" s="13" t="n">
        <x:v>1</x:v>
      </x:c>
      <x:c r="H235" s="13" t="n">
        <x:v>1</x:v>
      </x:c>
      <x:c r="I235" s="13" t="str">
        <x:v>0304860000</x:v>
      </x:c>
      <x:c r="J235" s="13" t="str">
        <x:v>0304860100</x:v>
      </x:c>
      <x:c r="K235" s="13" t="str">
        <x:v>0304860000</x:v>
      </x:c>
      <x:c r="L235" s="13" t="str">
        <x:v>UNRESOLVED</x:v>
      </x:c>
      <x:c r="M235" s="13" t="str"/>
      <x:c r="N235" s="13" t="str">
        <x:v>NO / DEFAULT</x:v>
      </x:c>
      <x:c r="O235" s="13" t="str"/>
      <x:c r="P235" s="13" t="str">
        <x:v>NO / DEFAULT</x:v>
      </x:c>
      <x:c r="Q235" s="13" t="str"/>
      <x:c r="R235" s="13" t="str">
        <x:v>INDEPENDENT / DEFAULT</x:v>
      </x:c>
      <x:c r="S235" s="13" t="str"/>
      <x:c r="T235" s="13" t="str">
        <x:v>UNRESOLVED</x:v>
      </x:c>
      <x:c r="U235" s="13" t="str"/>
      <x:c r="V235" s="13" t="str"/>
      <x:c r="W235" s="13" t="str"/>
      <x:c r="X235" s="13" t="str">
        <x:f>IF(L235&lt;&gt;"COVERED","HELD — COVERAGE",IF(N235="YES — SENSITIVE","C ACTIONABLE","CHAPTER 5 DEFAULT"))</x:f>
        <x:v>HELD — COVERAGE</x:v>
      </x:c>
      <x:c r="Y235" s="13" t="str">
        <x:f>IF(L235&lt;&gt;"COVERED","HELD — COVERAGE",IF(P235="YES — MANAGED ACCESS","D ACTIONABLE","NO D FIELD"))</x:f>
        <x:v>HELD — COVERAGE</x:v>
      </x:c>
      <x:c r="Z235" s="13" t="str">
        <x:f>IF(L235&lt;&gt;"COVERED","HELD — COVERAGE",IF(OR(R235="PAIRED SYNCHRONIZED",R235="TRILATERAL SYNCHRONIZED"),"E ACTIONABLE","INDEPENDENT"))</x:f>
        <x:v>HELD — COVERAGE</x:v>
      </x:c>
      <x:c r="AA235" s="13" t="str">
        <x:f>IF(L235&lt;&gt;"COVERED","HELD — COVERAGE","WAIT FOR UPSTREAM COMPLETION")</x:f>
        <x:v>HELD — COVERAGE</x:v>
      </x:c>
      <x:c r="AB235" s="13" t="str">
        <x:f>IF(L235&lt;&gt;"COVERED","HELD — COVERAGE",IF(T235="UNRESOLVED","G DECISION REQUIRED",IF(T235="NOT APPLICABLE","G N/A","G ACTIONABLE")))</x:f>
        <x:v>HELD — COVERAGE</x:v>
      </x:c>
      <x:c r="AC235" s="13" t="str">
        <x:f>IF(L235="UNRESOLVED","COVERAGE FIRST",IF(OR(L235="EXCLUDED",L235="OUT OF SCOPE"),"CLOSED BY COVERAGE",IF(AND(L235="COVERED",T235&lt;&gt;"UNRESOLVED"),"PARTIALLY ADOPTED","DECISIONS REMAIN")))</x:f>
        <x:v>COVERAGE FIRST</x:v>
      </x:c>
    </x:row>
    <x:row r="236">
      <x:c r="A236" s="13" t="str">
        <x:v>NAAFTC-HS6-030487</x:v>
      </x:c>
      <x:c r="B236" s="13" t="str">
        <x:v>030487</x:v>
      </x:c>
      <x:c r="C236" s="13" t="str">
        <x:v>03</x:v>
      </x:c>
      <x:c r="D236" s="13" t="str">
        <x:v>TRILATERAL_1_TO_1_TO_1</x:v>
      </x:c>
      <x:c r="E236" s="13" t="str">
        <x:v>Pending</x:v>
      </x:c>
      <x:c r="F236" s="13" t="n">
        <x:v>1</x:v>
      </x:c>
      <x:c r="G236" s="13" t="n">
        <x:v>1</x:v>
      </x:c>
      <x:c r="H236" s="13" t="n">
        <x:v>1</x:v>
      </x:c>
      <x:c r="I236" s="13" t="str">
        <x:v>0304870000</x:v>
      </x:c>
      <x:c r="J236" s="13" t="str">
        <x:v>0304870100</x:v>
      </x:c>
      <x:c r="K236" s="13" t="str">
        <x:v>0304870000</x:v>
      </x:c>
      <x:c r="L236" s="13" t="str">
        <x:v>UNRESOLVED</x:v>
      </x:c>
      <x:c r="M236" s="13" t="str"/>
      <x:c r="N236" s="13" t="str">
        <x:v>NO / DEFAULT</x:v>
      </x:c>
      <x:c r="O236" s="13" t="str"/>
      <x:c r="P236" s="13" t="str">
        <x:v>NO / DEFAULT</x:v>
      </x:c>
      <x:c r="Q236" s="13" t="str"/>
      <x:c r="R236" s="13" t="str">
        <x:v>INDEPENDENT / DEFAULT</x:v>
      </x:c>
      <x:c r="S236" s="13" t="str"/>
      <x:c r="T236" s="13" t="str">
        <x:v>UNRESOLVED</x:v>
      </x:c>
      <x:c r="U236" s="13" t="str"/>
      <x:c r="V236" s="13" t="str"/>
      <x:c r="W236" s="13" t="str"/>
      <x:c r="X236" s="13" t="str">
        <x:f>IF(L236&lt;&gt;"COVERED","HELD — COVERAGE",IF(N236="YES — SENSITIVE","C ACTIONABLE","CHAPTER 5 DEFAULT"))</x:f>
        <x:v>HELD — COVERAGE</x:v>
      </x:c>
      <x:c r="Y236" s="13" t="str">
        <x:f>IF(L236&lt;&gt;"COVERED","HELD — COVERAGE",IF(P236="YES — MANAGED ACCESS","D ACTIONABLE","NO D FIELD"))</x:f>
        <x:v>HELD — COVERAGE</x:v>
      </x:c>
      <x:c r="Z236" s="13" t="str">
        <x:f>IF(L236&lt;&gt;"COVERED","HELD — COVERAGE",IF(OR(R236="PAIRED SYNCHRONIZED",R236="TRILATERAL SYNCHRONIZED"),"E ACTIONABLE","INDEPENDENT"))</x:f>
        <x:v>HELD — COVERAGE</x:v>
      </x:c>
      <x:c r="AA236" s="13" t="str">
        <x:f>IF(L236&lt;&gt;"COVERED","HELD — COVERAGE","WAIT FOR UPSTREAM COMPLETION")</x:f>
        <x:v>HELD — COVERAGE</x:v>
      </x:c>
      <x:c r="AB236" s="13" t="str">
        <x:f>IF(L236&lt;&gt;"COVERED","HELD — COVERAGE",IF(T236="UNRESOLVED","G DECISION REQUIRED",IF(T236="NOT APPLICABLE","G N/A","G ACTIONABLE")))</x:f>
        <x:v>HELD — COVERAGE</x:v>
      </x:c>
      <x:c r="AC236" s="13" t="str">
        <x:f>IF(L236="UNRESOLVED","COVERAGE FIRST",IF(OR(L236="EXCLUDED",L236="OUT OF SCOPE"),"CLOSED BY COVERAGE",IF(AND(L236="COVERED",T236&lt;&gt;"UNRESOLVED"),"PARTIALLY ADOPTED","DECISIONS REMAIN")))</x:f>
        <x:v>COVERAGE FIRST</x:v>
      </x:c>
    </x:row>
    <x:row r="237">
      <x:c r="A237" s="13" t="str">
        <x:v>NAAFTC-HS6-030488</x:v>
      </x:c>
      <x:c r="B237" s="13" t="str">
        <x:v>030488</x:v>
      </x:c>
      <x:c r="C237" s="13" t="str">
        <x:v>03</x:v>
      </x:c>
      <x:c r="D237" s="13" t="str">
        <x:v>TRILATERAL_1_TO_1_TO_1</x:v>
      </x:c>
      <x:c r="E237" s="13" t="str">
        <x:v>Pending</x:v>
      </x:c>
      <x:c r="F237" s="13" t="n">
        <x:v>1</x:v>
      </x:c>
      <x:c r="G237" s="13" t="n">
        <x:v>1</x:v>
      </x:c>
      <x:c r="H237" s="13" t="n">
        <x:v>1</x:v>
      </x:c>
      <x:c r="I237" s="13" t="str">
        <x:v>0304880000</x:v>
      </x:c>
      <x:c r="J237" s="13" t="str">
        <x:v>0304880100</x:v>
      </x:c>
      <x:c r="K237" s="13" t="str">
        <x:v>0304880000</x:v>
      </x:c>
      <x:c r="L237" s="13" t="str">
        <x:v>UNRESOLVED</x:v>
      </x:c>
      <x:c r="M237" s="13" t="str"/>
      <x:c r="N237" s="13" t="str">
        <x:v>NO / DEFAULT</x:v>
      </x:c>
      <x:c r="O237" s="13" t="str"/>
      <x:c r="P237" s="13" t="str">
        <x:v>NO / DEFAULT</x:v>
      </x:c>
      <x:c r="Q237" s="13" t="str"/>
      <x:c r="R237" s="13" t="str">
        <x:v>INDEPENDENT / DEFAULT</x:v>
      </x:c>
      <x:c r="S237" s="13" t="str"/>
      <x:c r="T237" s="13" t="str">
        <x:v>UNRESOLVED</x:v>
      </x:c>
      <x:c r="U237" s="13" t="str"/>
      <x:c r="V237" s="13" t="str"/>
      <x:c r="W237" s="13" t="str"/>
      <x:c r="X237" s="13" t="str">
        <x:f>IF(L237&lt;&gt;"COVERED","HELD — COVERAGE",IF(N237="YES — SENSITIVE","C ACTIONABLE","CHAPTER 5 DEFAULT"))</x:f>
        <x:v>HELD — COVERAGE</x:v>
      </x:c>
      <x:c r="Y237" s="13" t="str">
        <x:f>IF(L237&lt;&gt;"COVERED","HELD — COVERAGE",IF(P237="YES — MANAGED ACCESS","D ACTIONABLE","NO D FIELD"))</x:f>
        <x:v>HELD — COVERAGE</x:v>
      </x:c>
      <x:c r="Z237" s="13" t="str">
        <x:f>IF(L237&lt;&gt;"COVERED","HELD — COVERAGE",IF(OR(R237="PAIRED SYNCHRONIZED",R237="TRILATERAL SYNCHRONIZED"),"E ACTIONABLE","INDEPENDENT"))</x:f>
        <x:v>HELD — COVERAGE</x:v>
      </x:c>
      <x:c r="AA237" s="13" t="str">
        <x:f>IF(L237&lt;&gt;"COVERED","HELD — COVERAGE","WAIT FOR UPSTREAM COMPLETION")</x:f>
        <x:v>HELD — COVERAGE</x:v>
      </x:c>
      <x:c r="AB237" s="13" t="str">
        <x:f>IF(L237&lt;&gt;"COVERED","HELD — COVERAGE",IF(T237="UNRESOLVED","G DECISION REQUIRED",IF(T237="NOT APPLICABLE","G N/A","G ACTIONABLE")))</x:f>
        <x:v>HELD — COVERAGE</x:v>
      </x:c>
      <x:c r="AC237" s="13" t="str">
        <x:f>IF(L237="UNRESOLVED","COVERAGE FIRST",IF(OR(L237="EXCLUDED",L237="OUT OF SCOPE"),"CLOSED BY COVERAGE",IF(AND(L237="COVERED",T237&lt;&gt;"UNRESOLVED"),"PARTIALLY ADOPTED","DECISIONS REMAIN")))</x:f>
        <x:v>COVERAGE FIRST</x:v>
      </x:c>
    </x:row>
    <x:row r="238">
      <x:c r="A238" s="13" t="str">
        <x:v>NAAFTC-HS6-030489</x:v>
      </x:c>
      <x:c r="B238" s="13" t="str">
        <x:v>030489</x:v>
      </x:c>
      <x:c r="C238" s="13" t="str">
        <x:v>03</x:v>
      </x:c>
      <x:c r="D238" s="13" t="str">
        <x:v>TRILATERAL_SPLIT_MERGE</x:v>
      </x:c>
      <x:c r="E238" s="13" t="str">
        <x:v>Pending</x:v>
      </x:c>
      <x:c r="F238" s="13" t="n">
        <x:v>21</x:v>
      </x:c>
      <x:c r="G238" s="13" t="n">
        <x:v>3</x:v>
      </x:c>
      <x:c r="H238" s="13" t="n">
        <x:v>1</x:v>
      </x:c>
      <x:c r="I238" s="13" t="str">
        <x:v>0304891010; 0304891015; 0304891020; 0304891025; 0304891030; 0304891035; +15 more</x:v>
      </x:c>
      <x:c r="J238" s="13" t="str">
        <x:v>0304899901; 0304899902; 0304899999</x:v>
      </x:c>
      <x:c r="K238" s="13" t="str">
        <x:v>03048900</x:v>
      </x:c>
      <x:c r="L238" s="13" t="str">
        <x:v>UNRESOLVED</x:v>
      </x:c>
      <x:c r="M238" s="13" t="str"/>
      <x:c r="N238" s="13" t="str">
        <x:v>NO / DEFAULT</x:v>
      </x:c>
      <x:c r="O238" s="13" t="str"/>
      <x:c r="P238" s="13" t="str">
        <x:v>NO / DEFAULT</x:v>
      </x:c>
      <x:c r="Q238" s="13" t="str"/>
      <x:c r="R238" s="13" t="str">
        <x:v>INDEPENDENT / DEFAULT</x:v>
      </x:c>
      <x:c r="S238" s="13" t="str"/>
      <x:c r="T238" s="13" t="str">
        <x:v>UNRESOLVED</x:v>
      </x:c>
      <x:c r="U238" s="13" t="str"/>
      <x:c r="V238" s="13" t="str"/>
      <x:c r="W238" s="13" t="str"/>
      <x:c r="X238" s="13" t="str">
        <x:f>IF(L238&lt;&gt;"COVERED","HELD — COVERAGE",IF(N238="YES — SENSITIVE","C ACTIONABLE","CHAPTER 5 DEFAULT"))</x:f>
        <x:v>HELD — COVERAGE</x:v>
      </x:c>
      <x:c r="Y238" s="13" t="str">
        <x:f>IF(L238&lt;&gt;"COVERED","HELD — COVERAGE",IF(P238="YES — MANAGED ACCESS","D ACTIONABLE","NO D FIELD"))</x:f>
        <x:v>HELD — COVERAGE</x:v>
      </x:c>
      <x:c r="Z238" s="13" t="str">
        <x:f>IF(L238&lt;&gt;"COVERED","HELD — COVERAGE",IF(OR(R238="PAIRED SYNCHRONIZED",R238="TRILATERAL SYNCHRONIZED"),"E ACTIONABLE","INDEPENDENT"))</x:f>
        <x:v>HELD — COVERAGE</x:v>
      </x:c>
      <x:c r="AA238" s="13" t="str">
        <x:f>IF(L238&lt;&gt;"COVERED","HELD — COVERAGE","WAIT FOR UPSTREAM COMPLETION")</x:f>
        <x:v>HELD — COVERAGE</x:v>
      </x:c>
      <x:c r="AB238" s="13" t="str">
        <x:f>IF(L238&lt;&gt;"COVERED","HELD — COVERAGE",IF(T238="UNRESOLVED","G DECISION REQUIRED",IF(T238="NOT APPLICABLE","G N/A","G ACTIONABLE")))</x:f>
        <x:v>HELD — COVERAGE</x:v>
      </x:c>
      <x:c r="AC238" s="13" t="str">
        <x:f>IF(L238="UNRESOLVED","COVERAGE FIRST",IF(OR(L238="EXCLUDED",L238="OUT OF SCOPE"),"CLOSED BY COVERAGE",IF(AND(L238="COVERED",T238&lt;&gt;"UNRESOLVED"),"PARTIALLY ADOPTED","DECISIONS REMAIN")))</x:f>
        <x:v>COVERAGE FIRST</x:v>
      </x:c>
    </x:row>
    <x:row r="239">
      <x:c r="A239" s="13" t="str">
        <x:v>NAAFTC-HS6-030491</x:v>
      </x:c>
      <x:c r="B239" s="13" t="str">
        <x:v>030491</x:v>
      </x:c>
      <x:c r="C239" s="13" t="str">
        <x:v>03</x:v>
      </x:c>
      <x:c r="D239" s="13" t="str">
        <x:v>TRILATERAL_SPLIT_MERGE</x:v>
      </x:c>
      <x:c r="E239" s="13" t="str">
        <x:v>Pending</x:v>
      </x:c>
      <x:c r="F239" s="13" t="n">
        <x:v>2</x:v>
      </x:c>
      <x:c r="G239" s="13" t="n">
        <x:v>1</x:v>
      </x:c>
      <x:c r="H239" s="13" t="n">
        <x:v>1</x:v>
      </x:c>
      <x:c r="I239" s="13" t="str">
        <x:v>0304911000; 0304919000</x:v>
      </x:c>
      <x:c r="J239" s="13" t="str">
        <x:v>0304910100</x:v>
      </x:c>
      <x:c r="K239" s="13" t="str">
        <x:v>0304910000</x:v>
      </x:c>
      <x:c r="L239" s="13" t="str">
        <x:v>UNRESOLVED</x:v>
      </x:c>
      <x:c r="M239" s="13" t="str"/>
      <x:c r="N239" s="13" t="str">
        <x:v>NO / DEFAULT</x:v>
      </x:c>
      <x:c r="O239" s="13" t="str"/>
      <x:c r="P239" s="13" t="str">
        <x:v>NO / DEFAULT</x:v>
      </x:c>
      <x:c r="Q239" s="13" t="str"/>
      <x:c r="R239" s="13" t="str">
        <x:v>INDEPENDENT / DEFAULT</x:v>
      </x:c>
      <x:c r="S239" s="13" t="str"/>
      <x:c r="T239" s="13" t="str">
        <x:v>UNRESOLVED</x:v>
      </x:c>
      <x:c r="U239" s="13" t="str"/>
      <x:c r="V239" s="13" t="str"/>
      <x:c r="W239" s="13" t="str"/>
      <x:c r="X239" s="13" t="str">
        <x:f>IF(L239&lt;&gt;"COVERED","HELD — COVERAGE",IF(N239="YES — SENSITIVE","C ACTIONABLE","CHAPTER 5 DEFAULT"))</x:f>
        <x:v>HELD — COVERAGE</x:v>
      </x:c>
      <x:c r="Y239" s="13" t="str">
        <x:f>IF(L239&lt;&gt;"COVERED","HELD — COVERAGE",IF(P239="YES — MANAGED ACCESS","D ACTIONABLE","NO D FIELD"))</x:f>
        <x:v>HELD — COVERAGE</x:v>
      </x:c>
      <x:c r="Z239" s="13" t="str">
        <x:f>IF(L239&lt;&gt;"COVERED","HELD — COVERAGE",IF(OR(R239="PAIRED SYNCHRONIZED",R239="TRILATERAL SYNCHRONIZED"),"E ACTIONABLE","INDEPENDENT"))</x:f>
        <x:v>HELD — COVERAGE</x:v>
      </x:c>
      <x:c r="AA239" s="13" t="str">
        <x:f>IF(L239&lt;&gt;"COVERED","HELD — COVERAGE","WAIT FOR UPSTREAM COMPLETION")</x:f>
        <x:v>HELD — COVERAGE</x:v>
      </x:c>
      <x:c r="AB239" s="13" t="str">
        <x:f>IF(L239&lt;&gt;"COVERED","HELD — COVERAGE",IF(T239="UNRESOLVED","G DECISION REQUIRED",IF(T239="NOT APPLICABLE","G N/A","G ACTIONABLE")))</x:f>
        <x:v>HELD — COVERAGE</x:v>
      </x:c>
      <x:c r="AC239" s="13" t="str">
        <x:f>IF(L239="UNRESOLVED","COVERAGE FIRST",IF(OR(L239="EXCLUDED",L239="OUT OF SCOPE"),"CLOSED BY COVERAGE",IF(AND(L239="COVERED",T239&lt;&gt;"UNRESOLVED"),"PARTIALLY ADOPTED","DECISIONS REMAIN")))</x:f>
        <x:v>COVERAGE FIRST</x:v>
      </x:c>
    </x:row>
    <x:row r="240">
      <x:c r="A240" s="13" t="str">
        <x:v>NAAFTC-HS6-030492</x:v>
      </x:c>
      <x:c r="B240" s="13" t="str">
        <x:v>030492</x:v>
      </x:c>
      <x:c r="C240" s="13" t="str">
        <x:v>03</x:v>
      </x:c>
      <x:c r="D240" s="13" t="str">
        <x:v>TRILATERAL_SPLIT_MERGE</x:v>
      </x:c>
      <x:c r="E240" s="13" t="str">
        <x:v>Pending</x:v>
      </x:c>
      <x:c r="F240" s="13" t="n">
        <x:v>2</x:v>
      </x:c>
      <x:c r="G240" s="13" t="n">
        <x:v>1</x:v>
      </x:c>
      <x:c r="H240" s="13" t="n">
        <x:v>1</x:v>
      </x:c>
      <x:c r="I240" s="13" t="str">
        <x:v>0304921000; 0304929000</x:v>
      </x:c>
      <x:c r="J240" s="13" t="str">
        <x:v>0304920100</x:v>
      </x:c>
      <x:c r="K240" s="13" t="str">
        <x:v>0304920000</x:v>
      </x:c>
      <x:c r="L240" s="13" t="str">
        <x:v>UNRESOLVED</x:v>
      </x:c>
      <x:c r="M240" s="13" t="str"/>
      <x:c r="N240" s="13" t="str">
        <x:v>NO / DEFAULT</x:v>
      </x:c>
      <x:c r="O240" s="13" t="str"/>
      <x:c r="P240" s="13" t="str">
        <x:v>NO / DEFAULT</x:v>
      </x:c>
      <x:c r="Q240" s="13" t="str"/>
      <x:c r="R240" s="13" t="str">
        <x:v>INDEPENDENT / DEFAULT</x:v>
      </x:c>
      <x:c r="S240" s="13" t="str"/>
      <x:c r="T240" s="13" t="str">
        <x:v>UNRESOLVED</x:v>
      </x:c>
      <x:c r="U240" s="13" t="str"/>
      <x:c r="V240" s="13" t="str"/>
      <x:c r="W240" s="13" t="str"/>
      <x:c r="X240" s="13" t="str">
        <x:f>IF(L240&lt;&gt;"COVERED","HELD — COVERAGE",IF(N240="YES — SENSITIVE","C ACTIONABLE","CHAPTER 5 DEFAULT"))</x:f>
        <x:v>HELD — COVERAGE</x:v>
      </x:c>
      <x:c r="Y240" s="13" t="str">
        <x:f>IF(L240&lt;&gt;"COVERED","HELD — COVERAGE",IF(P240="YES — MANAGED ACCESS","D ACTIONABLE","NO D FIELD"))</x:f>
        <x:v>HELD — COVERAGE</x:v>
      </x:c>
      <x:c r="Z240" s="13" t="str">
        <x:f>IF(L240&lt;&gt;"COVERED","HELD — COVERAGE",IF(OR(R240="PAIRED SYNCHRONIZED",R240="TRILATERAL SYNCHRONIZED"),"E ACTIONABLE","INDEPENDENT"))</x:f>
        <x:v>HELD — COVERAGE</x:v>
      </x:c>
      <x:c r="AA240" s="13" t="str">
        <x:f>IF(L240&lt;&gt;"COVERED","HELD — COVERAGE","WAIT FOR UPSTREAM COMPLETION")</x:f>
        <x:v>HELD — COVERAGE</x:v>
      </x:c>
      <x:c r="AB240" s="13" t="str">
        <x:f>IF(L240&lt;&gt;"COVERED","HELD — COVERAGE",IF(T240="UNRESOLVED","G DECISION REQUIRED",IF(T240="NOT APPLICABLE","G N/A","G ACTIONABLE")))</x:f>
        <x:v>HELD — COVERAGE</x:v>
      </x:c>
      <x:c r="AC240" s="13" t="str">
        <x:f>IF(L240="UNRESOLVED","COVERAGE FIRST",IF(OR(L240="EXCLUDED",L240="OUT OF SCOPE"),"CLOSED BY COVERAGE",IF(AND(L240="COVERED",T240&lt;&gt;"UNRESOLVED"),"PARTIALLY ADOPTED","DECISIONS REMAIN")))</x:f>
        <x:v>COVERAGE FIRST</x:v>
      </x:c>
    </x:row>
    <x:row r="241">
      <x:c r="A241" s="13" t="str">
        <x:v>NAAFTC-HS6-030493</x:v>
      </x:c>
      <x:c r="B241" s="13" t="str">
        <x:v>030493</x:v>
      </x:c>
      <x:c r="C241" s="13" t="str">
        <x:v>03</x:v>
      </x:c>
      <x:c r="D241" s="13" t="str">
        <x:v>TRILATERAL_SPLIT_MERGE</x:v>
      </x:c>
      <x:c r="E241" s="13" t="str">
        <x:v>Pending</x:v>
      </x:c>
      <x:c r="F241" s="13" t="n">
        <x:v>4</x:v>
      </x:c>
      <x:c r="G241" s="13" t="n">
        <x:v>1</x:v>
      </x:c>
      <x:c r="H241" s="13" t="n">
        <x:v>1</x:v>
      </x:c>
      <x:c r="I241" s="13" t="str">
        <x:v>0304931005; 0304931010; 0304931090; 0304939000</x:v>
      </x:c>
      <x:c r="J241" s="13" t="str">
        <x:v>0304930100</x:v>
      </x:c>
      <x:c r="K241" s="13" t="str">
        <x:v>0304930000</x:v>
      </x:c>
      <x:c r="L241" s="13" t="str">
        <x:v>UNRESOLVED</x:v>
      </x:c>
      <x:c r="M241" s="13" t="str"/>
      <x:c r="N241" s="13" t="str">
        <x:v>NO / DEFAULT</x:v>
      </x:c>
      <x:c r="O241" s="13" t="str"/>
      <x:c r="P241" s="13" t="str">
        <x:v>NO / DEFAULT</x:v>
      </x:c>
      <x:c r="Q241" s="13" t="str"/>
      <x:c r="R241" s="13" t="str">
        <x:v>INDEPENDENT / DEFAULT</x:v>
      </x:c>
      <x:c r="S241" s="13" t="str"/>
      <x:c r="T241" s="13" t="str">
        <x:v>UNRESOLVED</x:v>
      </x:c>
      <x:c r="U241" s="13" t="str"/>
      <x:c r="V241" s="13" t="str"/>
      <x:c r="W241" s="13" t="str"/>
      <x:c r="X241" s="13" t="str">
        <x:f>IF(L241&lt;&gt;"COVERED","HELD — COVERAGE",IF(N241="YES — SENSITIVE","C ACTIONABLE","CHAPTER 5 DEFAULT"))</x:f>
        <x:v>HELD — COVERAGE</x:v>
      </x:c>
      <x:c r="Y241" s="13" t="str">
        <x:f>IF(L241&lt;&gt;"COVERED","HELD — COVERAGE",IF(P241="YES — MANAGED ACCESS","D ACTIONABLE","NO D FIELD"))</x:f>
        <x:v>HELD — COVERAGE</x:v>
      </x:c>
      <x:c r="Z241" s="13" t="str">
        <x:f>IF(L241&lt;&gt;"COVERED","HELD — COVERAGE",IF(OR(R241="PAIRED SYNCHRONIZED",R241="TRILATERAL SYNCHRONIZED"),"E ACTIONABLE","INDEPENDENT"))</x:f>
        <x:v>HELD — COVERAGE</x:v>
      </x:c>
      <x:c r="AA241" s="13" t="str">
        <x:f>IF(L241&lt;&gt;"COVERED","HELD — COVERAGE","WAIT FOR UPSTREAM COMPLETION")</x:f>
        <x:v>HELD — COVERAGE</x:v>
      </x:c>
      <x:c r="AB241" s="13" t="str">
        <x:f>IF(L241&lt;&gt;"COVERED","HELD — COVERAGE",IF(T241="UNRESOLVED","G DECISION REQUIRED",IF(T241="NOT APPLICABLE","G N/A","G ACTIONABLE")))</x:f>
        <x:v>HELD — COVERAGE</x:v>
      </x:c>
      <x:c r="AC241" s="13" t="str">
        <x:f>IF(L241="UNRESOLVED","COVERAGE FIRST",IF(OR(L241="EXCLUDED",L241="OUT OF SCOPE"),"CLOSED BY COVERAGE",IF(AND(L241="COVERED",T241&lt;&gt;"UNRESOLVED"),"PARTIALLY ADOPTED","DECISIONS REMAIN")))</x:f>
        <x:v>COVERAGE FIRST</x:v>
      </x:c>
    </x:row>
    <x:row r="242">
      <x:c r="A242" s="13" t="str">
        <x:v>NAAFTC-HS6-030494</x:v>
      </x:c>
      <x:c r="B242" s="13" t="str">
        <x:v>030494</x:v>
      </x:c>
      <x:c r="C242" s="13" t="str">
        <x:v>03</x:v>
      </x:c>
      <x:c r="D242" s="13" t="str">
        <x:v>TRILATERAL_SPLIT_MERGE</x:v>
      </x:c>
      <x:c r="E242" s="13" t="str">
        <x:v>Pending</x:v>
      </x:c>
      <x:c r="F242" s="13" t="n">
        <x:v>4</x:v>
      </x:c>
      <x:c r="G242" s="13" t="n">
        <x:v>1</x:v>
      </x:c>
      <x:c r="H242" s="13" t="n">
        <x:v>1</x:v>
      </x:c>
      <x:c r="I242" s="13" t="str">
        <x:v>0304941005; 0304941010; 0304941090; 0304949000</x:v>
      </x:c>
      <x:c r="J242" s="13" t="str">
        <x:v>0304940100</x:v>
      </x:c>
      <x:c r="K242" s="13" t="str">
        <x:v>0304940000</x:v>
      </x:c>
      <x:c r="L242" s="13" t="str">
        <x:v>UNRESOLVED</x:v>
      </x:c>
      <x:c r="M242" s="13" t="str"/>
      <x:c r="N242" s="13" t="str">
        <x:v>NO / DEFAULT</x:v>
      </x:c>
      <x:c r="O242" s="13" t="str"/>
      <x:c r="P242" s="13" t="str">
        <x:v>NO / DEFAULT</x:v>
      </x:c>
      <x:c r="Q242" s="13" t="str"/>
      <x:c r="R242" s="13" t="str">
        <x:v>INDEPENDENT / DEFAULT</x:v>
      </x:c>
      <x:c r="S242" s="13" t="str"/>
      <x:c r="T242" s="13" t="str">
        <x:v>UNRESOLVED</x:v>
      </x:c>
      <x:c r="U242" s="13" t="str"/>
      <x:c r="V242" s="13" t="str"/>
      <x:c r="W242" s="13" t="str"/>
      <x:c r="X242" s="13" t="str">
        <x:f>IF(L242&lt;&gt;"COVERED","HELD — COVERAGE",IF(N242="YES — SENSITIVE","C ACTIONABLE","CHAPTER 5 DEFAULT"))</x:f>
        <x:v>HELD — COVERAGE</x:v>
      </x:c>
      <x:c r="Y242" s="13" t="str">
        <x:f>IF(L242&lt;&gt;"COVERED","HELD — COVERAGE",IF(P242="YES — MANAGED ACCESS","D ACTIONABLE","NO D FIELD"))</x:f>
        <x:v>HELD — COVERAGE</x:v>
      </x:c>
      <x:c r="Z242" s="13" t="str">
        <x:f>IF(L242&lt;&gt;"COVERED","HELD — COVERAGE",IF(OR(R242="PAIRED SYNCHRONIZED",R242="TRILATERAL SYNCHRONIZED"),"E ACTIONABLE","INDEPENDENT"))</x:f>
        <x:v>HELD — COVERAGE</x:v>
      </x:c>
      <x:c r="AA242" s="13" t="str">
        <x:f>IF(L242&lt;&gt;"COVERED","HELD — COVERAGE","WAIT FOR UPSTREAM COMPLETION")</x:f>
        <x:v>HELD — COVERAGE</x:v>
      </x:c>
      <x:c r="AB242" s="13" t="str">
        <x:f>IF(L242&lt;&gt;"COVERED","HELD — COVERAGE",IF(T242="UNRESOLVED","G DECISION REQUIRED",IF(T242="NOT APPLICABLE","G N/A","G ACTIONABLE")))</x:f>
        <x:v>HELD — COVERAGE</x:v>
      </x:c>
      <x:c r="AC242" s="13" t="str">
        <x:f>IF(L242="UNRESOLVED","COVERAGE FIRST",IF(OR(L242="EXCLUDED",L242="OUT OF SCOPE"),"CLOSED BY COVERAGE",IF(AND(L242="COVERED",T242&lt;&gt;"UNRESOLVED"),"PARTIALLY ADOPTED","DECISIONS REMAIN")))</x:f>
        <x:v>COVERAGE FIRST</x:v>
      </x:c>
    </x:row>
    <x:row r="243">
      <x:c r="A243" s="13" t="str">
        <x:v>NAAFTC-HS6-030495</x:v>
      </x:c>
      <x:c r="B243" s="13" t="str">
        <x:v>030495</x:v>
      </x:c>
      <x:c r="C243" s="13" t="str">
        <x:v>03</x:v>
      </x:c>
      <x:c r="D243" s="13" t="str">
        <x:v>TRILATERAL_SPLIT_MERGE</x:v>
      </x:c>
      <x:c r="E243" s="13" t="str">
        <x:v>Pending</x:v>
      </x:c>
      <x:c r="F243" s="13" t="n">
        <x:v>8</x:v>
      </x:c>
      <x:c r="G243" s="13" t="n">
        <x:v>2</x:v>
      </x:c>
      <x:c r="H243" s="13" t="n">
        <x:v>1</x:v>
      </x:c>
      <x:c r="I243" s="13" t="str">
        <x:v>0304951005; 0304951010; 0304951015; 0304951020; 0304951025; 0304951030; +2 more</x:v>
      </x:c>
      <x:c r="J243" s="13" t="str">
        <x:v>0304950101; 0304950199</x:v>
      </x:c>
      <x:c r="K243" s="13" t="str">
        <x:v>03049500</x:v>
      </x:c>
      <x:c r="L243" s="13" t="str">
        <x:v>UNRESOLVED</x:v>
      </x:c>
      <x:c r="M243" s="13" t="str"/>
      <x:c r="N243" s="13" t="str">
        <x:v>NO / DEFAULT</x:v>
      </x:c>
      <x:c r="O243" s="13" t="str"/>
      <x:c r="P243" s="13" t="str">
        <x:v>NO / DEFAULT</x:v>
      </x:c>
      <x:c r="Q243" s="13" t="str"/>
      <x:c r="R243" s="13" t="str">
        <x:v>INDEPENDENT / DEFAULT</x:v>
      </x:c>
      <x:c r="S243" s="13" t="str"/>
      <x:c r="T243" s="13" t="str">
        <x:v>UNRESOLVED</x:v>
      </x:c>
      <x:c r="U243" s="13" t="str"/>
      <x:c r="V243" s="13" t="str"/>
      <x:c r="W243" s="13" t="str"/>
      <x:c r="X243" s="13" t="str">
        <x:f>IF(L243&lt;&gt;"COVERED","HELD — COVERAGE",IF(N243="YES — SENSITIVE","C ACTIONABLE","CHAPTER 5 DEFAULT"))</x:f>
        <x:v>HELD — COVERAGE</x:v>
      </x:c>
      <x:c r="Y243" s="13" t="str">
        <x:f>IF(L243&lt;&gt;"COVERED","HELD — COVERAGE",IF(P243="YES — MANAGED ACCESS","D ACTIONABLE","NO D FIELD"))</x:f>
        <x:v>HELD — COVERAGE</x:v>
      </x:c>
      <x:c r="Z243" s="13" t="str">
        <x:f>IF(L243&lt;&gt;"COVERED","HELD — COVERAGE",IF(OR(R243="PAIRED SYNCHRONIZED",R243="TRILATERAL SYNCHRONIZED"),"E ACTIONABLE","INDEPENDENT"))</x:f>
        <x:v>HELD — COVERAGE</x:v>
      </x:c>
      <x:c r="AA243" s="13" t="str">
        <x:f>IF(L243&lt;&gt;"COVERED","HELD — COVERAGE","WAIT FOR UPSTREAM COMPLETION")</x:f>
        <x:v>HELD — COVERAGE</x:v>
      </x:c>
      <x:c r="AB243" s="13" t="str">
        <x:f>IF(L243&lt;&gt;"COVERED","HELD — COVERAGE",IF(T243="UNRESOLVED","G DECISION REQUIRED",IF(T243="NOT APPLICABLE","G N/A","G ACTIONABLE")))</x:f>
        <x:v>HELD — COVERAGE</x:v>
      </x:c>
      <x:c r="AC243" s="13" t="str">
        <x:f>IF(L243="UNRESOLVED","COVERAGE FIRST",IF(OR(L243="EXCLUDED",L243="OUT OF SCOPE"),"CLOSED BY COVERAGE",IF(AND(L243="COVERED",T243&lt;&gt;"UNRESOLVED"),"PARTIALLY ADOPTED","DECISIONS REMAIN")))</x:f>
        <x:v>COVERAGE FIRST</x:v>
      </x:c>
    </x:row>
    <x:row r="244">
      <x:c r="A244" s="13" t="str">
        <x:v>NAAFTC-HS6-030496</x:v>
      </x:c>
      <x:c r="B244" s="13" t="str">
        <x:v>030496</x:v>
      </x:c>
      <x:c r="C244" s="13" t="str">
        <x:v>03</x:v>
      </x:c>
      <x:c r="D244" s="13" t="str">
        <x:v>TRILATERAL_1_TO_1_TO_1</x:v>
      </x:c>
      <x:c r="E244" s="13" t="str">
        <x:v>Pending</x:v>
      </x:c>
      <x:c r="F244" s="13" t="n">
        <x:v>1</x:v>
      </x:c>
      <x:c r="G244" s="13" t="n">
        <x:v>1</x:v>
      </x:c>
      <x:c r="H244" s="13" t="n">
        <x:v>1</x:v>
      </x:c>
      <x:c r="I244" s="13" t="str">
        <x:v>0304960000</x:v>
      </x:c>
      <x:c r="J244" s="13" t="str">
        <x:v>0304960100</x:v>
      </x:c>
      <x:c r="K244" s="13" t="str">
        <x:v>0304960000</x:v>
      </x:c>
      <x:c r="L244" s="13" t="str">
        <x:v>UNRESOLVED</x:v>
      </x:c>
      <x:c r="M244" s="13" t="str"/>
      <x:c r="N244" s="13" t="str">
        <x:v>NO / DEFAULT</x:v>
      </x:c>
      <x:c r="O244" s="13" t="str"/>
      <x:c r="P244" s="13" t="str">
        <x:v>NO / DEFAULT</x:v>
      </x:c>
      <x:c r="Q244" s="13" t="str"/>
      <x:c r="R244" s="13" t="str">
        <x:v>INDEPENDENT / DEFAULT</x:v>
      </x:c>
      <x:c r="S244" s="13" t="str"/>
      <x:c r="T244" s="13" t="str">
        <x:v>UNRESOLVED</x:v>
      </x:c>
      <x:c r="U244" s="13" t="str"/>
      <x:c r="V244" s="13" t="str"/>
      <x:c r="W244" s="13" t="str"/>
      <x:c r="X244" s="13" t="str">
        <x:f>IF(L244&lt;&gt;"COVERED","HELD — COVERAGE",IF(N244="YES — SENSITIVE","C ACTIONABLE","CHAPTER 5 DEFAULT"))</x:f>
        <x:v>HELD — COVERAGE</x:v>
      </x:c>
      <x:c r="Y244" s="13" t="str">
        <x:f>IF(L244&lt;&gt;"COVERED","HELD — COVERAGE",IF(P244="YES — MANAGED ACCESS","D ACTIONABLE","NO D FIELD"))</x:f>
        <x:v>HELD — COVERAGE</x:v>
      </x:c>
      <x:c r="Z244" s="13" t="str">
        <x:f>IF(L244&lt;&gt;"COVERED","HELD — COVERAGE",IF(OR(R244="PAIRED SYNCHRONIZED",R244="TRILATERAL SYNCHRONIZED"),"E ACTIONABLE","INDEPENDENT"))</x:f>
        <x:v>HELD — COVERAGE</x:v>
      </x:c>
      <x:c r="AA244" s="13" t="str">
        <x:f>IF(L244&lt;&gt;"COVERED","HELD — COVERAGE","WAIT FOR UPSTREAM COMPLETION")</x:f>
        <x:v>HELD — COVERAGE</x:v>
      </x:c>
      <x:c r="AB244" s="13" t="str">
        <x:f>IF(L244&lt;&gt;"COVERED","HELD — COVERAGE",IF(T244="UNRESOLVED","G DECISION REQUIRED",IF(T244="NOT APPLICABLE","G N/A","G ACTIONABLE")))</x:f>
        <x:v>HELD — COVERAGE</x:v>
      </x:c>
      <x:c r="AC244" s="13" t="str">
        <x:f>IF(L244="UNRESOLVED","COVERAGE FIRST",IF(OR(L244="EXCLUDED",L244="OUT OF SCOPE"),"CLOSED BY COVERAGE",IF(AND(L244="COVERED",T244&lt;&gt;"UNRESOLVED"),"PARTIALLY ADOPTED","DECISIONS REMAIN")))</x:f>
        <x:v>COVERAGE FIRST</x:v>
      </x:c>
    </x:row>
    <x:row r="245">
      <x:c r="A245" s="13" t="str">
        <x:v>NAAFTC-HS6-030497</x:v>
      </x:c>
      <x:c r="B245" s="13" t="str">
        <x:v>030497</x:v>
      </x:c>
      <x:c r="C245" s="13" t="str">
        <x:v>03</x:v>
      </x:c>
      <x:c r="D245" s="13" t="str">
        <x:v>TRILATERAL_1_TO_1_TO_1</x:v>
      </x:c>
      <x:c r="E245" s="13" t="str">
        <x:v>Pending</x:v>
      </x:c>
      <x:c r="F245" s="13" t="n">
        <x:v>1</x:v>
      </x:c>
      <x:c r="G245" s="13" t="n">
        <x:v>1</x:v>
      </x:c>
      <x:c r="H245" s="13" t="n">
        <x:v>1</x:v>
      </x:c>
      <x:c r="I245" s="13" t="str">
        <x:v>0304970000</x:v>
      </x:c>
      <x:c r="J245" s="13" t="str">
        <x:v>0304970100</x:v>
      </x:c>
      <x:c r="K245" s="13" t="str">
        <x:v>0304970000</x:v>
      </x:c>
      <x:c r="L245" s="13" t="str">
        <x:v>UNRESOLVED</x:v>
      </x:c>
      <x:c r="M245" s="13" t="str"/>
      <x:c r="N245" s="13" t="str">
        <x:v>NO / DEFAULT</x:v>
      </x:c>
      <x:c r="O245" s="13" t="str"/>
      <x:c r="P245" s="13" t="str">
        <x:v>NO / DEFAULT</x:v>
      </x:c>
      <x:c r="Q245" s="13" t="str"/>
      <x:c r="R245" s="13" t="str">
        <x:v>INDEPENDENT / DEFAULT</x:v>
      </x:c>
      <x:c r="S245" s="13" t="str"/>
      <x:c r="T245" s="13" t="str">
        <x:v>UNRESOLVED</x:v>
      </x:c>
      <x:c r="U245" s="13" t="str"/>
      <x:c r="V245" s="13" t="str"/>
      <x:c r="W245" s="13" t="str"/>
      <x:c r="X245" s="13" t="str">
        <x:f>IF(L245&lt;&gt;"COVERED","HELD — COVERAGE",IF(N245="YES — SENSITIVE","C ACTIONABLE","CHAPTER 5 DEFAULT"))</x:f>
        <x:v>HELD — COVERAGE</x:v>
      </x:c>
      <x:c r="Y245" s="13" t="str">
        <x:f>IF(L245&lt;&gt;"COVERED","HELD — COVERAGE",IF(P245="YES — MANAGED ACCESS","D ACTIONABLE","NO D FIELD"))</x:f>
        <x:v>HELD — COVERAGE</x:v>
      </x:c>
      <x:c r="Z245" s="13" t="str">
        <x:f>IF(L245&lt;&gt;"COVERED","HELD — COVERAGE",IF(OR(R245="PAIRED SYNCHRONIZED",R245="TRILATERAL SYNCHRONIZED"),"E ACTIONABLE","INDEPENDENT"))</x:f>
        <x:v>HELD — COVERAGE</x:v>
      </x:c>
      <x:c r="AA245" s="13" t="str">
        <x:f>IF(L245&lt;&gt;"COVERED","HELD — COVERAGE","WAIT FOR UPSTREAM COMPLETION")</x:f>
        <x:v>HELD — COVERAGE</x:v>
      </x:c>
      <x:c r="AB245" s="13" t="str">
        <x:f>IF(L245&lt;&gt;"COVERED","HELD — COVERAGE",IF(T245="UNRESOLVED","G DECISION REQUIRED",IF(T245="NOT APPLICABLE","G N/A","G ACTIONABLE")))</x:f>
        <x:v>HELD — COVERAGE</x:v>
      </x:c>
      <x:c r="AC245" s="13" t="str">
        <x:f>IF(L245="UNRESOLVED","COVERAGE FIRST",IF(OR(L245="EXCLUDED",L245="OUT OF SCOPE"),"CLOSED BY COVERAGE",IF(AND(L245="COVERED",T245&lt;&gt;"UNRESOLVED"),"PARTIALLY ADOPTED","DECISIONS REMAIN")))</x:f>
        <x:v>COVERAGE FIRST</x:v>
      </x:c>
    </x:row>
    <x:row r="246">
      <x:c r="A246" s="13" t="str">
        <x:v>NAAFTC-HS6-030499</x:v>
      </x:c>
      <x:c r="B246" s="13" t="str">
        <x:v>030499</x:v>
      </x:c>
      <x:c r="C246" s="13" t="str">
        <x:v>03</x:v>
      </x:c>
      <x:c r="D246" s="13" t="str">
        <x:v>TRILATERAL_SPLIT_MERGE</x:v>
      </x:c>
      <x:c r="E246" s="13" t="str">
        <x:v>Pending</x:v>
      </x:c>
      <x:c r="F246" s="13" t="n">
        <x:v>12</x:v>
      </x:c>
      <x:c r="G246" s="13" t="n">
        <x:v>5</x:v>
      </x:c>
      <x:c r="H246" s="13" t="n">
        <x:v>1</x:v>
      </x:c>
      <x:c r="I246" s="13" t="str">
        <x:v>0304991104; 0304991109; 0304991150; 0304991160; 0304991170; 0304991182; +6 more</x:v>
      </x:c>
      <x:c r="J246" s="13" t="str">
        <x:v>0304999901; 0304999902; 0304999903; 0304999904; 0304999999</x:v>
      </x:c>
      <x:c r="K246" s="13" t="str">
        <x:v>03049900</x:v>
      </x:c>
      <x:c r="L246" s="13" t="str">
        <x:v>UNRESOLVED</x:v>
      </x:c>
      <x:c r="M246" s="13" t="str"/>
      <x:c r="N246" s="13" t="str">
        <x:v>NO / DEFAULT</x:v>
      </x:c>
      <x:c r="O246" s="13" t="str"/>
      <x:c r="P246" s="13" t="str">
        <x:v>NO / DEFAULT</x:v>
      </x:c>
      <x:c r="Q246" s="13" t="str"/>
      <x:c r="R246" s="13" t="str">
        <x:v>INDEPENDENT / DEFAULT</x:v>
      </x:c>
      <x:c r="S246" s="13" t="str"/>
      <x:c r="T246" s="13" t="str">
        <x:v>UNRESOLVED</x:v>
      </x:c>
      <x:c r="U246" s="13" t="str"/>
      <x:c r="V246" s="13" t="str"/>
      <x:c r="W246" s="13" t="str"/>
      <x:c r="X246" s="13" t="str">
        <x:f>IF(L246&lt;&gt;"COVERED","HELD — COVERAGE",IF(N246="YES — SENSITIVE","C ACTIONABLE","CHAPTER 5 DEFAULT"))</x:f>
        <x:v>HELD — COVERAGE</x:v>
      </x:c>
      <x:c r="Y246" s="13" t="str">
        <x:f>IF(L246&lt;&gt;"COVERED","HELD — COVERAGE",IF(P246="YES — MANAGED ACCESS","D ACTIONABLE","NO D FIELD"))</x:f>
        <x:v>HELD — COVERAGE</x:v>
      </x:c>
      <x:c r="Z246" s="13" t="str">
        <x:f>IF(L246&lt;&gt;"COVERED","HELD — COVERAGE",IF(OR(R246="PAIRED SYNCHRONIZED",R246="TRILATERAL SYNCHRONIZED"),"E ACTIONABLE","INDEPENDENT"))</x:f>
        <x:v>HELD — COVERAGE</x:v>
      </x:c>
      <x:c r="AA246" s="13" t="str">
        <x:f>IF(L246&lt;&gt;"COVERED","HELD — COVERAGE","WAIT FOR UPSTREAM COMPLETION")</x:f>
        <x:v>HELD — COVERAGE</x:v>
      </x:c>
      <x:c r="AB246" s="13" t="str">
        <x:f>IF(L246&lt;&gt;"COVERED","HELD — COVERAGE",IF(T246="UNRESOLVED","G DECISION REQUIRED",IF(T246="NOT APPLICABLE","G N/A","G ACTIONABLE")))</x:f>
        <x:v>HELD — COVERAGE</x:v>
      </x:c>
      <x:c r="AC246" s="13" t="str">
        <x:f>IF(L246="UNRESOLVED","COVERAGE FIRST",IF(OR(L246="EXCLUDED",L246="OUT OF SCOPE"),"CLOSED BY COVERAGE",IF(AND(L246="COVERED",T246&lt;&gt;"UNRESOLVED"),"PARTIALLY ADOPTED","DECISIONS REMAIN")))</x:f>
        <x:v>COVERAGE FIRST</x:v>
      </x:c>
    </x:row>
    <x:row r="247">
      <x:c r="A247" s="13" t="str">
        <x:v>NAAFTC-HS6-030520</x:v>
      </x:c>
      <x:c r="B247" s="13" t="str">
        <x:v>030520</x:v>
      </x:c>
      <x:c r="C247" s="13" t="str">
        <x:v>03</x:v>
      </x:c>
      <x:c r="D247" s="13" t="str">
        <x:v>TRILATERAL_SPLIT_MERGE</x:v>
      </x:c>
      <x:c r="E247" s="13" t="str">
        <x:v>Pending</x:v>
      </x:c>
      <x:c r="F247" s="13" t="n">
        <x:v>4</x:v>
      </x:c>
      <x:c r="G247" s="13" t="n">
        <x:v>1</x:v>
      </x:c>
      <x:c r="H247" s="13" t="n">
        <x:v>1</x:v>
      </x:c>
      <x:c r="I247" s="13" t="str">
        <x:v>0305202000; 0305204020; 0305204040; 0305204065</x:v>
      </x:c>
      <x:c r="J247" s="13" t="str">
        <x:v>0305200100</x:v>
      </x:c>
      <x:c r="K247" s="13" t="str">
        <x:v>0305200000</x:v>
      </x:c>
      <x:c r="L247" s="13" t="str">
        <x:v>UNRESOLVED</x:v>
      </x:c>
      <x:c r="M247" s="13" t="str"/>
      <x:c r="N247" s="13" t="str">
        <x:v>NO / DEFAULT</x:v>
      </x:c>
      <x:c r="O247" s="13" t="str"/>
      <x:c r="P247" s="13" t="str">
        <x:v>NO / DEFAULT</x:v>
      </x:c>
      <x:c r="Q247" s="13" t="str"/>
      <x:c r="R247" s="13" t="str">
        <x:v>INDEPENDENT / DEFAULT</x:v>
      </x:c>
      <x:c r="S247" s="13" t="str"/>
      <x:c r="T247" s="13" t="str">
        <x:v>UNRESOLVED</x:v>
      </x:c>
      <x:c r="U247" s="13" t="str"/>
      <x:c r="V247" s="13" t="str"/>
      <x:c r="W247" s="13" t="str"/>
      <x:c r="X247" s="13" t="str">
        <x:f>IF(L247&lt;&gt;"COVERED","HELD — COVERAGE",IF(N247="YES — SENSITIVE","C ACTIONABLE","CHAPTER 5 DEFAULT"))</x:f>
        <x:v>HELD — COVERAGE</x:v>
      </x:c>
      <x:c r="Y247" s="13" t="str">
        <x:f>IF(L247&lt;&gt;"COVERED","HELD — COVERAGE",IF(P247="YES — MANAGED ACCESS","D ACTIONABLE","NO D FIELD"))</x:f>
        <x:v>HELD — COVERAGE</x:v>
      </x:c>
      <x:c r="Z247" s="13" t="str">
        <x:f>IF(L247&lt;&gt;"COVERED","HELD — COVERAGE",IF(OR(R247="PAIRED SYNCHRONIZED",R247="TRILATERAL SYNCHRONIZED"),"E ACTIONABLE","INDEPENDENT"))</x:f>
        <x:v>HELD — COVERAGE</x:v>
      </x:c>
      <x:c r="AA247" s="13" t="str">
        <x:f>IF(L247&lt;&gt;"COVERED","HELD — COVERAGE","WAIT FOR UPSTREAM COMPLETION")</x:f>
        <x:v>HELD — COVERAGE</x:v>
      </x:c>
      <x:c r="AB247" s="13" t="str">
        <x:f>IF(L247&lt;&gt;"COVERED","HELD — COVERAGE",IF(T247="UNRESOLVED","G DECISION REQUIRED",IF(T247="NOT APPLICABLE","G N/A","G ACTIONABLE")))</x:f>
        <x:v>HELD — COVERAGE</x:v>
      </x:c>
      <x:c r="AC247" s="13" t="str">
        <x:f>IF(L247="UNRESOLVED","COVERAGE FIRST",IF(OR(L247="EXCLUDED",L247="OUT OF SCOPE"),"CLOSED BY COVERAGE",IF(AND(L247="COVERED",T247&lt;&gt;"UNRESOLVED"),"PARTIALLY ADOPTED","DECISIONS REMAIN")))</x:f>
        <x:v>COVERAGE FIRST</x:v>
      </x:c>
    </x:row>
    <x:row r="248">
      <x:c r="A248" s="13" t="str">
        <x:v>NAAFTC-HS6-030531</x:v>
      </x:c>
      <x:c r="B248" s="13" t="str">
        <x:v>030531</x:v>
      </x:c>
      <x:c r="C248" s="13" t="str">
        <x:v>03</x:v>
      </x:c>
      <x:c r="D248" s="13" t="str">
        <x:v>TRILATERAL_1_TO_1_TO_1</x:v>
      </x:c>
      <x:c r="E248" s="13" t="str">
        <x:v>Pending</x:v>
      </x:c>
      <x:c r="F248" s="13" t="n">
        <x:v>1</x:v>
      </x:c>
      <x:c r="G248" s="13" t="n">
        <x:v>1</x:v>
      </x:c>
      <x:c r="H248" s="13" t="n">
        <x:v>1</x:v>
      </x:c>
      <x:c r="I248" s="13" t="str">
        <x:v>0305310100</x:v>
      </x:c>
      <x:c r="J248" s="13" t="str">
        <x:v>0305310100</x:v>
      </x:c>
      <x:c r="K248" s="13" t="str">
        <x:v>0305310000</x:v>
      </x:c>
      <x:c r="L248" s="13" t="str">
        <x:v>UNRESOLVED</x:v>
      </x:c>
      <x:c r="M248" s="13" t="str"/>
      <x:c r="N248" s="13" t="str">
        <x:v>NO / DEFAULT</x:v>
      </x:c>
      <x:c r="O248" s="13" t="str"/>
      <x:c r="P248" s="13" t="str">
        <x:v>NO / DEFAULT</x:v>
      </x:c>
      <x:c r="Q248" s="13" t="str"/>
      <x:c r="R248" s="13" t="str">
        <x:v>INDEPENDENT / DEFAULT</x:v>
      </x:c>
      <x:c r="S248" s="13" t="str"/>
      <x:c r="T248" s="13" t="str">
        <x:v>UNRESOLVED</x:v>
      </x:c>
      <x:c r="U248" s="13" t="str"/>
      <x:c r="V248" s="13" t="str"/>
      <x:c r="W248" s="13" t="str"/>
      <x:c r="X248" s="13" t="str">
        <x:f>IF(L248&lt;&gt;"COVERED","HELD — COVERAGE",IF(N248="YES — SENSITIVE","C ACTIONABLE","CHAPTER 5 DEFAULT"))</x:f>
        <x:v>HELD — COVERAGE</x:v>
      </x:c>
      <x:c r="Y248" s="13" t="str">
        <x:f>IF(L248&lt;&gt;"COVERED","HELD — COVERAGE",IF(P248="YES — MANAGED ACCESS","D ACTIONABLE","NO D FIELD"))</x:f>
        <x:v>HELD — COVERAGE</x:v>
      </x:c>
      <x:c r="Z248" s="13" t="str">
        <x:f>IF(L248&lt;&gt;"COVERED","HELD — COVERAGE",IF(OR(R248="PAIRED SYNCHRONIZED",R248="TRILATERAL SYNCHRONIZED"),"E ACTIONABLE","INDEPENDENT"))</x:f>
        <x:v>HELD — COVERAGE</x:v>
      </x:c>
      <x:c r="AA248" s="13" t="str">
        <x:f>IF(L248&lt;&gt;"COVERED","HELD — COVERAGE","WAIT FOR UPSTREAM COMPLETION")</x:f>
        <x:v>HELD — COVERAGE</x:v>
      </x:c>
      <x:c r="AB248" s="13" t="str">
        <x:f>IF(L248&lt;&gt;"COVERED","HELD — COVERAGE",IF(T248="UNRESOLVED","G DECISION REQUIRED",IF(T248="NOT APPLICABLE","G N/A","G ACTIONABLE")))</x:f>
        <x:v>HELD — COVERAGE</x:v>
      </x:c>
      <x:c r="AC248" s="13" t="str">
        <x:f>IF(L248="UNRESOLVED","COVERAGE FIRST",IF(OR(L248="EXCLUDED",L248="OUT OF SCOPE"),"CLOSED BY COVERAGE",IF(AND(L248="COVERED",T248&lt;&gt;"UNRESOLVED"),"PARTIALLY ADOPTED","DECISIONS REMAIN")))</x:f>
        <x:v>COVERAGE FIRST</x:v>
      </x:c>
    </x:row>
    <x:row r="249">
      <x:c r="A249" s="13" t="str">
        <x:v>NAAFTC-HS6-030532</x:v>
      </x:c>
      <x:c r="B249" s="13" t="str">
        <x:v>030532</x:v>
      </x:c>
      <x:c r="C249" s="13" t="str">
        <x:v>03</x:v>
      </x:c>
      <x:c r="D249" s="13" t="str">
        <x:v>TRILATERAL_SPLIT_MERGE</x:v>
      </x:c>
      <x:c r="E249" s="13" t="str">
        <x:v>Pending</x:v>
      </x:c>
      <x:c r="F249" s="13" t="n">
        <x:v>2</x:v>
      </x:c>
      <x:c r="G249" s="13" t="n">
        <x:v>2</x:v>
      </x:c>
      <x:c r="H249" s="13" t="n">
        <x:v>1</x:v>
      </x:c>
      <x:c r="I249" s="13" t="str">
        <x:v>0305320010; 0305320090</x:v>
      </x:c>
      <x:c r="J249" s="13" t="str">
        <x:v>0305320101; 0305320199</x:v>
      </x:c>
      <x:c r="K249" s="13" t="str">
        <x:v>0305320000</x:v>
      </x:c>
      <x:c r="L249" s="13" t="str">
        <x:v>UNRESOLVED</x:v>
      </x:c>
      <x:c r="M249" s="13" t="str"/>
      <x:c r="N249" s="13" t="str">
        <x:v>NO / DEFAULT</x:v>
      </x:c>
      <x:c r="O249" s="13" t="str"/>
      <x:c r="P249" s="13" t="str">
        <x:v>NO / DEFAULT</x:v>
      </x:c>
      <x:c r="Q249" s="13" t="str"/>
      <x:c r="R249" s="13" t="str">
        <x:v>INDEPENDENT / DEFAULT</x:v>
      </x:c>
      <x:c r="S249" s="13" t="str"/>
      <x:c r="T249" s="13" t="str">
        <x:v>UNRESOLVED</x:v>
      </x:c>
      <x:c r="U249" s="13" t="str"/>
      <x:c r="V249" s="13" t="str"/>
      <x:c r="W249" s="13" t="str"/>
      <x:c r="X249" s="13" t="str">
        <x:f>IF(L249&lt;&gt;"COVERED","HELD — COVERAGE",IF(N249="YES — SENSITIVE","C ACTIONABLE","CHAPTER 5 DEFAULT"))</x:f>
        <x:v>HELD — COVERAGE</x:v>
      </x:c>
      <x:c r="Y249" s="13" t="str">
        <x:f>IF(L249&lt;&gt;"COVERED","HELD — COVERAGE",IF(P249="YES — MANAGED ACCESS","D ACTIONABLE","NO D FIELD"))</x:f>
        <x:v>HELD — COVERAGE</x:v>
      </x:c>
      <x:c r="Z249" s="13" t="str">
        <x:f>IF(L249&lt;&gt;"COVERED","HELD — COVERAGE",IF(OR(R249="PAIRED SYNCHRONIZED",R249="TRILATERAL SYNCHRONIZED"),"E ACTIONABLE","INDEPENDENT"))</x:f>
        <x:v>HELD — COVERAGE</x:v>
      </x:c>
      <x:c r="AA249" s="13" t="str">
        <x:f>IF(L249&lt;&gt;"COVERED","HELD — COVERAGE","WAIT FOR UPSTREAM COMPLETION")</x:f>
        <x:v>HELD — COVERAGE</x:v>
      </x:c>
      <x:c r="AB249" s="13" t="str">
        <x:f>IF(L249&lt;&gt;"COVERED","HELD — COVERAGE",IF(T249="UNRESOLVED","G DECISION REQUIRED",IF(T249="NOT APPLICABLE","G N/A","G ACTIONABLE")))</x:f>
        <x:v>HELD — COVERAGE</x:v>
      </x:c>
      <x:c r="AC249" s="13" t="str">
        <x:f>IF(L249="UNRESOLVED","COVERAGE FIRST",IF(OR(L249="EXCLUDED",L249="OUT OF SCOPE"),"CLOSED BY COVERAGE",IF(AND(L249="COVERED",T249&lt;&gt;"UNRESOLVED"),"PARTIALLY ADOPTED","DECISIONS REMAIN")))</x:f>
        <x:v>COVERAGE FIRST</x:v>
      </x:c>
    </x:row>
    <x:row r="250">
      <x:c r="A250" s="13" t="str">
        <x:v>NAAFTC-HS6-030539</x:v>
      </x:c>
      <x:c r="B250" s="13" t="str">
        <x:v>030539</x:v>
      </x:c>
      <x:c r="C250" s="13" t="str">
        <x:v>03</x:v>
      </x:c>
      <x:c r="D250" s="13" t="str">
        <x:v>TRILATERAL_SPLIT_MERGE</x:v>
      </x:c>
      <x:c r="E250" s="13" t="str">
        <x:v>Pending</x:v>
      </x:c>
      <x:c r="F250" s="13" t="n">
        <x:v>4</x:v>
      </x:c>
      <x:c r="G250" s="13" t="n">
        <x:v>6</x:v>
      </x:c>
      <x:c r="H250" s="13" t="n">
        <x:v>1</x:v>
      </x:c>
      <x:c r="I250" s="13" t="str">
        <x:v>0305392000; 0305394000; 0305396110; 0305396180</x:v>
      </x:c>
      <x:c r="J250" s="13" t="str">
        <x:v>0305399901; 0305399902; 0305399903; 0305399904; 0305399905; 0305399999</x:v>
      </x:c>
      <x:c r="K250" s="13" t="str">
        <x:v>0305390000</x:v>
      </x:c>
      <x:c r="L250" s="13" t="str">
        <x:v>UNRESOLVED</x:v>
      </x:c>
      <x:c r="M250" s="13" t="str"/>
      <x:c r="N250" s="13" t="str">
        <x:v>NO / DEFAULT</x:v>
      </x:c>
      <x:c r="O250" s="13" t="str"/>
      <x:c r="P250" s="13" t="str">
        <x:v>NO / DEFAULT</x:v>
      </x:c>
      <x:c r="Q250" s="13" t="str"/>
      <x:c r="R250" s="13" t="str">
        <x:v>INDEPENDENT / DEFAULT</x:v>
      </x:c>
      <x:c r="S250" s="13" t="str"/>
      <x:c r="T250" s="13" t="str">
        <x:v>UNRESOLVED</x:v>
      </x:c>
      <x:c r="U250" s="13" t="str"/>
      <x:c r="V250" s="13" t="str"/>
      <x:c r="W250" s="13" t="str"/>
      <x:c r="X250" s="13" t="str">
        <x:f>IF(L250&lt;&gt;"COVERED","HELD — COVERAGE",IF(N250="YES — SENSITIVE","C ACTIONABLE","CHAPTER 5 DEFAULT"))</x:f>
        <x:v>HELD — COVERAGE</x:v>
      </x:c>
      <x:c r="Y250" s="13" t="str">
        <x:f>IF(L250&lt;&gt;"COVERED","HELD — COVERAGE",IF(P250="YES — MANAGED ACCESS","D ACTIONABLE","NO D FIELD"))</x:f>
        <x:v>HELD — COVERAGE</x:v>
      </x:c>
      <x:c r="Z250" s="13" t="str">
        <x:f>IF(L250&lt;&gt;"COVERED","HELD — COVERAGE",IF(OR(R250="PAIRED SYNCHRONIZED",R250="TRILATERAL SYNCHRONIZED"),"E ACTIONABLE","INDEPENDENT"))</x:f>
        <x:v>HELD — COVERAGE</x:v>
      </x:c>
      <x:c r="AA250" s="13" t="str">
        <x:f>IF(L250&lt;&gt;"COVERED","HELD — COVERAGE","WAIT FOR UPSTREAM COMPLETION")</x:f>
        <x:v>HELD — COVERAGE</x:v>
      </x:c>
      <x:c r="AB250" s="13" t="str">
        <x:f>IF(L250&lt;&gt;"COVERED","HELD — COVERAGE",IF(T250="UNRESOLVED","G DECISION REQUIRED",IF(T250="NOT APPLICABLE","G N/A","G ACTIONABLE")))</x:f>
        <x:v>HELD — COVERAGE</x:v>
      </x:c>
      <x:c r="AC250" s="13" t="str">
        <x:f>IF(L250="UNRESOLVED","COVERAGE FIRST",IF(OR(L250="EXCLUDED",L250="OUT OF SCOPE"),"CLOSED BY COVERAGE",IF(AND(L250="COVERED",T250&lt;&gt;"UNRESOLVED"),"PARTIALLY ADOPTED","DECISIONS REMAIN")))</x:f>
        <x:v>COVERAGE FIRST</x:v>
      </x:c>
    </x:row>
    <x:row r="251">
      <x:c r="A251" s="13" t="str">
        <x:v>NAAFTC-HS6-030541</x:v>
      </x:c>
      <x:c r="B251" s="13" t="str">
        <x:v>030541</x:v>
      </x:c>
      <x:c r="C251" s="13" t="str">
        <x:v>03</x:v>
      </x:c>
      <x:c r="D251" s="13" t="str">
        <x:v>TRILATERAL_1_TO_1_TO_1</x:v>
      </x:c>
      <x:c r="E251" s="13" t="str">
        <x:v>Pending</x:v>
      </x:c>
      <x:c r="F251" s="13" t="n">
        <x:v>1</x:v>
      </x:c>
      <x:c r="G251" s="13" t="n">
        <x:v>1</x:v>
      </x:c>
      <x:c r="H251" s="13" t="n">
        <x:v>1</x:v>
      </x:c>
      <x:c r="I251" s="13" t="str">
        <x:v>0305410000</x:v>
      </x:c>
      <x:c r="J251" s="13" t="str">
        <x:v>0305410100</x:v>
      </x:c>
      <x:c r="K251" s="13" t="str">
        <x:v>0305410000</x:v>
      </x:c>
      <x:c r="L251" s="13" t="str">
        <x:v>UNRESOLVED</x:v>
      </x:c>
      <x:c r="M251" s="13" t="str"/>
      <x:c r="N251" s="13" t="str">
        <x:v>NO / DEFAULT</x:v>
      </x:c>
      <x:c r="O251" s="13" t="str"/>
      <x:c r="P251" s="13" t="str">
        <x:v>NO / DEFAULT</x:v>
      </x:c>
      <x:c r="Q251" s="13" t="str"/>
      <x:c r="R251" s="13" t="str">
        <x:v>INDEPENDENT / DEFAULT</x:v>
      </x:c>
      <x:c r="S251" s="13" t="str"/>
      <x:c r="T251" s="13" t="str">
        <x:v>UNRESOLVED</x:v>
      </x:c>
      <x:c r="U251" s="13" t="str"/>
      <x:c r="V251" s="13" t="str"/>
      <x:c r="W251" s="13" t="str"/>
      <x:c r="X251" s="13" t="str">
        <x:f>IF(L251&lt;&gt;"COVERED","HELD — COVERAGE",IF(N251="YES — SENSITIVE","C ACTIONABLE","CHAPTER 5 DEFAULT"))</x:f>
        <x:v>HELD — COVERAGE</x:v>
      </x:c>
      <x:c r="Y251" s="13" t="str">
        <x:f>IF(L251&lt;&gt;"COVERED","HELD — COVERAGE",IF(P251="YES — MANAGED ACCESS","D ACTIONABLE","NO D FIELD"))</x:f>
        <x:v>HELD — COVERAGE</x:v>
      </x:c>
      <x:c r="Z251" s="13" t="str">
        <x:f>IF(L251&lt;&gt;"COVERED","HELD — COVERAGE",IF(OR(R251="PAIRED SYNCHRONIZED",R251="TRILATERAL SYNCHRONIZED"),"E ACTIONABLE","INDEPENDENT"))</x:f>
        <x:v>HELD — COVERAGE</x:v>
      </x:c>
      <x:c r="AA251" s="13" t="str">
        <x:f>IF(L251&lt;&gt;"COVERED","HELD — COVERAGE","WAIT FOR UPSTREAM COMPLETION")</x:f>
        <x:v>HELD — COVERAGE</x:v>
      </x:c>
      <x:c r="AB251" s="13" t="str">
        <x:f>IF(L251&lt;&gt;"COVERED","HELD — COVERAGE",IF(T251="UNRESOLVED","G DECISION REQUIRED",IF(T251="NOT APPLICABLE","G N/A","G ACTIONABLE")))</x:f>
        <x:v>HELD — COVERAGE</x:v>
      </x:c>
      <x:c r="AC251" s="13" t="str">
        <x:f>IF(L251="UNRESOLVED","COVERAGE FIRST",IF(OR(L251="EXCLUDED",L251="OUT OF SCOPE"),"CLOSED BY COVERAGE",IF(AND(L251="COVERED",T251&lt;&gt;"UNRESOLVED"),"PARTIALLY ADOPTED","DECISIONS REMAIN")))</x:f>
        <x:v>COVERAGE FIRST</x:v>
      </x:c>
    </x:row>
    <x:row r="252">
      <x:c r="A252" s="13" t="str">
        <x:v>NAAFTC-HS6-030542</x:v>
      </x:c>
      <x:c r="B252" s="13" t="str">
        <x:v>030542</x:v>
      </x:c>
      <x:c r="C252" s="13" t="str">
        <x:v>03</x:v>
      </x:c>
      <x:c r="D252" s="13" t="str">
        <x:v>TRILATERAL_SPLIT_MERGE</x:v>
      </x:c>
      <x:c r="E252" s="13" t="str">
        <x:v>Pending</x:v>
      </x:c>
      <x:c r="F252" s="13" t="n">
        <x:v>3</x:v>
      </x:c>
      <x:c r="G252" s="13" t="n">
        <x:v>1</x:v>
      </x:c>
      <x:c r="H252" s="13" t="n">
        <x:v>1</x:v>
      </x:c>
      <x:c r="I252" s="13" t="str">
        <x:v>0305420020; 0305420050; 0305420060</x:v>
      </x:c>
      <x:c r="J252" s="13" t="str">
        <x:v>0305420100</x:v>
      </x:c>
      <x:c r="K252" s="13" t="str">
        <x:v>0305420000</x:v>
      </x:c>
      <x:c r="L252" s="13" t="str">
        <x:v>UNRESOLVED</x:v>
      </x:c>
      <x:c r="M252" s="13" t="str"/>
      <x:c r="N252" s="13" t="str">
        <x:v>NO / DEFAULT</x:v>
      </x:c>
      <x:c r="O252" s="13" t="str"/>
      <x:c r="P252" s="13" t="str">
        <x:v>NO / DEFAULT</x:v>
      </x:c>
      <x:c r="Q252" s="13" t="str"/>
      <x:c r="R252" s="13" t="str">
        <x:v>INDEPENDENT / DEFAULT</x:v>
      </x:c>
      <x:c r="S252" s="13" t="str"/>
      <x:c r="T252" s="13" t="str">
        <x:v>UNRESOLVED</x:v>
      </x:c>
      <x:c r="U252" s="13" t="str"/>
      <x:c r="V252" s="13" t="str"/>
      <x:c r="W252" s="13" t="str"/>
      <x:c r="X252" s="13" t="str">
        <x:f>IF(L252&lt;&gt;"COVERED","HELD — COVERAGE",IF(N252="YES — SENSITIVE","C ACTIONABLE","CHAPTER 5 DEFAULT"))</x:f>
        <x:v>HELD — COVERAGE</x:v>
      </x:c>
      <x:c r="Y252" s="13" t="str">
        <x:f>IF(L252&lt;&gt;"COVERED","HELD — COVERAGE",IF(P252="YES — MANAGED ACCESS","D ACTIONABLE","NO D FIELD"))</x:f>
        <x:v>HELD — COVERAGE</x:v>
      </x:c>
      <x:c r="Z252" s="13" t="str">
        <x:f>IF(L252&lt;&gt;"COVERED","HELD — COVERAGE",IF(OR(R252="PAIRED SYNCHRONIZED",R252="TRILATERAL SYNCHRONIZED"),"E ACTIONABLE","INDEPENDENT"))</x:f>
        <x:v>HELD — COVERAGE</x:v>
      </x:c>
      <x:c r="AA252" s="13" t="str">
        <x:f>IF(L252&lt;&gt;"COVERED","HELD — COVERAGE","WAIT FOR UPSTREAM COMPLETION")</x:f>
        <x:v>HELD — COVERAGE</x:v>
      </x:c>
      <x:c r="AB252" s="13" t="str">
        <x:f>IF(L252&lt;&gt;"COVERED","HELD — COVERAGE",IF(T252="UNRESOLVED","G DECISION REQUIRED",IF(T252="NOT APPLICABLE","G N/A","G ACTIONABLE")))</x:f>
        <x:v>HELD — COVERAGE</x:v>
      </x:c>
      <x:c r="AC252" s="13" t="str">
        <x:f>IF(L252="UNRESOLVED","COVERAGE FIRST",IF(OR(L252="EXCLUDED",L252="OUT OF SCOPE"),"CLOSED BY COVERAGE",IF(AND(L252="COVERED",T252&lt;&gt;"UNRESOLVED"),"PARTIALLY ADOPTED","DECISIONS REMAIN")))</x:f>
        <x:v>COVERAGE FIRST</x:v>
      </x:c>
    </x:row>
    <x:row r="253">
      <x:c r="A253" s="13" t="str">
        <x:v>NAAFTC-HS6-030543</x:v>
      </x:c>
      <x:c r="B253" s="13" t="str">
        <x:v>030543</x:v>
      </x:c>
      <x:c r="C253" s="13" t="str">
        <x:v>03</x:v>
      </x:c>
      <x:c r="D253" s="13" t="str">
        <x:v>TRILATERAL_1_TO_1_TO_1</x:v>
      </x:c>
      <x:c r="E253" s="13" t="str">
        <x:v>Pending</x:v>
      </x:c>
      <x:c r="F253" s="13" t="n">
        <x:v>1</x:v>
      </x:c>
      <x:c r="G253" s="13" t="n">
        <x:v>1</x:v>
      </x:c>
      <x:c r="H253" s="13" t="n">
        <x:v>1</x:v>
      </x:c>
      <x:c r="I253" s="13" t="str">
        <x:v>0305430000</x:v>
      </x:c>
      <x:c r="J253" s="13" t="str">
        <x:v>0305430100</x:v>
      </x:c>
      <x:c r="K253" s="13" t="str">
        <x:v>0305430000</x:v>
      </x:c>
      <x:c r="L253" s="13" t="str">
        <x:v>UNRESOLVED</x:v>
      </x:c>
      <x:c r="M253" s="13" t="str"/>
      <x:c r="N253" s="13" t="str">
        <x:v>NO / DEFAULT</x:v>
      </x:c>
      <x:c r="O253" s="13" t="str"/>
      <x:c r="P253" s="13" t="str">
        <x:v>NO / DEFAULT</x:v>
      </x:c>
      <x:c r="Q253" s="13" t="str"/>
      <x:c r="R253" s="13" t="str">
        <x:v>INDEPENDENT / DEFAULT</x:v>
      </x:c>
      <x:c r="S253" s="13" t="str"/>
      <x:c r="T253" s="13" t="str">
        <x:v>UNRESOLVED</x:v>
      </x:c>
      <x:c r="U253" s="13" t="str"/>
      <x:c r="V253" s="13" t="str"/>
      <x:c r="W253" s="13" t="str"/>
      <x:c r="X253" s="13" t="str">
        <x:f>IF(L253&lt;&gt;"COVERED","HELD — COVERAGE",IF(N253="YES — SENSITIVE","C ACTIONABLE","CHAPTER 5 DEFAULT"))</x:f>
        <x:v>HELD — COVERAGE</x:v>
      </x:c>
      <x:c r="Y253" s="13" t="str">
        <x:f>IF(L253&lt;&gt;"COVERED","HELD — COVERAGE",IF(P253="YES — MANAGED ACCESS","D ACTIONABLE","NO D FIELD"))</x:f>
        <x:v>HELD — COVERAGE</x:v>
      </x:c>
      <x:c r="Z253" s="13" t="str">
        <x:f>IF(L253&lt;&gt;"COVERED","HELD — COVERAGE",IF(OR(R253="PAIRED SYNCHRONIZED",R253="TRILATERAL SYNCHRONIZED"),"E ACTIONABLE","INDEPENDENT"))</x:f>
        <x:v>HELD — COVERAGE</x:v>
      </x:c>
      <x:c r="AA253" s="13" t="str">
        <x:f>IF(L253&lt;&gt;"COVERED","HELD — COVERAGE","WAIT FOR UPSTREAM COMPLETION")</x:f>
        <x:v>HELD — COVERAGE</x:v>
      </x:c>
      <x:c r="AB253" s="13" t="str">
        <x:f>IF(L253&lt;&gt;"COVERED","HELD — COVERAGE",IF(T253="UNRESOLVED","G DECISION REQUIRED",IF(T253="NOT APPLICABLE","G N/A","G ACTIONABLE")))</x:f>
        <x:v>HELD — COVERAGE</x:v>
      </x:c>
      <x:c r="AC253" s="13" t="str">
        <x:f>IF(L253="UNRESOLVED","COVERAGE FIRST",IF(OR(L253="EXCLUDED",L253="OUT OF SCOPE"),"CLOSED BY COVERAGE",IF(AND(L253="COVERED",T253&lt;&gt;"UNRESOLVED"),"PARTIALLY ADOPTED","DECISIONS REMAIN")))</x:f>
        <x:v>COVERAGE FIRST</x:v>
      </x:c>
    </x:row>
    <x:row r="254">
      <x:c r="A254" s="13" t="str">
        <x:v>NAAFTC-HS6-030544</x:v>
      </x:c>
      <x:c r="B254" s="13" t="str">
        <x:v>030544</x:v>
      </x:c>
      <x:c r="C254" s="13" t="str">
        <x:v>03</x:v>
      </x:c>
      <x:c r="D254" s="13" t="str">
        <x:v>TRILATERAL_1_TO_1_TO_1</x:v>
      </x:c>
      <x:c r="E254" s="13" t="str">
        <x:v>Pending</x:v>
      </x:c>
      <x:c r="F254" s="13" t="n">
        <x:v>1</x:v>
      </x:c>
      <x:c r="G254" s="13" t="n">
        <x:v>1</x:v>
      </x:c>
      <x:c r="H254" s="13" t="n">
        <x:v>1</x:v>
      </x:c>
      <x:c r="I254" s="13" t="str">
        <x:v>0305440100</x:v>
      </x:c>
      <x:c r="J254" s="13" t="str">
        <x:v>0305440100</x:v>
      </x:c>
      <x:c r="K254" s="13" t="str">
        <x:v>0305440000</x:v>
      </x:c>
      <x:c r="L254" s="13" t="str">
        <x:v>UNRESOLVED</x:v>
      </x:c>
      <x:c r="M254" s="13" t="str"/>
      <x:c r="N254" s="13" t="str">
        <x:v>NO / DEFAULT</x:v>
      </x:c>
      <x:c r="O254" s="13" t="str"/>
      <x:c r="P254" s="13" t="str">
        <x:v>NO / DEFAULT</x:v>
      </x:c>
      <x:c r="Q254" s="13" t="str"/>
      <x:c r="R254" s="13" t="str">
        <x:v>INDEPENDENT / DEFAULT</x:v>
      </x:c>
      <x:c r="S254" s="13" t="str"/>
      <x:c r="T254" s="13" t="str">
        <x:v>UNRESOLVED</x:v>
      </x:c>
      <x:c r="U254" s="13" t="str"/>
      <x:c r="V254" s="13" t="str"/>
      <x:c r="W254" s="13" t="str"/>
      <x:c r="X254" s="13" t="str">
        <x:f>IF(L254&lt;&gt;"COVERED","HELD — COVERAGE",IF(N254="YES — SENSITIVE","C ACTIONABLE","CHAPTER 5 DEFAULT"))</x:f>
        <x:v>HELD — COVERAGE</x:v>
      </x:c>
      <x:c r="Y254" s="13" t="str">
        <x:f>IF(L254&lt;&gt;"COVERED","HELD — COVERAGE",IF(P254="YES — MANAGED ACCESS","D ACTIONABLE","NO D FIELD"))</x:f>
        <x:v>HELD — COVERAGE</x:v>
      </x:c>
      <x:c r="Z254" s="13" t="str">
        <x:f>IF(L254&lt;&gt;"COVERED","HELD — COVERAGE",IF(OR(R254="PAIRED SYNCHRONIZED",R254="TRILATERAL SYNCHRONIZED"),"E ACTIONABLE","INDEPENDENT"))</x:f>
        <x:v>HELD — COVERAGE</x:v>
      </x:c>
      <x:c r="AA254" s="13" t="str">
        <x:f>IF(L254&lt;&gt;"COVERED","HELD — COVERAGE","WAIT FOR UPSTREAM COMPLETION")</x:f>
        <x:v>HELD — COVERAGE</x:v>
      </x:c>
      <x:c r="AB254" s="13" t="str">
        <x:f>IF(L254&lt;&gt;"COVERED","HELD — COVERAGE",IF(T254="UNRESOLVED","G DECISION REQUIRED",IF(T254="NOT APPLICABLE","G N/A","G ACTIONABLE")))</x:f>
        <x:v>HELD — COVERAGE</x:v>
      </x:c>
      <x:c r="AC254" s="13" t="str">
        <x:f>IF(L254="UNRESOLVED","COVERAGE FIRST",IF(OR(L254="EXCLUDED",L254="OUT OF SCOPE"),"CLOSED BY COVERAGE",IF(AND(L254="COVERED",T254&lt;&gt;"UNRESOLVED"),"PARTIALLY ADOPTED","DECISIONS REMAIN")))</x:f>
        <x:v>COVERAGE FIRST</x:v>
      </x:c>
    </x:row>
    <x:row r="255">
      <x:c r="A255" s="13" t="str">
        <x:v>NAAFTC-HS6-030549</x:v>
      </x:c>
      <x:c r="B255" s="13" t="str">
        <x:v>030549</x:v>
      </x:c>
      <x:c r="C255" s="13" t="str">
        <x:v>03</x:v>
      </x:c>
      <x:c r="D255" s="13" t="str">
        <x:v>TRILATERAL_SPLIT_MERGE</x:v>
      </x:c>
      <x:c r="E255" s="13" t="str">
        <x:v>Pending</x:v>
      </x:c>
      <x:c r="F255" s="13" t="n">
        <x:v>3</x:v>
      </x:c>
      <x:c r="G255" s="13" t="n">
        <x:v>7</x:v>
      </x:c>
      <x:c r="H255" s="13" t="n">
        <x:v>1</x:v>
      </x:c>
      <x:c r="I255" s="13" t="str">
        <x:v>0305492000; 0305494020; 0305494045</x:v>
      </x:c>
      <x:c r="J255" s="13" t="str">
        <x:v>0305499901; 0305499902; 0305499903; 0305499904; 0305499905; 0305499906; +1 more</x:v>
      </x:c>
      <x:c r="K255" s="13" t="str">
        <x:v>0305490000</x:v>
      </x:c>
      <x:c r="L255" s="13" t="str">
        <x:v>UNRESOLVED</x:v>
      </x:c>
      <x:c r="M255" s="13" t="str"/>
      <x:c r="N255" s="13" t="str">
        <x:v>NO / DEFAULT</x:v>
      </x:c>
      <x:c r="O255" s="13" t="str"/>
      <x:c r="P255" s="13" t="str">
        <x:v>NO / DEFAULT</x:v>
      </x:c>
      <x:c r="Q255" s="13" t="str"/>
      <x:c r="R255" s="13" t="str">
        <x:v>INDEPENDENT / DEFAULT</x:v>
      </x:c>
      <x:c r="S255" s="13" t="str"/>
      <x:c r="T255" s="13" t="str">
        <x:v>UNRESOLVED</x:v>
      </x:c>
      <x:c r="U255" s="13" t="str"/>
      <x:c r="V255" s="13" t="str"/>
      <x:c r="W255" s="13" t="str"/>
      <x:c r="X255" s="13" t="str">
        <x:f>IF(L255&lt;&gt;"COVERED","HELD — COVERAGE",IF(N255="YES — SENSITIVE","C ACTIONABLE","CHAPTER 5 DEFAULT"))</x:f>
        <x:v>HELD — COVERAGE</x:v>
      </x:c>
      <x:c r="Y255" s="13" t="str">
        <x:f>IF(L255&lt;&gt;"COVERED","HELD — COVERAGE",IF(P255="YES — MANAGED ACCESS","D ACTIONABLE","NO D FIELD"))</x:f>
        <x:v>HELD — COVERAGE</x:v>
      </x:c>
      <x:c r="Z255" s="13" t="str">
        <x:f>IF(L255&lt;&gt;"COVERED","HELD — COVERAGE",IF(OR(R255="PAIRED SYNCHRONIZED",R255="TRILATERAL SYNCHRONIZED"),"E ACTIONABLE","INDEPENDENT"))</x:f>
        <x:v>HELD — COVERAGE</x:v>
      </x:c>
      <x:c r="AA255" s="13" t="str">
        <x:f>IF(L255&lt;&gt;"COVERED","HELD — COVERAGE","WAIT FOR UPSTREAM COMPLETION")</x:f>
        <x:v>HELD — COVERAGE</x:v>
      </x:c>
      <x:c r="AB255" s="13" t="str">
        <x:f>IF(L255&lt;&gt;"COVERED","HELD — COVERAGE",IF(T255="UNRESOLVED","G DECISION REQUIRED",IF(T255="NOT APPLICABLE","G N/A","G ACTIONABLE")))</x:f>
        <x:v>HELD — COVERAGE</x:v>
      </x:c>
      <x:c r="AC255" s="13" t="str">
        <x:f>IF(L255="UNRESOLVED","COVERAGE FIRST",IF(OR(L255="EXCLUDED",L255="OUT OF SCOPE"),"CLOSED BY COVERAGE",IF(AND(L255="COVERED",T255&lt;&gt;"UNRESOLVED"),"PARTIALLY ADOPTED","DECISIONS REMAIN")))</x:f>
        <x:v>COVERAGE FIRST</x:v>
      </x:c>
    </x:row>
    <x:row r="256">
      <x:c r="A256" s="13" t="str">
        <x:v>NAAFTC-HS6-030551</x:v>
      </x:c>
      <x:c r="B256" s="13" t="str">
        <x:v>030551</x:v>
      </x:c>
      <x:c r="C256" s="13" t="str">
        <x:v>03</x:v>
      </x:c>
      <x:c r="D256" s="13" t="str">
        <x:v>TRILATERAL_SPLIT_MERGE</x:v>
      </x:c>
      <x:c r="E256" s="13" t="str">
        <x:v>Pending</x:v>
      </x:c>
      <x:c r="F256" s="13" t="n">
        <x:v>1</x:v>
      </x:c>
      <x:c r="G256" s="13" t="n">
        <x:v>2</x:v>
      </x:c>
      <x:c r="H256" s="13" t="n">
        <x:v>1</x:v>
      </x:c>
      <x:c r="I256" s="13" t="str">
        <x:v>0305510000</x:v>
      </x:c>
      <x:c r="J256" s="13" t="str">
        <x:v>0305510201; 0305510299</x:v>
      </x:c>
      <x:c r="K256" s="13" t="str">
        <x:v>0305510000</x:v>
      </x:c>
      <x:c r="L256" s="13" t="str">
        <x:v>UNRESOLVED</x:v>
      </x:c>
      <x:c r="M256" s="13" t="str"/>
      <x:c r="N256" s="13" t="str">
        <x:v>NO / DEFAULT</x:v>
      </x:c>
      <x:c r="O256" s="13" t="str"/>
      <x:c r="P256" s="13" t="str">
        <x:v>NO / DEFAULT</x:v>
      </x:c>
      <x:c r="Q256" s="13" t="str"/>
      <x:c r="R256" s="13" t="str">
        <x:v>INDEPENDENT / DEFAULT</x:v>
      </x:c>
      <x:c r="S256" s="13" t="str"/>
      <x:c r="T256" s="13" t="str">
        <x:v>UNRESOLVED</x:v>
      </x:c>
      <x:c r="U256" s="13" t="str"/>
      <x:c r="V256" s="13" t="str"/>
      <x:c r="W256" s="13" t="str"/>
      <x:c r="X256" s="13" t="str">
        <x:f>IF(L256&lt;&gt;"COVERED","HELD — COVERAGE",IF(N256="YES — SENSITIVE","C ACTIONABLE","CHAPTER 5 DEFAULT"))</x:f>
        <x:v>HELD — COVERAGE</x:v>
      </x:c>
      <x:c r="Y256" s="13" t="str">
        <x:f>IF(L256&lt;&gt;"COVERED","HELD — COVERAGE",IF(P256="YES — MANAGED ACCESS","D ACTIONABLE","NO D FIELD"))</x:f>
        <x:v>HELD — COVERAGE</x:v>
      </x:c>
      <x:c r="Z256" s="13" t="str">
        <x:f>IF(L256&lt;&gt;"COVERED","HELD — COVERAGE",IF(OR(R256="PAIRED SYNCHRONIZED",R256="TRILATERAL SYNCHRONIZED"),"E ACTIONABLE","INDEPENDENT"))</x:f>
        <x:v>HELD — COVERAGE</x:v>
      </x:c>
      <x:c r="AA256" s="13" t="str">
        <x:f>IF(L256&lt;&gt;"COVERED","HELD — COVERAGE","WAIT FOR UPSTREAM COMPLETION")</x:f>
        <x:v>HELD — COVERAGE</x:v>
      </x:c>
      <x:c r="AB256" s="13" t="str">
        <x:f>IF(L256&lt;&gt;"COVERED","HELD — COVERAGE",IF(T256="UNRESOLVED","G DECISION REQUIRED",IF(T256="NOT APPLICABLE","G N/A","G ACTIONABLE")))</x:f>
        <x:v>HELD — COVERAGE</x:v>
      </x:c>
      <x:c r="AC256" s="13" t="str">
        <x:f>IF(L256="UNRESOLVED","COVERAGE FIRST",IF(OR(L256="EXCLUDED",L256="OUT OF SCOPE"),"CLOSED BY COVERAGE",IF(AND(L256="COVERED",T256&lt;&gt;"UNRESOLVED"),"PARTIALLY ADOPTED","DECISIONS REMAIN")))</x:f>
        <x:v>COVERAGE FIRST</x:v>
      </x:c>
    </x:row>
    <x:row r="257">
      <x:c r="A257" s="13" t="str">
        <x:v>NAAFTC-HS6-030552</x:v>
      </x:c>
      <x:c r="B257" s="13" t="str">
        <x:v>030552</x:v>
      </x:c>
      <x:c r="C257" s="13" t="str">
        <x:v>03</x:v>
      </x:c>
      <x:c r="D257" s="13" t="str">
        <x:v>TRILATERAL_1_TO_1_TO_1</x:v>
      </x:c>
      <x:c r="E257" s="13" t="str">
        <x:v>Pending</x:v>
      </x:c>
      <x:c r="F257" s="13" t="n">
        <x:v>1</x:v>
      </x:c>
      <x:c r="G257" s="13" t="n">
        <x:v>1</x:v>
      </x:c>
      <x:c r="H257" s="13" t="n">
        <x:v>1</x:v>
      </x:c>
      <x:c r="I257" s="13" t="str">
        <x:v>0305520000</x:v>
      </x:c>
      <x:c r="J257" s="13" t="str">
        <x:v>0305520100</x:v>
      </x:c>
      <x:c r="K257" s="13" t="str">
        <x:v>0305520000</x:v>
      </x:c>
      <x:c r="L257" s="13" t="str">
        <x:v>UNRESOLVED</x:v>
      </x:c>
      <x:c r="M257" s="13" t="str"/>
      <x:c r="N257" s="13" t="str">
        <x:v>NO / DEFAULT</x:v>
      </x:c>
      <x:c r="O257" s="13" t="str"/>
      <x:c r="P257" s="13" t="str">
        <x:v>NO / DEFAULT</x:v>
      </x:c>
      <x:c r="Q257" s="13" t="str"/>
      <x:c r="R257" s="13" t="str">
        <x:v>INDEPENDENT / DEFAULT</x:v>
      </x:c>
      <x:c r="S257" s="13" t="str"/>
      <x:c r="T257" s="13" t="str">
        <x:v>UNRESOLVED</x:v>
      </x:c>
      <x:c r="U257" s="13" t="str"/>
      <x:c r="V257" s="13" t="str"/>
      <x:c r="W257" s="13" t="str"/>
      <x:c r="X257" s="13" t="str">
        <x:f>IF(L257&lt;&gt;"COVERED","HELD — COVERAGE",IF(N257="YES — SENSITIVE","C ACTIONABLE","CHAPTER 5 DEFAULT"))</x:f>
        <x:v>HELD — COVERAGE</x:v>
      </x:c>
      <x:c r="Y257" s="13" t="str">
        <x:f>IF(L257&lt;&gt;"COVERED","HELD — COVERAGE",IF(P257="YES — MANAGED ACCESS","D ACTIONABLE","NO D FIELD"))</x:f>
        <x:v>HELD — COVERAGE</x:v>
      </x:c>
      <x:c r="Z257" s="13" t="str">
        <x:f>IF(L257&lt;&gt;"COVERED","HELD — COVERAGE",IF(OR(R257="PAIRED SYNCHRONIZED",R257="TRILATERAL SYNCHRONIZED"),"E ACTIONABLE","INDEPENDENT"))</x:f>
        <x:v>HELD — COVERAGE</x:v>
      </x:c>
      <x:c r="AA257" s="13" t="str">
        <x:f>IF(L257&lt;&gt;"COVERED","HELD — COVERAGE","WAIT FOR UPSTREAM COMPLETION")</x:f>
        <x:v>HELD — COVERAGE</x:v>
      </x:c>
      <x:c r="AB257" s="13" t="str">
        <x:f>IF(L257&lt;&gt;"COVERED","HELD — COVERAGE",IF(T257="UNRESOLVED","G DECISION REQUIRED",IF(T257="NOT APPLICABLE","G N/A","G ACTIONABLE")))</x:f>
        <x:v>HELD — COVERAGE</x:v>
      </x:c>
      <x:c r="AC257" s="13" t="str">
        <x:f>IF(L257="UNRESOLVED","COVERAGE FIRST",IF(OR(L257="EXCLUDED",L257="OUT OF SCOPE"),"CLOSED BY COVERAGE",IF(AND(L257="COVERED",T257&lt;&gt;"UNRESOLVED"),"PARTIALLY ADOPTED","DECISIONS REMAIN")))</x:f>
        <x:v>COVERAGE FIRST</x:v>
      </x:c>
    </x:row>
    <x:row r="258">
      <x:c r="A258" s="13" t="str">
        <x:v>NAAFTC-HS6-030553</x:v>
      </x:c>
      <x:c r="B258" s="13" t="str">
        <x:v>030553</x:v>
      </x:c>
      <x:c r="C258" s="13" t="str">
        <x:v>03</x:v>
      </x:c>
      <x:c r="D258" s="13" t="str">
        <x:v>TRILATERAL_1_TO_1_TO_1</x:v>
      </x:c>
      <x:c r="E258" s="13" t="str">
        <x:v>Pending</x:v>
      </x:c>
      <x:c r="F258" s="13" t="n">
        <x:v>1</x:v>
      </x:c>
      <x:c r="G258" s="13" t="n">
        <x:v>1</x:v>
      </x:c>
      <x:c r="H258" s="13" t="n">
        <x:v>1</x:v>
      </x:c>
      <x:c r="I258" s="13" t="str">
        <x:v>0305530000</x:v>
      </x:c>
      <x:c r="J258" s="13" t="str">
        <x:v>0305530100</x:v>
      </x:c>
      <x:c r="K258" s="13" t="str">
        <x:v>0305530000</x:v>
      </x:c>
      <x:c r="L258" s="13" t="str">
        <x:v>UNRESOLVED</x:v>
      </x:c>
      <x:c r="M258" s="13" t="str"/>
      <x:c r="N258" s="13" t="str">
        <x:v>NO / DEFAULT</x:v>
      </x:c>
      <x:c r="O258" s="13" t="str"/>
      <x:c r="P258" s="13" t="str">
        <x:v>NO / DEFAULT</x:v>
      </x:c>
      <x:c r="Q258" s="13" t="str"/>
      <x:c r="R258" s="13" t="str">
        <x:v>INDEPENDENT / DEFAULT</x:v>
      </x:c>
      <x:c r="S258" s="13" t="str"/>
      <x:c r="T258" s="13" t="str">
        <x:v>UNRESOLVED</x:v>
      </x:c>
      <x:c r="U258" s="13" t="str"/>
      <x:c r="V258" s="13" t="str"/>
      <x:c r="W258" s="13" t="str"/>
      <x:c r="X258" s="13" t="str">
        <x:f>IF(L258&lt;&gt;"COVERED","HELD — COVERAGE",IF(N258="YES — SENSITIVE","C ACTIONABLE","CHAPTER 5 DEFAULT"))</x:f>
        <x:v>HELD — COVERAGE</x:v>
      </x:c>
      <x:c r="Y258" s="13" t="str">
        <x:f>IF(L258&lt;&gt;"COVERED","HELD — COVERAGE",IF(P258="YES — MANAGED ACCESS","D ACTIONABLE","NO D FIELD"))</x:f>
        <x:v>HELD — COVERAGE</x:v>
      </x:c>
      <x:c r="Z258" s="13" t="str">
        <x:f>IF(L258&lt;&gt;"COVERED","HELD — COVERAGE",IF(OR(R258="PAIRED SYNCHRONIZED",R258="TRILATERAL SYNCHRONIZED"),"E ACTIONABLE","INDEPENDENT"))</x:f>
        <x:v>HELD — COVERAGE</x:v>
      </x:c>
      <x:c r="AA258" s="13" t="str">
        <x:f>IF(L258&lt;&gt;"COVERED","HELD — COVERAGE","WAIT FOR UPSTREAM COMPLETION")</x:f>
        <x:v>HELD — COVERAGE</x:v>
      </x:c>
      <x:c r="AB258" s="13" t="str">
        <x:f>IF(L258&lt;&gt;"COVERED","HELD — COVERAGE",IF(T258="UNRESOLVED","G DECISION REQUIRED",IF(T258="NOT APPLICABLE","G N/A","G ACTIONABLE")))</x:f>
        <x:v>HELD — COVERAGE</x:v>
      </x:c>
      <x:c r="AC258" s="13" t="str">
        <x:f>IF(L258="UNRESOLVED","COVERAGE FIRST",IF(OR(L258="EXCLUDED",L258="OUT OF SCOPE"),"CLOSED BY COVERAGE",IF(AND(L258="COVERED",T258&lt;&gt;"UNRESOLVED"),"PARTIALLY ADOPTED","DECISIONS REMAIN")))</x:f>
        <x:v>COVERAGE FIRST</x:v>
      </x:c>
    </x:row>
    <x:row r="259">
      <x:c r="A259" s="13" t="str">
        <x:v>NAAFTC-HS6-030554</x:v>
      </x:c>
      <x:c r="B259" s="13" t="str">
        <x:v>030554</x:v>
      </x:c>
      <x:c r="C259" s="13" t="str">
        <x:v>03</x:v>
      </x:c>
      <x:c r="D259" s="13" t="str">
        <x:v>TRILATERAL_1_TO_1_TO_1</x:v>
      </x:c>
      <x:c r="E259" s="13" t="str">
        <x:v>Pending</x:v>
      </x:c>
      <x:c r="F259" s="13" t="n">
        <x:v>1</x:v>
      </x:c>
      <x:c r="G259" s="13" t="n">
        <x:v>1</x:v>
      </x:c>
      <x:c r="H259" s="13" t="n">
        <x:v>1</x:v>
      </x:c>
      <x:c r="I259" s="13" t="str">
        <x:v>0305540000</x:v>
      </x:c>
      <x:c r="J259" s="13" t="str">
        <x:v>0305540100</x:v>
      </x:c>
      <x:c r="K259" s="13" t="str">
        <x:v>0305540000</x:v>
      </x:c>
      <x:c r="L259" s="13" t="str">
        <x:v>UNRESOLVED</x:v>
      </x:c>
      <x:c r="M259" s="13" t="str"/>
      <x:c r="N259" s="13" t="str">
        <x:v>NO / DEFAULT</x:v>
      </x:c>
      <x:c r="O259" s="13" t="str"/>
      <x:c r="P259" s="13" t="str">
        <x:v>NO / DEFAULT</x:v>
      </x:c>
      <x:c r="Q259" s="13" t="str"/>
      <x:c r="R259" s="13" t="str">
        <x:v>INDEPENDENT / DEFAULT</x:v>
      </x:c>
      <x:c r="S259" s="13" t="str"/>
      <x:c r="T259" s="13" t="str">
        <x:v>UNRESOLVED</x:v>
      </x:c>
      <x:c r="U259" s="13" t="str"/>
      <x:c r="V259" s="13" t="str"/>
      <x:c r="W259" s="13" t="str"/>
      <x:c r="X259" s="13" t="str">
        <x:f>IF(L259&lt;&gt;"COVERED","HELD — COVERAGE",IF(N259="YES — SENSITIVE","C ACTIONABLE","CHAPTER 5 DEFAULT"))</x:f>
        <x:v>HELD — COVERAGE</x:v>
      </x:c>
      <x:c r="Y259" s="13" t="str">
        <x:f>IF(L259&lt;&gt;"COVERED","HELD — COVERAGE",IF(P259="YES — MANAGED ACCESS","D ACTIONABLE","NO D FIELD"))</x:f>
        <x:v>HELD — COVERAGE</x:v>
      </x:c>
      <x:c r="Z259" s="13" t="str">
        <x:f>IF(L259&lt;&gt;"COVERED","HELD — COVERAGE",IF(OR(R259="PAIRED SYNCHRONIZED",R259="TRILATERAL SYNCHRONIZED"),"E ACTIONABLE","INDEPENDENT"))</x:f>
        <x:v>HELD — COVERAGE</x:v>
      </x:c>
      <x:c r="AA259" s="13" t="str">
        <x:f>IF(L259&lt;&gt;"COVERED","HELD — COVERAGE","WAIT FOR UPSTREAM COMPLETION")</x:f>
        <x:v>HELD — COVERAGE</x:v>
      </x:c>
      <x:c r="AB259" s="13" t="str">
        <x:f>IF(L259&lt;&gt;"COVERED","HELD — COVERAGE",IF(T259="UNRESOLVED","G DECISION REQUIRED",IF(T259="NOT APPLICABLE","G N/A","G ACTIONABLE")))</x:f>
        <x:v>HELD — COVERAGE</x:v>
      </x:c>
      <x:c r="AC259" s="13" t="str">
        <x:f>IF(L259="UNRESOLVED","COVERAGE FIRST",IF(OR(L259="EXCLUDED",L259="OUT OF SCOPE"),"CLOSED BY COVERAGE",IF(AND(L259="COVERED",T259&lt;&gt;"UNRESOLVED"),"PARTIALLY ADOPTED","DECISIONS REMAIN")))</x:f>
        <x:v>COVERAGE FIRST</x:v>
      </x:c>
    </x:row>
    <x:row r="260">
      <x:c r="A260" s="13" t="str">
        <x:v>NAAFTC-HS6-030559</x:v>
      </x:c>
      <x:c r="B260" s="13" t="str">
        <x:v>030559</x:v>
      </x:c>
      <x:c r="C260" s="13" t="str">
        <x:v>03</x:v>
      </x:c>
      <x:c r="D260" s="13" t="str">
        <x:v>TRILATERAL_SPLIT_MERGE</x:v>
      </x:c>
      <x:c r="E260" s="13" t="str">
        <x:v>Pending</x:v>
      </x:c>
      <x:c r="F260" s="13" t="n">
        <x:v>1</x:v>
      </x:c>
      <x:c r="G260" s="13" t="n">
        <x:v>8</x:v>
      </x:c>
      <x:c r="H260" s="13" t="n">
        <x:v>1</x:v>
      </x:c>
      <x:c r="I260" s="13" t="str">
        <x:v>0305590001</x:v>
      </x:c>
      <x:c r="J260" s="13" t="str">
        <x:v>0305599901; 0305599902; 0305599903; 0305599904; 0305599905; 0305599906; +2 more</x:v>
      </x:c>
      <x:c r="K260" s="13" t="str">
        <x:v>0305590000</x:v>
      </x:c>
      <x:c r="L260" s="13" t="str">
        <x:v>UNRESOLVED</x:v>
      </x:c>
      <x:c r="M260" s="13" t="str"/>
      <x:c r="N260" s="13" t="str">
        <x:v>NO / DEFAULT</x:v>
      </x:c>
      <x:c r="O260" s="13" t="str"/>
      <x:c r="P260" s="13" t="str">
        <x:v>NO / DEFAULT</x:v>
      </x:c>
      <x:c r="Q260" s="13" t="str"/>
      <x:c r="R260" s="13" t="str">
        <x:v>INDEPENDENT / DEFAULT</x:v>
      </x:c>
      <x:c r="S260" s="13" t="str"/>
      <x:c r="T260" s="13" t="str">
        <x:v>UNRESOLVED</x:v>
      </x:c>
      <x:c r="U260" s="13" t="str"/>
      <x:c r="V260" s="13" t="str"/>
      <x:c r="W260" s="13" t="str"/>
      <x:c r="X260" s="13" t="str">
        <x:f>IF(L260&lt;&gt;"COVERED","HELD — COVERAGE",IF(N260="YES — SENSITIVE","C ACTIONABLE","CHAPTER 5 DEFAULT"))</x:f>
        <x:v>HELD — COVERAGE</x:v>
      </x:c>
      <x:c r="Y260" s="13" t="str">
        <x:f>IF(L260&lt;&gt;"COVERED","HELD — COVERAGE",IF(P260="YES — MANAGED ACCESS","D ACTIONABLE","NO D FIELD"))</x:f>
        <x:v>HELD — COVERAGE</x:v>
      </x:c>
      <x:c r="Z260" s="13" t="str">
        <x:f>IF(L260&lt;&gt;"COVERED","HELD — COVERAGE",IF(OR(R260="PAIRED SYNCHRONIZED",R260="TRILATERAL SYNCHRONIZED"),"E ACTIONABLE","INDEPENDENT"))</x:f>
        <x:v>HELD — COVERAGE</x:v>
      </x:c>
      <x:c r="AA260" s="13" t="str">
        <x:f>IF(L260&lt;&gt;"COVERED","HELD — COVERAGE","WAIT FOR UPSTREAM COMPLETION")</x:f>
        <x:v>HELD — COVERAGE</x:v>
      </x:c>
      <x:c r="AB260" s="13" t="str">
        <x:f>IF(L260&lt;&gt;"COVERED","HELD — COVERAGE",IF(T260="UNRESOLVED","G DECISION REQUIRED",IF(T260="NOT APPLICABLE","G N/A","G ACTIONABLE")))</x:f>
        <x:v>HELD — COVERAGE</x:v>
      </x:c>
      <x:c r="AC260" s="13" t="str">
        <x:f>IF(L260="UNRESOLVED","COVERAGE FIRST",IF(OR(L260="EXCLUDED",L260="OUT OF SCOPE"),"CLOSED BY COVERAGE",IF(AND(L260="COVERED",T260&lt;&gt;"UNRESOLVED"),"PARTIALLY ADOPTED","DECISIONS REMAIN")))</x:f>
        <x:v>COVERAGE FIRST</x:v>
      </x:c>
    </x:row>
    <x:row r="261">
      <x:c r="A261" s="13" t="str">
        <x:v>NAAFTC-HS6-030561</x:v>
      </x:c>
      <x:c r="B261" s="13" t="str">
        <x:v>030561</x:v>
      </x:c>
      <x:c r="C261" s="13" t="str">
        <x:v>03</x:v>
      </x:c>
      <x:c r="D261" s="13" t="str">
        <x:v>TRILATERAL_SPLIT_MERGE</x:v>
      </x:c>
      <x:c r="E261" s="13" t="str">
        <x:v>Pending</x:v>
      </x:c>
      <x:c r="F261" s="13" t="n">
        <x:v>2</x:v>
      </x:c>
      <x:c r="G261" s="13" t="n">
        <x:v>1</x:v>
      </x:c>
      <x:c r="H261" s="13" t="n">
        <x:v>1</x:v>
      </x:c>
      <x:c r="I261" s="13" t="str">
        <x:v>0305612000; 0305614000</x:v>
      </x:c>
      <x:c r="J261" s="13" t="str">
        <x:v>0305610100</x:v>
      </x:c>
      <x:c r="K261" s="13" t="str">
        <x:v>0305610000</x:v>
      </x:c>
      <x:c r="L261" s="13" t="str">
        <x:v>UNRESOLVED</x:v>
      </x:c>
      <x:c r="M261" s="13" t="str"/>
      <x:c r="N261" s="13" t="str">
        <x:v>NO / DEFAULT</x:v>
      </x:c>
      <x:c r="O261" s="13" t="str"/>
      <x:c r="P261" s="13" t="str">
        <x:v>NO / DEFAULT</x:v>
      </x:c>
      <x:c r="Q261" s="13" t="str"/>
      <x:c r="R261" s="13" t="str">
        <x:v>INDEPENDENT / DEFAULT</x:v>
      </x:c>
      <x:c r="S261" s="13" t="str"/>
      <x:c r="T261" s="13" t="str">
        <x:v>UNRESOLVED</x:v>
      </x:c>
      <x:c r="U261" s="13" t="str"/>
      <x:c r="V261" s="13" t="str"/>
      <x:c r="W261" s="13" t="str"/>
      <x:c r="X261" s="13" t="str">
        <x:f>IF(L261&lt;&gt;"COVERED","HELD — COVERAGE",IF(N261="YES — SENSITIVE","C ACTIONABLE","CHAPTER 5 DEFAULT"))</x:f>
        <x:v>HELD — COVERAGE</x:v>
      </x:c>
      <x:c r="Y261" s="13" t="str">
        <x:f>IF(L261&lt;&gt;"COVERED","HELD — COVERAGE",IF(P261="YES — MANAGED ACCESS","D ACTIONABLE","NO D FIELD"))</x:f>
        <x:v>HELD — COVERAGE</x:v>
      </x:c>
      <x:c r="Z261" s="13" t="str">
        <x:f>IF(L261&lt;&gt;"COVERED","HELD — COVERAGE",IF(OR(R261="PAIRED SYNCHRONIZED",R261="TRILATERAL SYNCHRONIZED"),"E ACTIONABLE","INDEPENDENT"))</x:f>
        <x:v>HELD — COVERAGE</x:v>
      </x:c>
      <x:c r="AA261" s="13" t="str">
        <x:f>IF(L261&lt;&gt;"COVERED","HELD — COVERAGE","WAIT FOR UPSTREAM COMPLETION")</x:f>
        <x:v>HELD — COVERAGE</x:v>
      </x:c>
      <x:c r="AB261" s="13" t="str">
        <x:f>IF(L261&lt;&gt;"COVERED","HELD — COVERAGE",IF(T261="UNRESOLVED","G DECISION REQUIRED",IF(T261="NOT APPLICABLE","G N/A","G ACTIONABLE")))</x:f>
        <x:v>HELD — COVERAGE</x:v>
      </x:c>
      <x:c r="AC261" s="13" t="str">
        <x:f>IF(L261="UNRESOLVED","COVERAGE FIRST",IF(OR(L261="EXCLUDED",L261="OUT OF SCOPE"),"CLOSED BY COVERAGE",IF(AND(L261="COVERED",T261&lt;&gt;"UNRESOLVED"),"PARTIALLY ADOPTED","DECISIONS REMAIN")))</x:f>
        <x:v>COVERAGE FIRST</x:v>
      </x:c>
    </x:row>
    <x:row r="262">
      <x:c r="A262" s="13" t="str">
        <x:v>NAAFTC-HS6-030562</x:v>
      </x:c>
      <x:c r="B262" s="13" t="str">
        <x:v>030562</x:v>
      </x:c>
      <x:c r="C262" s="13" t="str">
        <x:v>03</x:v>
      </x:c>
      <x:c r="D262" s="13" t="str">
        <x:v>TRILATERAL_SPLIT_MERGE</x:v>
      </x:c>
      <x:c r="E262" s="13" t="str">
        <x:v>Pending</x:v>
      </x:c>
      <x:c r="F262" s="13" t="n">
        <x:v>8</x:v>
      </x:c>
      <x:c r="G262" s="13" t="n">
        <x:v>1</x:v>
      </x:c>
      <x:c r="H262" s="13" t="n">
        <x:v>1</x:v>
      </x:c>
      <x:c r="I262" s="13" t="str">
        <x:v>0305620010; 0305620025; 0305620030; 0305620045; 0305620050; 0305620060; +2 more</x:v>
      </x:c>
      <x:c r="J262" s="13" t="str">
        <x:v>0305620100</x:v>
      </x:c>
      <x:c r="K262" s="13" t="str">
        <x:v>0305620000</x:v>
      </x:c>
      <x:c r="L262" s="13" t="str">
        <x:v>UNRESOLVED</x:v>
      </x:c>
      <x:c r="M262" s="13" t="str"/>
      <x:c r="N262" s="13" t="str">
        <x:v>NO / DEFAULT</x:v>
      </x:c>
      <x:c r="O262" s="13" t="str"/>
      <x:c r="P262" s="13" t="str">
        <x:v>NO / DEFAULT</x:v>
      </x:c>
      <x:c r="Q262" s="13" t="str"/>
      <x:c r="R262" s="13" t="str">
        <x:v>INDEPENDENT / DEFAULT</x:v>
      </x:c>
      <x:c r="S262" s="13" t="str"/>
      <x:c r="T262" s="13" t="str">
        <x:v>UNRESOLVED</x:v>
      </x:c>
      <x:c r="U262" s="13" t="str"/>
      <x:c r="V262" s="13" t="str"/>
      <x:c r="W262" s="13" t="str"/>
      <x:c r="X262" s="13" t="str">
        <x:f>IF(L262&lt;&gt;"COVERED","HELD — COVERAGE",IF(N262="YES — SENSITIVE","C ACTIONABLE","CHAPTER 5 DEFAULT"))</x:f>
        <x:v>HELD — COVERAGE</x:v>
      </x:c>
      <x:c r="Y262" s="13" t="str">
        <x:f>IF(L262&lt;&gt;"COVERED","HELD — COVERAGE",IF(P262="YES — MANAGED ACCESS","D ACTIONABLE","NO D FIELD"))</x:f>
        <x:v>HELD — COVERAGE</x:v>
      </x:c>
      <x:c r="Z262" s="13" t="str">
        <x:f>IF(L262&lt;&gt;"COVERED","HELD — COVERAGE",IF(OR(R262="PAIRED SYNCHRONIZED",R262="TRILATERAL SYNCHRONIZED"),"E ACTIONABLE","INDEPENDENT"))</x:f>
        <x:v>HELD — COVERAGE</x:v>
      </x:c>
      <x:c r="AA262" s="13" t="str">
        <x:f>IF(L262&lt;&gt;"COVERED","HELD — COVERAGE","WAIT FOR UPSTREAM COMPLETION")</x:f>
        <x:v>HELD — COVERAGE</x:v>
      </x:c>
      <x:c r="AB262" s="13" t="str">
        <x:f>IF(L262&lt;&gt;"COVERED","HELD — COVERAGE",IF(T262="UNRESOLVED","G DECISION REQUIRED",IF(T262="NOT APPLICABLE","G N/A","G ACTIONABLE")))</x:f>
        <x:v>HELD — COVERAGE</x:v>
      </x:c>
      <x:c r="AC262" s="13" t="str">
        <x:f>IF(L262="UNRESOLVED","COVERAGE FIRST",IF(OR(L262="EXCLUDED",L262="OUT OF SCOPE"),"CLOSED BY COVERAGE",IF(AND(L262="COVERED",T262&lt;&gt;"UNRESOLVED"),"PARTIALLY ADOPTED","DECISIONS REMAIN")))</x:f>
        <x:v>COVERAGE FIRST</x:v>
      </x:c>
    </x:row>
    <x:row r="263">
      <x:c r="A263" s="13" t="str">
        <x:v>NAAFTC-HS6-030563</x:v>
      </x:c>
      <x:c r="B263" s="13" t="str">
        <x:v>030563</x:v>
      </x:c>
      <x:c r="C263" s="13" t="str">
        <x:v>03</x:v>
      </x:c>
      <x:c r="D263" s="13" t="str">
        <x:v>TRILATERAL_SPLIT_MERGE</x:v>
      </x:c>
      <x:c r="E263" s="13" t="str">
        <x:v>Pending</x:v>
      </x:c>
      <x:c r="F263" s="13" t="n">
        <x:v>3</x:v>
      </x:c>
      <x:c r="G263" s="13" t="n">
        <x:v>1</x:v>
      </x:c>
      <x:c r="H263" s="13" t="n">
        <x:v>1</x:v>
      </x:c>
      <x:c r="I263" s="13" t="str">
        <x:v>0305632000; 0305634000; 0305636000</x:v>
      </x:c>
      <x:c r="J263" s="13" t="str">
        <x:v>0305630100</x:v>
      </x:c>
      <x:c r="K263" s="13" t="str">
        <x:v>0305630000</x:v>
      </x:c>
      <x:c r="L263" s="13" t="str">
        <x:v>UNRESOLVED</x:v>
      </x:c>
      <x:c r="M263" s="13" t="str"/>
      <x:c r="N263" s="13" t="str">
        <x:v>NO / DEFAULT</x:v>
      </x:c>
      <x:c r="O263" s="13" t="str"/>
      <x:c r="P263" s="13" t="str">
        <x:v>NO / DEFAULT</x:v>
      </x:c>
      <x:c r="Q263" s="13" t="str"/>
      <x:c r="R263" s="13" t="str">
        <x:v>INDEPENDENT / DEFAULT</x:v>
      </x:c>
      <x:c r="S263" s="13" t="str"/>
      <x:c r="T263" s="13" t="str">
        <x:v>UNRESOLVED</x:v>
      </x:c>
      <x:c r="U263" s="13" t="str"/>
      <x:c r="V263" s="13" t="str"/>
      <x:c r="W263" s="13" t="str"/>
      <x:c r="X263" s="13" t="str">
        <x:f>IF(L263&lt;&gt;"COVERED","HELD — COVERAGE",IF(N263="YES — SENSITIVE","C ACTIONABLE","CHAPTER 5 DEFAULT"))</x:f>
        <x:v>HELD — COVERAGE</x:v>
      </x:c>
      <x:c r="Y263" s="13" t="str">
        <x:f>IF(L263&lt;&gt;"COVERED","HELD — COVERAGE",IF(P263="YES — MANAGED ACCESS","D ACTIONABLE","NO D FIELD"))</x:f>
        <x:v>HELD — COVERAGE</x:v>
      </x:c>
      <x:c r="Z263" s="13" t="str">
        <x:f>IF(L263&lt;&gt;"COVERED","HELD — COVERAGE",IF(OR(R263="PAIRED SYNCHRONIZED",R263="TRILATERAL SYNCHRONIZED"),"E ACTIONABLE","INDEPENDENT"))</x:f>
        <x:v>HELD — COVERAGE</x:v>
      </x:c>
      <x:c r="AA263" s="13" t="str">
        <x:f>IF(L263&lt;&gt;"COVERED","HELD — COVERAGE","WAIT FOR UPSTREAM COMPLETION")</x:f>
        <x:v>HELD — COVERAGE</x:v>
      </x:c>
      <x:c r="AB263" s="13" t="str">
        <x:f>IF(L263&lt;&gt;"COVERED","HELD — COVERAGE",IF(T263="UNRESOLVED","G DECISION REQUIRED",IF(T263="NOT APPLICABLE","G N/A","G ACTIONABLE")))</x:f>
        <x:v>HELD — COVERAGE</x:v>
      </x:c>
      <x:c r="AC263" s="13" t="str">
        <x:f>IF(L263="UNRESOLVED","COVERAGE FIRST",IF(OR(L263="EXCLUDED",L263="OUT OF SCOPE"),"CLOSED BY COVERAGE",IF(AND(L263="COVERED",T263&lt;&gt;"UNRESOLVED"),"PARTIALLY ADOPTED","DECISIONS REMAIN")))</x:f>
        <x:v>COVERAGE FIRST</x:v>
      </x:c>
    </x:row>
    <x:row r="264">
      <x:c r="A264" s="13" t="str">
        <x:v>NAAFTC-HS6-030564</x:v>
      </x:c>
      <x:c r="B264" s="13" t="str">
        <x:v>030564</x:v>
      </x:c>
      <x:c r="C264" s="13" t="str">
        <x:v>03</x:v>
      </x:c>
      <x:c r="D264" s="13" t="str">
        <x:v>TRILATERAL_SPLIT_MERGE</x:v>
      </x:c>
      <x:c r="E264" s="13" t="str">
        <x:v>Pending</x:v>
      </x:c>
      <x:c r="F264" s="13" t="n">
        <x:v>2</x:v>
      </x:c>
      <x:c r="G264" s="13" t="n">
        <x:v>1</x:v>
      </x:c>
      <x:c r="H264" s="13" t="n">
        <x:v>1</x:v>
      </x:c>
      <x:c r="I264" s="13" t="str">
        <x:v>0305641000; 0305645000</x:v>
      </x:c>
      <x:c r="J264" s="13" t="str">
        <x:v>0305640100</x:v>
      </x:c>
      <x:c r="K264" s="13" t="str">
        <x:v>0305640000</x:v>
      </x:c>
      <x:c r="L264" s="13" t="str">
        <x:v>UNRESOLVED</x:v>
      </x:c>
      <x:c r="M264" s="13" t="str"/>
      <x:c r="N264" s="13" t="str">
        <x:v>NO / DEFAULT</x:v>
      </x:c>
      <x:c r="O264" s="13" t="str"/>
      <x:c r="P264" s="13" t="str">
        <x:v>NO / DEFAULT</x:v>
      </x:c>
      <x:c r="Q264" s="13" t="str"/>
      <x:c r="R264" s="13" t="str">
        <x:v>INDEPENDENT / DEFAULT</x:v>
      </x:c>
      <x:c r="S264" s="13" t="str"/>
      <x:c r="T264" s="13" t="str">
        <x:v>UNRESOLVED</x:v>
      </x:c>
      <x:c r="U264" s="13" t="str"/>
      <x:c r="V264" s="13" t="str"/>
      <x:c r="W264" s="13" t="str"/>
      <x:c r="X264" s="13" t="str">
        <x:f>IF(L264&lt;&gt;"COVERED","HELD — COVERAGE",IF(N264="YES — SENSITIVE","C ACTIONABLE","CHAPTER 5 DEFAULT"))</x:f>
        <x:v>HELD — COVERAGE</x:v>
      </x:c>
      <x:c r="Y264" s="13" t="str">
        <x:f>IF(L264&lt;&gt;"COVERED","HELD — COVERAGE",IF(P264="YES — MANAGED ACCESS","D ACTIONABLE","NO D FIELD"))</x:f>
        <x:v>HELD — COVERAGE</x:v>
      </x:c>
      <x:c r="Z264" s="13" t="str">
        <x:f>IF(L264&lt;&gt;"COVERED","HELD — COVERAGE",IF(OR(R264="PAIRED SYNCHRONIZED",R264="TRILATERAL SYNCHRONIZED"),"E ACTIONABLE","INDEPENDENT"))</x:f>
        <x:v>HELD — COVERAGE</x:v>
      </x:c>
      <x:c r="AA264" s="13" t="str">
        <x:f>IF(L264&lt;&gt;"COVERED","HELD — COVERAGE","WAIT FOR UPSTREAM COMPLETION")</x:f>
        <x:v>HELD — COVERAGE</x:v>
      </x:c>
      <x:c r="AB264" s="13" t="str">
        <x:f>IF(L264&lt;&gt;"COVERED","HELD — COVERAGE",IF(T264="UNRESOLVED","G DECISION REQUIRED",IF(T264="NOT APPLICABLE","G N/A","G ACTIONABLE")))</x:f>
        <x:v>HELD — COVERAGE</x:v>
      </x:c>
      <x:c r="AC264" s="13" t="str">
        <x:f>IF(L264="UNRESOLVED","COVERAGE FIRST",IF(OR(L264="EXCLUDED",L264="OUT OF SCOPE"),"CLOSED BY COVERAGE",IF(AND(L264="COVERED",T264&lt;&gt;"UNRESOLVED"),"PARTIALLY ADOPTED","DECISIONS REMAIN")))</x:f>
        <x:v>COVERAGE FIRST</x:v>
      </x:c>
    </x:row>
    <x:row r="265">
      <x:c r="A265" s="13" t="str">
        <x:v>NAAFTC-HS6-030569</x:v>
      </x:c>
      <x:c r="B265" s="13" t="str">
        <x:v>030569</x:v>
      </x:c>
      <x:c r="C265" s="13" t="str">
        <x:v>03</x:v>
      </x:c>
      <x:c r="D265" s="13" t="str">
        <x:v>TRILATERAL_SPLIT_MERGE</x:v>
      </x:c>
      <x:c r="E265" s="13" t="str">
        <x:v>Pending</x:v>
      </x:c>
      <x:c r="F265" s="13" t="n">
        <x:v>11</x:v>
      </x:c>
      <x:c r="G265" s="13" t="n">
        <x:v>6</x:v>
      </x:c>
      <x:c r="H265" s="13" t="n">
        <x:v>1</x:v>
      </x:c>
      <x:c r="I265" s="13" t="str">
        <x:v>0305691021; 0305691022; 0305691029; 0305691041; 0305691042; 0305691049; +5 more</x:v>
      </x:c>
      <x:c r="J265" s="13" t="str">
        <x:v>0305699901; 0305699902; 0305699903; 0305699904; 0305699905; 0305699999</x:v>
      </x:c>
      <x:c r="K265" s="13" t="str">
        <x:v>0305690000</x:v>
      </x:c>
      <x:c r="L265" s="13" t="str">
        <x:v>UNRESOLVED</x:v>
      </x:c>
      <x:c r="M265" s="13" t="str"/>
      <x:c r="N265" s="13" t="str">
        <x:v>NO / DEFAULT</x:v>
      </x:c>
      <x:c r="O265" s="13" t="str"/>
      <x:c r="P265" s="13" t="str">
        <x:v>NO / DEFAULT</x:v>
      </x:c>
      <x:c r="Q265" s="13" t="str"/>
      <x:c r="R265" s="13" t="str">
        <x:v>INDEPENDENT / DEFAULT</x:v>
      </x:c>
      <x:c r="S265" s="13" t="str"/>
      <x:c r="T265" s="13" t="str">
        <x:v>UNRESOLVED</x:v>
      </x:c>
      <x:c r="U265" s="13" t="str"/>
      <x:c r="V265" s="13" t="str"/>
      <x:c r="W265" s="13" t="str"/>
      <x:c r="X265" s="13" t="str">
        <x:f>IF(L265&lt;&gt;"COVERED","HELD — COVERAGE",IF(N265="YES — SENSITIVE","C ACTIONABLE","CHAPTER 5 DEFAULT"))</x:f>
        <x:v>HELD — COVERAGE</x:v>
      </x:c>
      <x:c r="Y265" s="13" t="str">
        <x:f>IF(L265&lt;&gt;"COVERED","HELD — COVERAGE",IF(P265="YES — MANAGED ACCESS","D ACTIONABLE","NO D FIELD"))</x:f>
        <x:v>HELD — COVERAGE</x:v>
      </x:c>
      <x:c r="Z265" s="13" t="str">
        <x:f>IF(L265&lt;&gt;"COVERED","HELD — COVERAGE",IF(OR(R265="PAIRED SYNCHRONIZED",R265="TRILATERAL SYNCHRONIZED"),"E ACTIONABLE","INDEPENDENT"))</x:f>
        <x:v>HELD — COVERAGE</x:v>
      </x:c>
      <x:c r="AA265" s="13" t="str">
        <x:f>IF(L265&lt;&gt;"COVERED","HELD — COVERAGE","WAIT FOR UPSTREAM COMPLETION")</x:f>
        <x:v>HELD — COVERAGE</x:v>
      </x:c>
      <x:c r="AB265" s="13" t="str">
        <x:f>IF(L265&lt;&gt;"COVERED","HELD — COVERAGE",IF(T265="UNRESOLVED","G DECISION REQUIRED",IF(T265="NOT APPLICABLE","G N/A","G ACTIONABLE")))</x:f>
        <x:v>HELD — COVERAGE</x:v>
      </x:c>
      <x:c r="AC265" s="13" t="str">
        <x:f>IF(L265="UNRESOLVED","COVERAGE FIRST",IF(OR(L265="EXCLUDED",L265="OUT OF SCOPE"),"CLOSED BY COVERAGE",IF(AND(L265="COVERED",T265&lt;&gt;"UNRESOLVED"),"PARTIALLY ADOPTED","DECISIONS REMAIN")))</x:f>
        <x:v>COVERAGE FIRST</x:v>
      </x:c>
    </x:row>
    <x:row r="266">
      <x:c r="A266" s="13" t="str">
        <x:v>NAAFTC-HS6-030571</x:v>
      </x:c>
      <x:c r="B266" s="13" t="str">
        <x:v>030571</x:v>
      </x:c>
      <x:c r="C266" s="13" t="str">
        <x:v>03</x:v>
      </x:c>
      <x:c r="D266" s="13" t="str">
        <x:v>TRILATERAL_1_TO_1_TO_1</x:v>
      </x:c>
      <x:c r="E266" s="13" t="str">
        <x:v>Pending</x:v>
      </x:c>
      <x:c r="F266" s="13" t="n">
        <x:v>1</x:v>
      </x:c>
      <x:c r="G266" s="13" t="n">
        <x:v>1</x:v>
      </x:c>
      <x:c r="H266" s="13" t="n">
        <x:v>1</x:v>
      </x:c>
      <x:c r="I266" s="13" t="str">
        <x:v>0305710000</x:v>
      </x:c>
      <x:c r="J266" s="13" t="str">
        <x:v>0305710100</x:v>
      </x:c>
      <x:c r="K266" s="13" t="str">
        <x:v>0305710000</x:v>
      </x:c>
      <x:c r="L266" s="13" t="str">
        <x:v>UNRESOLVED</x:v>
      </x:c>
      <x:c r="M266" s="13" t="str"/>
      <x:c r="N266" s="13" t="str">
        <x:v>NO / DEFAULT</x:v>
      </x:c>
      <x:c r="O266" s="13" t="str"/>
      <x:c r="P266" s="13" t="str">
        <x:v>NO / DEFAULT</x:v>
      </x:c>
      <x:c r="Q266" s="13" t="str"/>
      <x:c r="R266" s="13" t="str">
        <x:v>INDEPENDENT / DEFAULT</x:v>
      </x:c>
      <x:c r="S266" s="13" t="str"/>
      <x:c r="T266" s="13" t="str">
        <x:v>UNRESOLVED</x:v>
      </x:c>
      <x:c r="U266" s="13" t="str"/>
      <x:c r="V266" s="13" t="str"/>
      <x:c r="W266" s="13" t="str"/>
      <x:c r="X266" s="13" t="str">
        <x:f>IF(L266&lt;&gt;"COVERED","HELD — COVERAGE",IF(N266="YES — SENSITIVE","C ACTIONABLE","CHAPTER 5 DEFAULT"))</x:f>
        <x:v>HELD — COVERAGE</x:v>
      </x:c>
      <x:c r="Y266" s="13" t="str">
        <x:f>IF(L266&lt;&gt;"COVERED","HELD — COVERAGE",IF(P266="YES — MANAGED ACCESS","D ACTIONABLE","NO D FIELD"))</x:f>
        <x:v>HELD — COVERAGE</x:v>
      </x:c>
      <x:c r="Z266" s="13" t="str">
        <x:f>IF(L266&lt;&gt;"COVERED","HELD — COVERAGE",IF(OR(R266="PAIRED SYNCHRONIZED",R266="TRILATERAL SYNCHRONIZED"),"E ACTIONABLE","INDEPENDENT"))</x:f>
        <x:v>HELD — COVERAGE</x:v>
      </x:c>
      <x:c r="AA266" s="13" t="str">
        <x:f>IF(L266&lt;&gt;"COVERED","HELD — COVERAGE","WAIT FOR UPSTREAM COMPLETION")</x:f>
        <x:v>HELD — COVERAGE</x:v>
      </x:c>
      <x:c r="AB266" s="13" t="str">
        <x:f>IF(L266&lt;&gt;"COVERED","HELD — COVERAGE",IF(T266="UNRESOLVED","G DECISION REQUIRED",IF(T266="NOT APPLICABLE","G N/A","G ACTIONABLE")))</x:f>
        <x:v>HELD — COVERAGE</x:v>
      </x:c>
      <x:c r="AC266" s="13" t="str">
        <x:f>IF(L266="UNRESOLVED","COVERAGE FIRST",IF(OR(L266="EXCLUDED",L266="OUT OF SCOPE"),"CLOSED BY COVERAGE",IF(AND(L266="COVERED",T266&lt;&gt;"UNRESOLVED"),"PARTIALLY ADOPTED","DECISIONS REMAIN")))</x:f>
        <x:v>COVERAGE FIRST</x:v>
      </x:c>
    </x:row>
    <x:row r="267">
      <x:c r="A267" s="13" t="str">
        <x:v>NAAFTC-HS6-030572</x:v>
      </x:c>
      <x:c r="B267" s="13" t="str">
        <x:v>030572</x:v>
      </x:c>
      <x:c r="C267" s="13" t="str">
        <x:v>03</x:v>
      </x:c>
      <x:c r="D267" s="13" t="str">
        <x:v>TRILATERAL_SPLIT_MERGE</x:v>
      </x:c>
      <x:c r="E267" s="13" t="str">
        <x:v>Pending</x:v>
      </x:c>
      <x:c r="F267" s="13" t="n">
        <x:v>1</x:v>
      </x:c>
      <x:c r="G267" s="13" t="n">
        <x:v>7</x:v>
      </x:c>
      <x:c r="H267" s="13" t="n">
        <x:v>1</x:v>
      </x:c>
      <x:c r="I267" s="13" t="str">
        <x:v>0305720000</x:v>
      </x:c>
      <x:c r="J267" s="13" t="str">
        <x:v>0305720101; 0305720102; 0305720103; 0305720104; 0305720105; 0305720106; +1 more</x:v>
      </x:c>
      <x:c r="K267" s="13" t="str">
        <x:v>0305720000</x:v>
      </x:c>
      <x:c r="L267" s="13" t="str">
        <x:v>UNRESOLVED</x:v>
      </x:c>
      <x:c r="M267" s="13" t="str"/>
      <x:c r="N267" s="13" t="str">
        <x:v>NO / DEFAULT</x:v>
      </x:c>
      <x:c r="O267" s="13" t="str"/>
      <x:c r="P267" s="13" t="str">
        <x:v>NO / DEFAULT</x:v>
      </x:c>
      <x:c r="Q267" s="13" t="str"/>
      <x:c r="R267" s="13" t="str">
        <x:v>INDEPENDENT / DEFAULT</x:v>
      </x:c>
      <x:c r="S267" s="13" t="str"/>
      <x:c r="T267" s="13" t="str">
        <x:v>UNRESOLVED</x:v>
      </x:c>
      <x:c r="U267" s="13" t="str"/>
      <x:c r="V267" s="13" t="str"/>
      <x:c r="W267" s="13" t="str"/>
      <x:c r="X267" s="13" t="str">
        <x:f>IF(L267&lt;&gt;"COVERED","HELD — COVERAGE",IF(N267="YES — SENSITIVE","C ACTIONABLE","CHAPTER 5 DEFAULT"))</x:f>
        <x:v>HELD — COVERAGE</x:v>
      </x:c>
      <x:c r="Y267" s="13" t="str">
        <x:f>IF(L267&lt;&gt;"COVERED","HELD — COVERAGE",IF(P267="YES — MANAGED ACCESS","D ACTIONABLE","NO D FIELD"))</x:f>
        <x:v>HELD — COVERAGE</x:v>
      </x:c>
      <x:c r="Z267" s="13" t="str">
        <x:f>IF(L267&lt;&gt;"COVERED","HELD — COVERAGE",IF(OR(R267="PAIRED SYNCHRONIZED",R267="TRILATERAL SYNCHRONIZED"),"E ACTIONABLE","INDEPENDENT"))</x:f>
        <x:v>HELD — COVERAGE</x:v>
      </x:c>
      <x:c r="AA267" s="13" t="str">
        <x:f>IF(L267&lt;&gt;"COVERED","HELD — COVERAGE","WAIT FOR UPSTREAM COMPLETION")</x:f>
        <x:v>HELD — COVERAGE</x:v>
      </x:c>
      <x:c r="AB267" s="13" t="str">
        <x:f>IF(L267&lt;&gt;"COVERED","HELD — COVERAGE",IF(T267="UNRESOLVED","G DECISION REQUIRED",IF(T267="NOT APPLICABLE","G N/A","G ACTIONABLE")))</x:f>
        <x:v>HELD — COVERAGE</x:v>
      </x:c>
      <x:c r="AC267" s="13" t="str">
        <x:f>IF(L267="UNRESOLVED","COVERAGE FIRST",IF(OR(L267="EXCLUDED",L267="OUT OF SCOPE"),"CLOSED BY COVERAGE",IF(AND(L267="COVERED",T267&lt;&gt;"UNRESOLVED"),"PARTIALLY ADOPTED","DECISIONS REMAIN")))</x:f>
        <x:v>COVERAGE FIRST</x:v>
      </x:c>
    </x:row>
    <x:row r="268">
      <x:c r="A268" s="13" t="str">
        <x:v>NAAFTC-HS6-030579</x:v>
      </x:c>
      <x:c r="B268" s="13" t="str">
        <x:v>030579</x:v>
      </x:c>
      <x:c r="C268" s="13" t="str">
        <x:v>03</x:v>
      </x:c>
      <x:c r="D268" s="13" t="str">
        <x:v>TRILATERAL_SPLIT_MERGE</x:v>
      </x:c>
      <x:c r="E268" s="13" t="str">
        <x:v>Pending</x:v>
      </x:c>
      <x:c r="F268" s="13" t="n">
        <x:v>1</x:v>
      </x:c>
      <x:c r="G268" s="13" t="n">
        <x:v>7</x:v>
      </x:c>
      <x:c r="H268" s="13" t="n">
        <x:v>1</x:v>
      </x:c>
      <x:c r="I268" s="13" t="str">
        <x:v>0305790000</x:v>
      </x:c>
      <x:c r="J268" s="13" t="str">
        <x:v>0305799901; 0305799902; 0305799903; 0305799904; 0305799905; 0305799906; +1 more</x:v>
      </x:c>
      <x:c r="K268" s="13" t="str">
        <x:v>0305790000</x:v>
      </x:c>
      <x:c r="L268" s="13" t="str">
        <x:v>UNRESOLVED</x:v>
      </x:c>
      <x:c r="M268" s="13" t="str"/>
      <x:c r="N268" s="13" t="str">
        <x:v>NO / DEFAULT</x:v>
      </x:c>
      <x:c r="O268" s="13" t="str"/>
      <x:c r="P268" s="13" t="str">
        <x:v>NO / DEFAULT</x:v>
      </x:c>
      <x:c r="Q268" s="13" t="str"/>
      <x:c r="R268" s="13" t="str">
        <x:v>INDEPENDENT / DEFAULT</x:v>
      </x:c>
      <x:c r="S268" s="13" t="str"/>
      <x:c r="T268" s="13" t="str">
        <x:v>UNRESOLVED</x:v>
      </x:c>
      <x:c r="U268" s="13" t="str"/>
      <x:c r="V268" s="13" t="str"/>
      <x:c r="W268" s="13" t="str"/>
      <x:c r="X268" s="13" t="str">
        <x:f>IF(L268&lt;&gt;"COVERED","HELD — COVERAGE",IF(N268="YES — SENSITIVE","C ACTIONABLE","CHAPTER 5 DEFAULT"))</x:f>
        <x:v>HELD — COVERAGE</x:v>
      </x:c>
      <x:c r="Y268" s="13" t="str">
        <x:f>IF(L268&lt;&gt;"COVERED","HELD — COVERAGE",IF(P268="YES — MANAGED ACCESS","D ACTIONABLE","NO D FIELD"))</x:f>
        <x:v>HELD — COVERAGE</x:v>
      </x:c>
      <x:c r="Z268" s="13" t="str">
        <x:f>IF(L268&lt;&gt;"COVERED","HELD — COVERAGE",IF(OR(R268="PAIRED SYNCHRONIZED",R268="TRILATERAL SYNCHRONIZED"),"E ACTIONABLE","INDEPENDENT"))</x:f>
        <x:v>HELD — COVERAGE</x:v>
      </x:c>
      <x:c r="AA268" s="13" t="str">
        <x:f>IF(L268&lt;&gt;"COVERED","HELD — COVERAGE","WAIT FOR UPSTREAM COMPLETION")</x:f>
        <x:v>HELD — COVERAGE</x:v>
      </x:c>
      <x:c r="AB268" s="13" t="str">
        <x:f>IF(L268&lt;&gt;"COVERED","HELD — COVERAGE",IF(T268="UNRESOLVED","G DECISION REQUIRED",IF(T268="NOT APPLICABLE","G N/A","G ACTIONABLE")))</x:f>
        <x:v>HELD — COVERAGE</x:v>
      </x:c>
      <x:c r="AC268" s="13" t="str">
        <x:f>IF(L268="UNRESOLVED","COVERAGE FIRST",IF(OR(L268="EXCLUDED",L268="OUT OF SCOPE"),"CLOSED BY COVERAGE",IF(AND(L268="COVERED",T268&lt;&gt;"UNRESOLVED"),"PARTIALLY ADOPTED","DECISIONS REMAIN")))</x:f>
        <x:v>COVERAGE FIRST</x:v>
      </x:c>
    </x:row>
    <x:row r="269">
      <x:c r="A269" s="13" t="str">
        <x:v>NAAFTC-HS6-030611</x:v>
      </x:c>
      <x:c r="B269" s="13" t="str">
        <x:v>030611</x:v>
      </x:c>
      <x:c r="C269" s="13" t="str">
        <x:v>03</x:v>
      </x:c>
      <x:c r="D269" s="13" t="str">
        <x:v>TRILATERAL_SPLIT_MERGE</x:v>
      </x:c>
      <x:c r="E269" s="13" t="str">
        <x:v>Pending</x:v>
      </x:c>
      <x:c r="F269" s="13" t="n">
        <x:v>2</x:v>
      </x:c>
      <x:c r="G269" s="13" t="n">
        <x:v>1</x:v>
      </x:c>
      <x:c r="H269" s="13" t="n">
        <x:v>1</x:v>
      </x:c>
      <x:c r="I269" s="13" t="str">
        <x:v>0306110010; 0306110020</x:v>
      </x:c>
      <x:c r="J269" s="13" t="str">
        <x:v>0306110100</x:v>
      </x:c>
      <x:c r="K269" s="13" t="str">
        <x:v>0306110000</x:v>
      </x:c>
      <x:c r="L269" s="13" t="str">
        <x:v>UNRESOLVED</x:v>
      </x:c>
      <x:c r="M269" s="13" t="str"/>
      <x:c r="N269" s="13" t="str">
        <x:v>NO / DEFAULT</x:v>
      </x:c>
      <x:c r="O269" s="13" t="str"/>
      <x:c r="P269" s="13" t="str">
        <x:v>NO / DEFAULT</x:v>
      </x:c>
      <x:c r="Q269" s="13" t="str"/>
      <x:c r="R269" s="13" t="str">
        <x:v>INDEPENDENT / DEFAULT</x:v>
      </x:c>
      <x:c r="S269" s="13" t="str"/>
      <x:c r="T269" s="13" t="str">
        <x:v>UNRESOLVED</x:v>
      </x:c>
      <x:c r="U269" s="13" t="str"/>
      <x:c r="V269" s="13" t="str"/>
      <x:c r="W269" s="13" t="str"/>
      <x:c r="X269" s="13" t="str">
        <x:f>IF(L269&lt;&gt;"COVERED","HELD — COVERAGE",IF(N269="YES — SENSITIVE","C ACTIONABLE","CHAPTER 5 DEFAULT"))</x:f>
        <x:v>HELD — COVERAGE</x:v>
      </x:c>
      <x:c r="Y269" s="13" t="str">
        <x:f>IF(L269&lt;&gt;"COVERED","HELD — COVERAGE",IF(P269="YES — MANAGED ACCESS","D ACTIONABLE","NO D FIELD"))</x:f>
        <x:v>HELD — COVERAGE</x:v>
      </x:c>
      <x:c r="Z269" s="13" t="str">
        <x:f>IF(L269&lt;&gt;"COVERED","HELD — COVERAGE",IF(OR(R269="PAIRED SYNCHRONIZED",R269="TRILATERAL SYNCHRONIZED"),"E ACTIONABLE","INDEPENDENT"))</x:f>
        <x:v>HELD — COVERAGE</x:v>
      </x:c>
      <x:c r="AA269" s="13" t="str">
        <x:f>IF(L269&lt;&gt;"COVERED","HELD — COVERAGE","WAIT FOR UPSTREAM COMPLETION")</x:f>
        <x:v>HELD — COVERAGE</x:v>
      </x:c>
      <x:c r="AB269" s="13" t="str">
        <x:f>IF(L269&lt;&gt;"COVERED","HELD — COVERAGE",IF(T269="UNRESOLVED","G DECISION REQUIRED",IF(T269="NOT APPLICABLE","G N/A","G ACTIONABLE")))</x:f>
        <x:v>HELD — COVERAGE</x:v>
      </x:c>
      <x:c r="AC269" s="13" t="str">
        <x:f>IF(L269="UNRESOLVED","COVERAGE FIRST",IF(OR(L269="EXCLUDED",L269="OUT OF SCOPE"),"CLOSED BY COVERAGE",IF(AND(L269="COVERED",T269&lt;&gt;"UNRESOLVED"),"PARTIALLY ADOPTED","DECISIONS REMAIN")))</x:f>
        <x:v>COVERAGE FIRST</x:v>
      </x:c>
    </x:row>
    <x:row r="270">
      <x:c r="A270" s="13" t="str">
        <x:v>NAAFTC-HS6-030612</x:v>
      </x:c>
      <x:c r="B270" s="13" t="str">
        <x:v>030612</x:v>
      </x:c>
      <x:c r="C270" s="13" t="str">
        <x:v>03</x:v>
      </x:c>
      <x:c r="D270" s="13" t="str">
        <x:v>TRILATERAL_SPLIT_MERGE</x:v>
      </x:c>
      <x:c r="E270" s="13" t="str">
        <x:v>Pending</x:v>
      </x:c>
      <x:c r="F270" s="13" t="n">
        <x:v>4</x:v>
      </x:c>
      <x:c r="G270" s="13" t="n">
        <x:v>1</x:v>
      </x:c>
      <x:c r="H270" s="13" t="n">
        <x:v>2</x:v>
      </x:c>
      <x:c r="I270" s="13" t="str">
        <x:v>0306120010; 0306120030; 0306120050; 0306120070</x:v>
      </x:c>
      <x:c r="J270" s="13" t="str">
        <x:v>0306120100</x:v>
      </x:c>
      <x:c r="K270" s="13" t="str">
        <x:v>0306121000; 0306129000</x:v>
      </x:c>
      <x:c r="L270" s="13" t="str">
        <x:v>UNRESOLVED</x:v>
      </x:c>
      <x:c r="M270" s="13" t="str"/>
      <x:c r="N270" s="13" t="str">
        <x:v>NO / DEFAULT</x:v>
      </x:c>
      <x:c r="O270" s="13" t="str"/>
      <x:c r="P270" s="13" t="str">
        <x:v>NO / DEFAULT</x:v>
      </x:c>
      <x:c r="Q270" s="13" t="str"/>
      <x:c r="R270" s="13" t="str">
        <x:v>INDEPENDENT / DEFAULT</x:v>
      </x:c>
      <x:c r="S270" s="13" t="str"/>
      <x:c r="T270" s="13" t="str">
        <x:v>UNRESOLVED</x:v>
      </x:c>
      <x:c r="U270" s="13" t="str"/>
      <x:c r="V270" s="13" t="str"/>
      <x:c r="W270" s="13" t="str"/>
      <x:c r="X270" s="13" t="str">
        <x:f>IF(L270&lt;&gt;"COVERED","HELD — COVERAGE",IF(N270="YES — SENSITIVE","C ACTIONABLE","CHAPTER 5 DEFAULT"))</x:f>
        <x:v>HELD — COVERAGE</x:v>
      </x:c>
      <x:c r="Y270" s="13" t="str">
        <x:f>IF(L270&lt;&gt;"COVERED","HELD — COVERAGE",IF(P270="YES — MANAGED ACCESS","D ACTIONABLE","NO D FIELD"))</x:f>
        <x:v>HELD — COVERAGE</x:v>
      </x:c>
      <x:c r="Z270" s="13" t="str">
        <x:f>IF(L270&lt;&gt;"COVERED","HELD — COVERAGE",IF(OR(R270="PAIRED SYNCHRONIZED",R270="TRILATERAL SYNCHRONIZED"),"E ACTIONABLE","INDEPENDENT"))</x:f>
        <x:v>HELD — COVERAGE</x:v>
      </x:c>
      <x:c r="AA270" s="13" t="str">
        <x:f>IF(L270&lt;&gt;"COVERED","HELD — COVERAGE","WAIT FOR UPSTREAM COMPLETION")</x:f>
        <x:v>HELD — COVERAGE</x:v>
      </x:c>
      <x:c r="AB270" s="13" t="str">
        <x:f>IF(L270&lt;&gt;"COVERED","HELD — COVERAGE",IF(T270="UNRESOLVED","G DECISION REQUIRED",IF(T270="NOT APPLICABLE","G N/A","G ACTIONABLE")))</x:f>
        <x:v>HELD — COVERAGE</x:v>
      </x:c>
      <x:c r="AC270" s="13" t="str">
        <x:f>IF(L270="UNRESOLVED","COVERAGE FIRST",IF(OR(L270="EXCLUDED",L270="OUT OF SCOPE"),"CLOSED BY COVERAGE",IF(AND(L270="COVERED",T270&lt;&gt;"UNRESOLVED"),"PARTIALLY ADOPTED","DECISIONS REMAIN")))</x:f>
        <x:v>COVERAGE FIRST</x:v>
      </x:c>
    </x:row>
    <x:row r="271">
      <x:c r="A271" s="13" t="str">
        <x:v>NAAFTC-HS6-030614</x:v>
      </x:c>
      <x:c r="B271" s="13" t="str">
        <x:v>030614</x:v>
      </x:c>
      <x:c r="C271" s="13" t="str">
        <x:v>03</x:v>
      </x:c>
      <x:c r="D271" s="13" t="str">
        <x:v>TRILATERAL_SPLIT_MERGE</x:v>
      </x:c>
      <x:c r="E271" s="13" t="str">
        <x:v>Pending</x:v>
      </x:c>
      <x:c r="F271" s="13" t="n">
        <x:v>9</x:v>
      </x:c>
      <x:c r="G271" s="13" t="n">
        <x:v>1</x:v>
      </x:c>
      <x:c r="H271" s="13" t="n">
        <x:v>2</x:v>
      </x:c>
      <x:c r="I271" s="13" t="str">
        <x:v>0306142000; 0306144003; 0306144006; 0306144009; 0306144012; 0306144015; +3 more</x:v>
      </x:c>
      <x:c r="J271" s="13" t="str">
        <x:v>0306140100</x:v>
      </x:c>
      <x:c r="K271" s="13" t="str">
        <x:v>0306141000; 03061490</x:v>
      </x:c>
      <x:c r="L271" s="13" t="str">
        <x:v>UNRESOLVED</x:v>
      </x:c>
      <x:c r="M271" s="13" t="str"/>
      <x:c r="N271" s="13" t="str">
        <x:v>NO / DEFAULT</x:v>
      </x:c>
      <x:c r="O271" s="13" t="str"/>
      <x:c r="P271" s="13" t="str">
        <x:v>NO / DEFAULT</x:v>
      </x:c>
      <x:c r="Q271" s="13" t="str"/>
      <x:c r="R271" s="13" t="str">
        <x:v>INDEPENDENT / DEFAULT</x:v>
      </x:c>
      <x:c r="S271" s="13" t="str"/>
      <x:c r="T271" s="13" t="str">
        <x:v>UNRESOLVED</x:v>
      </x:c>
      <x:c r="U271" s="13" t="str"/>
      <x:c r="V271" s="13" t="str"/>
      <x:c r="W271" s="13" t="str"/>
      <x:c r="X271" s="13" t="str">
        <x:f>IF(L271&lt;&gt;"COVERED","HELD — COVERAGE",IF(N271="YES — SENSITIVE","C ACTIONABLE","CHAPTER 5 DEFAULT"))</x:f>
        <x:v>HELD — COVERAGE</x:v>
      </x:c>
      <x:c r="Y271" s="13" t="str">
        <x:f>IF(L271&lt;&gt;"COVERED","HELD — COVERAGE",IF(P271="YES — MANAGED ACCESS","D ACTIONABLE","NO D FIELD"))</x:f>
        <x:v>HELD — COVERAGE</x:v>
      </x:c>
      <x:c r="Z271" s="13" t="str">
        <x:f>IF(L271&lt;&gt;"COVERED","HELD — COVERAGE",IF(OR(R271="PAIRED SYNCHRONIZED",R271="TRILATERAL SYNCHRONIZED"),"E ACTIONABLE","INDEPENDENT"))</x:f>
        <x:v>HELD — COVERAGE</x:v>
      </x:c>
      <x:c r="AA271" s="13" t="str">
        <x:f>IF(L271&lt;&gt;"COVERED","HELD — COVERAGE","WAIT FOR UPSTREAM COMPLETION")</x:f>
        <x:v>HELD — COVERAGE</x:v>
      </x:c>
      <x:c r="AB271" s="13" t="str">
        <x:f>IF(L271&lt;&gt;"COVERED","HELD — COVERAGE",IF(T271="UNRESOLVED","G DECISION REQUIRED",IF(T271="NOT APPLICABLE","G N/A","G ACTIONABLE")))</x:f>
        <x:v>HELD — COVERAGE</x:v>
      </x:c>
      <x:c r="AC271" s="13" t="str">
        <x:f>IF(L271="UNRESOLVED","COVERAGE FIRST",IF(OR(L271="EXCLUDED",L271="OUT OF SCOPE"),"CLOSED BY COVERAGE",IF(AND(L271="COVERED",T271&lt;&gt;"UNRESOLVED"),"PARTIALLY ADOPTED","DECISIONS REMAIN")))</x:f>
        <x:v>COVERAGE FIRST</x:v>
      </x:c>
    </x:row>
    <x:row r="272">
      <x:c r="A272" s="13" t="str">
        <x:v>NAAFTC-HS6-030615</x:v>
      </x:c>
      <x:c r="B272" s="13" t="str">
        <x:v>030615</x:v>
      </x:c>
      <x:c r="C272" s="13" t="str">
        <x:v>03</x:v>
      </x:c>
      <x:c r="D272" s="13" t="str">
        <x:v>TRILATERAL_1_TO_1_TO_1</x:v>
      </x:c>
      <x:c r="E272" s="13" t="str">
        <x:v>Pending</x:v>
      </x:c>
      <x:c r="F272" s="13" t="n">
        <x:v>1</x:v>
      </x:c>
      <x:c r="G272" s="13" t="n">
        <x:v>1</x:v>
      </x:c>
      <x:c r="H272" s="13" t="n">
        <x:v>1</x:v>
      </x:c>
      <x:c r="I272" s="13" t="str">
        <x:v>0306150000</x:v>
      </x:c>
      <x:c r="J272" s="13" t="str">
        <x:v>0306150100</x:v>
      </x:c>
      <x:c r="K272" s="13" t="str">
        <x:v>0306150000</x:v>
      </x:c>
      <x:c r="L272" s="13" t="str">
        <x:v>UNRESOLVED</x:v>
      </x:c>
      <x:c r="M272" s="13" t="str"/>
      <x:c r="N272" s="13" t="str">
        <x:v>NO / DEFAULT</x:v>
      </x:c>
      <x:c r="O272" s="13" t="str"/>
      <x:c r="P272" s="13" t="str">
        <x:v>NO / DEFAULT</x:v>
      </x:c>
      <x:c r="Q272" s="13" t="str"/>
      <x:c r="R272" s="13" t="str">
        <x:v>INDEPENDENT / DEFAULT</x:v>
      </x:c>
      <x:c r="S272" s="13" t="str"/>
      <x:c r="T272" s="13" t="str">
        <x:v>UNRESOLVED</x:v>
      </x:c>
      <x:c r="U272" s="13" t="str"/>
      <x:c r="V272" s="13" t="str"/>
      <x:c r="W272" s="13" t="str"/>
      <x:c r="X272" s="13" t="str">
        <x:f>IF(L272&lt;&gt;"COVERED","HELD — COVERAGE",IF(N272="YES — SENSITIVE","C ACTIONABLE","CHAPTER 5 DEFAULT"))</x:f>
        <x:v>HELD — COVERAGE</x:v>
      </x:c>
      <x:c r="Y272" s="13" t="str">
        <x:f>IF(L272&lt;&gt;"COVERED","HELD — COVERAGE",IF(P272="YES — MANAGED ACCESS","D ACTIONABLE","NO D FIELD"))</x:f>
        <x:v>HELD — COVERAGE</x:v>
      </x:c>
      <x:c r="Z272" s="13" t="str">
        <x:f>IF(L272&lt;&gt;"COVERED","HELD — COVERAGE",IF(OR(R272="PAIRED SYNCHRONIZED",R272="TRILATERAL SYNCHRONIZED"),"E ACTIONABLE","INDEPENDENT"))</x:f>
        <x:v>HELD — COVERAGE</x:v>
      </x:c>
      <x:c r="AA272" s="13" t="str">
        <x:f>IF(L272&lt;&gt;"COVERED","HELD — COVERAGE","WAIT FOR UPSTREAM COMPLETION")</x:f>
        <x:v>HELD — COVERAGE</x:v>
      </x:c>
      <x:c r="AB272" s="13" t="str">
        <x:f>IF(L272&lt;&gt;"COVERED","HELD — COVERAGE",IF(T272="UNRESOLVED","G DECISION REQUIRED",IF(T272="NOT APPLICABLE","G N/A","G ACTIONABLE")))</x:f>
        <x:v>HELD — COVERAGE</x:v>
      </x:c>
      <x:c r="AC272" s="13" t="str">
        <x:f>IF(L272="UNRESOLVED","COVERAGE FIRST",IF(OR(L272="EXCLUDED",L272="OUT OF SCOPE"),"CLOSED BY COVERAGE",IF(AND(L272="COVERED",T272&lt;&gt;"UNRESOLVED"),"PARTIALLY ADOPTED","DECISIONS REMAIN")))</x:f>
        <x:v>COVERAGE FIRST</x:v>
      </x:c>
    </x:row>
    <x:row r="273">
      <x:c r="A273" s="13" t="str">
        <x:v>NAAFTC-HS6-030616</x:v>
      </x:c>
      <x:c r="B273" s="13" t="str">
        <x:v>030616</x:v>
      </x:c>
      <x:c r="C273" s="13" t="str">
        <x:v>03</x:v>
      </x:c>
      <x:c r="D273" s="13" t="str">
        <x:v>TRILATERAL_SPLIT_MERGE</x:v>
      </x:c>
      <x:c r="E273" s="13" t="str">
        <x:v>Pending</x:v>
      </x:c>
      <x:c r="F273" s="13" t="n">
        <x:v>10</x:v>
      </x:c>
      <x:c r="G273" s="13" t="n">
        <x:v>1</x:v>
      </x:c>
      <x:c r="H273" s="13" t="n">
        <x:v>1</x:v>
      </x:c>
      <x:c r="I273" s="13" t="str">
        <x:v>0306160003; 0306160006; 0306160009; 0306160012; 0306160015; 0306160018; +4 more</x:v>
      </x:c>
      <x:c r="J273" s="13" t="str">
        <x:v>0306160100</x:v>
      </x:c>
      <x:c r="K273" s="13" t="str">
        <x:v>0306160000</x:v>
      </x:c>
      <x:c r="L273" s="13" t="str">
        <x:v>UNRESOLVED</x:v>
      </x:c>
      <x:c r="M273" s="13" t="str"/>
      <x:c r="N273" s="13" t="str">
        <x:v>NO / DEFAULT</x:v>
      </x:c>
      <x:c r="O273" s="13" t="str"/>
      <x:c r="P273" s="13" t="str">
        <x:v>NO / DEFAULT</x:v>
      </x:c>
      <x:c r="Q273" s="13" t="str"/>
      <x:c r="R273" s="13" t="str">
        <x:v>INDEPENDENT / DEFAULT</x:v>
      </x:c>
      <x:c r="S273" s="13" t="str"/>
      <x:c r="T273" s="13" t="str">
        <x:v>UNRESOLVED</x:v>
      </x:c>
      <x:c r="U273" s="13" t="str"/>
      <x:c r="V273" s="13" t="str"/>
      <x:c r="W273" s="13" t="str"/>
      <x:c r="X273" s="13" t="str">
        <x:f>IF(L273&lt;&gt;"COVERED","HELD — COVERAGE",IF(N273="YES — SENSITIVE","C ACTIONABLE","CHAPTER 5 DEFAULT"))</x:f>
        <x:v>HELD — COVERAGE</x:v>
      </x:c>
      <x:c r="Y273" s="13" t="str">
        <x:f>IF(L273&lt;&gt;"COVERED","HELD — COVERAGE",IF(P273="YES — MANAGED ACCESS","D ACTIONABLE","NO D FIELD"))</x:f>
        <x:v>HELD — COVERAGE</x:v>
      </x:c>
      <x:c r="Z273" s="13" t="str">
        <x:f>IF(L273&lt;&gt;"COVERED","HELD — COVERAGE",IF(OR(R273="PAIRED SYNCHRONIZED",R273="TRILATERAL SYNCHRONIZED"),"E ACTIONABLE","INDEPENDENT"))</x:f>
        <x:v>HELD — COVERAGE</x:v>
      </x:c>
      <x:c r="AA273" s="13" t="str">
        <x:f>IF(L273&lt;&gt;"COVERED","HELD — COVERAGE","WAIT FOR UPSTREAM COMPLETION")</x:f>
        <x:v>HELD — COVERAGE</x:v>
      </x:c>
      <x:c r="AB273" s="13" t="str">
        <x:f>IF(L273&lt;&gt;"COVERED","HELD — COVERAGE",IF(T273="UNRESOLVED","G DECISION REQUIRED",IF(T273="NOT APPLICABLE","G N/A","G ACTIONABLE")))</x:f>
        <x:v>HELD — COVERAGE</x:v>
      </x:c>
      <x:c r="AC273" s="13" t="str">
        <x:f>IF(L273="UNRESOLVED","COVERAGE FIRST",IF(OR(L273="EXCLUDED",L273="OUT OF SCOPE"),"CLOSED BY COVERAGE",IF(AND(L273="COVERED",T273&lt;&gt;"UNRESOLVED"),"PARTIALLY ADOPTED","DECISIONS REMAIN")))</x:f>
        <x:v>COVERAGE FIRST</x:v>
      </x:c>
    </x:row>
    <x:row r="274">
      <x:c r="A274" s="13" t="str">
        <x:v>NAAFTC-HS6-030617</x:v>
      </x:c>
      <x:c r="B274" s="13" t="str">
        <x:v>030617</x:v>
      </x:c>
      <x:c r="C274" s="13" t="str">
        <x:v>03</x:v>
      </x:c>
      <x:c r="D274" s="13" t="str">
        <x:v>TRILATERAL_SPLIT_MERGE</x:v>
      </x:c>
      <x:c r="E274" s="13" t="str">
        <x:v>Pending</x:v>
      </x:c>
      <x:c r="F274" s="13" t="n">
        <x:v>20</x:v>
      </x:c>
      <x:c r="G274" s="13" t="n">
        <x:v>1</x:v>
      </x:c>
      <x:c r="H274" s="13" t="n">
        <x:v>1</x:v>
      </x:c>
      <x:c r="I274" s="13" t="str">
        <x:v>0306170004; 0306170005; 0306170007; 0306170008; 0306170010; 0306170011; +14 more</x:v>
      </x:c>
      <x:c r="J274" s="13" t="str">
        <x:v>0306179100</x:v>
      </x:c>
      <x:c r="K274" s="13" t="str">
        <x:v>03061700</x:v>
      </x:c>
      <x:c r="L274" s="13" t="str">
        <x:v>UNRESOLVED</x:v>
      </x:c>
      <x:c r="M274" s="13" t="str"/>
      <x:c r="N274" s="13" t="str">
        <x:v>NO / DEFAULT</x:v>
      </x:c>
      <x:c r="O274" s="13" t="str"/>
      <x:c r="P274" s="13" t="str">
        <x:v>NO / DEFAULT</x:v>
      </x:c>
      <x:c r="Q274" s="13" t="str"/>
      <x:c r="R274" s="13" t="str">
        <x:v>INDEPENDENT / DEFAULT</x:v>
      </x:c>
      <x:c r="S274" s="13" t="str"/>
      <x:c r="T274" s="13" t="str">
        <x:v>UNRESOLVED</x:v>
      </x:c>
      <x:c r="U274" s="13" t="str"/>
      <x:c r="V274" s="13" t="str"/>
      <x:c r="W274" s="13" t="str"/>
      <x:c r="X274" s="13" t="str">
        <x:f>IF(L274&lt;&gt;"COVERED","HELD — COVERAGE",IF(N274="YES — SENSITIVE","C ACTIONABLE","CHAPTER 5 DEFAULT"))</x:f>
        <x:v>HELD — COVERAGE</x:v>
      </x:c>
      <x:c r="Y274" s="13" t="str">
        <x:f>IF(L274&lt;&gt;"COVERED","HELD — COVERAGE",IF(P274="YES — MANAGED ACCESS","D ACTIONABLE","NO D FIELD"))</x:f>
        <x:v>HELD — COVERAGE</x:v>
      </x:c>
      <x:c r="Z274" s="13" t="str">
        <x:f>IF(L274&lt;&gt;"COVERED","HELD — COVERAGE",IF(OR(R274="PAIRED SYNCHRONIZED",R274="TRILATERAL SYNCHRONIZED"),"E ACTIONABLE","INDEPENDENT"))</x:f>
        <x:v>HELD — COVERAGE</x:v>
      </x:c>
      <x:c r="AA274" s="13" t="str">
        <x:f>IF(L274&lt;&gt;"COVERED","HELD — COVERAGE","WAIT FOR UPSTREAM COMPLETION")</x:f>
        <x:v>HELD — COVERAGE</x:v>
      </x:c>
      <x:c r="AB274" s="13" t="str">
        <x:f>IF(L274&lt;&gt;"COVERED","HELD — COVERAGE",IF(T274="UNRESOLVED","G DECISION REQUIRED",IF(T274="NOT APPLICABLE","G N/A","G ACTIONABLE")))</x:f>
        <x:v>HELD — COVERAGE</x:v>
      </x:c>
      <x:c r="AC274" s="13" t="str">
        <x:f>IF(L274="UNRESOLVED","COVERAGE FIRST",IF(OR(L274="EXCLUDED",L274="OUT OF SCOPE"),"CLOSED BY COVERAGE",IF(AND(L274="COVERED",T274&lt;&gt;"UNRESOLVED"),"PARTIALLY ADOPTED","DECISIONS REMAIN")))</x:f>
        <x:v>COVERAGE FIRST</x:v>
      </x:c>
    </x:row>
    <x:row r="275">
      <x:c r="A275" s="13" t="str">
        <x:v>NAAFTC-HS6-030619</x:v>
      </x:c>
      <x:c r="B275" s="13" t="str">
        <x:v>030619</x:v>
      </x:c>
      <x:c r="C275" s="13" t="str">
        <x:v>03</x:v>
      </x:c>
      <x:c r="D275" s="13" t="str">
        <x:v>TRILATERAL_SPLIT_MERGE</x:v>
      </x:c>
      <x:c r="E275" s="13" t="str">
        <x:v>Pending</x:v>
      </x:c>
      <x:c r="F275" s="13" t="n">
        <x:v>3</x:v>
      </x:c>
      <x:c r="G275" s="13" t="n">
        <x:v>1</x:v>
      </x:c>
      <x:c r="H275" s="13" t="n">
        <x:v>1</x:v>
      </x:c>
      <x:c r="I275" s="13" t="str">
        <x:v>0306190110; 0306190130; 0306190161</x:v>
      </x:c>
      <x:c r="J275" s="13" t="str">
        <x:v>0306199900</x:v>
      </x:c>
      <x:c r="K275" s="13" t="str">
        <x:v>0306190000</x:v>
      </x:c>
      <x:c r="L275" s="13" t="str">
        <x:v>UNRESOLVED</x:v>
      </x:c>
      <x:c r="M275" s="13" t="str"/>
      <x:c r="N275" s="13" t="str">
        <x:v>NO / DEFAULT</x:v>
      </x:c>
      <x:c r="O275" s="13" t="str"/>
      <x:c r="P275" s="13" t="str">
        <x:v>NO / DEFAULT</x:v>
      </x:c>
      <x:c r="Q275" s="13" t="str"/>
      <x:c r="R275" s="13" t="str">
        <x:v>INDEPENDENT / DEFAULT</x:v>
      </x:c>
      <x:c r="S275" s="13" t="str"/>
      <x:c r="T275" s="13" t="str">
        <x:v>UNRESOLVED</x:v>
      </x:c>
      <x:c r="U275" s="13" t="str"/>
      <x:c r="V275" s="13" t="str"/>
      <x:c r="W275" s="13" t="str"/>
      <x:c r="X275" s="13" t="str">
        <x:f>IF(L275&lt;&gt;"COVERED","HELD — COVERAGE",IF(N275="YES — SENSITIVE","C ACTIONABLE","CHAPTER 5 DEFAULT"))</x:f>
        <x:v>HELD — COVERAGE</x:v>
      </x:c>
      <x:c r="Y275" s="13" t="str">
        <x:f>IF(L275&lt;&gt;"COVERED","HELD — COVERAGE",IF(P275="YES — MANAGED ACCESS","D ACTIONABLE","NO D FIELD"))</x:f>
        <x:v>HELD — COVERAGE</x:v>
      </x:c>
      <x:c r="Z275" s="13" t="str">
        <x:f>IF(L275&lt;&gt;"COVERED","HELD — COVERAGE",IF(OR(R275="PAIRED SYNCHRONIZED",R275="TRILATERAL SYNCHRONIZED"),"E ACTIONABLE","INDEPENDENT"))</x:f>
        <x:v>HELD — COVERAGE</x:v>
      </x:c>
      <x:c r="AA275" s="13" t="str">
        <x:f>IF(L275&lt;&gt;"COVERED","HELD — COVERAGE","WAIT FOR UPSTREAM COMPLETION")</x:f>
        <x:v>HELD — COVERAGE</x:v>
      </x:c>
      <x:c r="AB275" s="13" t="str">
        <x:f>IF(L275&lt;&gt;"COVERED","HELD — COVERAGE",IF(T275="UNRESOLVED","G DECISION REQUIRED",IF(T275="NOT APPLICABLE","G N/A","G ACTIONABLE")))</x:f>
        <x:v>HELD — COVERAGE</x:v>
      </x:c>
      <x:c r="AC275" s="13" t="str">
        <x:f>IF(L275="UNRESOLVED","COVERAGE FIRST",IF(OR(L275="EXCLUDED",L275="OUT OF SCOPE"),"CLOSED BY COVERAGE",IF(AND(L275="COVERED",T275&lt;&gt;"UNRESOLVED"),"PARTIALLY ADOPTED","DECISIONS REMAIN")))</x:f>
        <x:v>COVERAGE FIRST</x:v>
      </x:c>
    </x:row>
    <x:row r="276">
      <x:c r="A276" s="13" t="str">
        <x:v>NAAFTC-HS6-030631</x:v>
      </x:c>
      <x:c r="B276" s="13" t="str">
        <x:v>030631</x:v>
      </x:c>
      <x:c r="C276" s="13" t="str">
        <x:v>03</x:v>
      </x:c>
      <x:c r="D276" s="13" t="str">
        <x:v>TRILATERAL_1_TO_1_TO_1</x:v>
      </x:c>
      <x:c r="E276" s="13" t="str">
        <x:v>Pending</x:v>
      </x:c>
      <x:c r="F276" s="13" t="n">
        <x:v>1</x:v>
      </x:c>
      <x:c r="G276" s="13" t="n">
        <x:v>1</x:v>
      </x:c>
      <x:c r="H276" s="13" t="n">
        <x:v>1</x:v>
      </x:c>
      <x:c r="I276" s="13" t="str">
        <x:v>0306310000</x:v>
      </x:c>
      <x:c r="J276" s="13" t="str">
        <x:v>0306310100</x:v>
      </x:c>
      <x:c r="K276" s="13" t="str">
        <x:v>0306310000</x:v>
      </x:c>
      <x:c r="L276" s="13" t="str">
        <x:v>UNRESOLVED</x:v>
      </x:c>
      <x:c r="M276" s="13" t="str"/>
      <x:c r="N276" s="13" t="str">
        <x:v>NO / DEFAULT</x:v>
      </x:c>
      <x:c r="O276" s="13" t="str"/>
      <x:c r="P276" s="13" t="str">
        <x:v>NO / DEFAULT</x:v>
      </x:c>
      <x:c r="Q276" s="13" t="str"/>
      <x:c r="R276" s="13" t="str">
        <x:v>INDEPENDENT / DEFAULT</x:v>
      </x:c>
      <x:c r="S276" s="13" t="str"/>
      <x:c r="T276" s="13" t="str">
        <x:v>UNRESOLVED</x:v>
      </x:c>
      <x:c r="U276" s="13" t="str"/>
      <x:c r="V276" s="13" t="str"/>
      <x:c r="W276" s="13" t="str"/>
      <x:c r="X276" s="13" t="str">
        <x:f>IF(L276&lt;&gt;"COVERED","HELD — COVERAGE",IF(N276="YES — SENSITIVE","C ACTIONABLE","CHAPTER 5 DEFAULT"))</x:f>
        <x:v>HELD — COVERAGE</x:v>
      </x:c>
      <x:c r="Y276" s="13" t="str">
        <x:f>IF(L276&lt;&gt;"COVERED","HELD — COVERAGE",IF(P276="YES — MANAGED ACCESS","D ACTIONABLE","NO D FIELD"))</x:f>
        <x:v>HELD — COVERAGE</x:v>
      </x:c>
      <x:c r="Z276" s="13" t="str">
        <x:f>IF(L276&lt;&gt;"COVERED","HELD — COVERAGE",IF(OR(R276="PAIRED SYNCHRONIZED",R276="TRILATERAL SYNCHRONIZED"),"E ACTIONABLE","INDEPENDENT"))</x:f>
        <x:v>HELD — COVERAGE</x:v>
      </x:c>
      <x:c r="AA276" s="13" t="str">
        <x:f>IF(L276&lt;&gt;"COVERED","HELD — COVERAGE","WAIT FOR UPSTREAM COMPLETION")</x:f>
        <x:v>HELD — COVERAGE</x:v>
      </x:c>
      <x:c r="AB276" s="13" t="str">
        <x:f>IF(L276&lt;&gt;"COVERED","HELD — COVERAGE",IF(T276="UNRESOLVED","G DECISION REQUIRED",IF(T276="NOT APPLICABLE","G N/A","G ACTIONABLE")))</x:f>
        <x:v>HELD — COVERAGE</x:v>
      </x:c>
      <x:c r="AC276" s="13" t="str">
        <x:f>IF(L276="UNRESOLVED","COVERAGE FIRST",IF(OR(L276="EXCLUDED",L276="OUT OF SCOPE"),"CLOSED BY COVERAGE",IF(AND(L276="COVERED",T276&lt;&gt;"UNRESOLVED"),"PARTIALLY ADOPTED","DECISIONS REMAIN")))</x:f>
        <x:v>COVERAGE FIRST</x:v>
      </x:c>
    </x:row>
    <x:row r="277">
      <x:c r="A277" s="13" t="str">
        <x:v>NAAFTC-HS6-030632</x:v>
      </x:c>
      <x:c r="B277" s="13" t="str">
        <x:v>030632</x:v>
      </x:c>
      <x:c r="C277" s="13" t="str">
        <x:v>03</x:v>
      </x:c>
      <x:c r="D277" s="13" t="str">
        <x:v>TRILATERAL_SPLIT_MERGE</x:v>
      </x:c>
      <x:c r="E277" s="13" t="str">
        <x:v>Pending</x:v>
      </x:c>
      <x:c r="F277" s="13" t="n">
        <x:v>2</x:v>
      </x:c>
      <x:c r="G277" s="13" t="n">
        <x:v>1</x:v>
      </x:c>
      <x:c r="H277" s="13" t="n">
        <x:v>1</x:v>
      </x:c>
      <x:c r="I277" s="13" t="str">
        <x:v>0306320010; 0306320090</x:v>
      </x:c>
      <x:c r="J277" s="13" t="str">
        <x:v>0306320100</x:v>
      </x:c>
      <x:c r="K277" s="13" t="str">
        <x:v>03063200</x:v>
      </x:c>
      <x:c r="L277" s="13" t="str">
        <x:v>UNRESOLVED</x:v>
      </x:c>
      <x:c r="M277" s="13" t="str"/>
      <x:c r="N277" s="13" t="str">
        <x:v>NO / DEFAULT</x:v>
      </x:c>
      <x:c r="O277" s="13" t="str"/>
      <x:c r="P277" s="13" t="str">
        <x:v>NO / DEFAULT</x:v>
      </x:c>
      <x:c r="Q277" s="13" t="str"/>
      <x:c r="R277" s="13" t="str">
        <x:v>INDEPENDENT / DEFAULT</x:v>
      </x:c>
      <x:c r="S277" s="13" t="str"/>
      <x:c r="T277" s="13" t="str">
        <x:v>UNRESOLVED</x:v>
      </x:c>
      <x:c r="U277" s="13" t="str"/>
      <x:c r="V277" s="13" t="str"/>
      <x:c r="W277" s="13" t="str"/>
      <x:c r="X277" s="13" t="str">
        <x:f>IF(L277&lt;&gt;"COVERED","HELD — COVERAGE",IF(N277="YES — SENSITIVE","C ACTIONABLE","CHAPTER 5 DEFAULT"))</x:f>
        <x:v>HELD — COVERAGE</x:v>
      </x:c>
      <x:c r="Y277" s="13" t="str">
        <x:f>IF(L277&lt;&gt;"COVERED","HELD — COVERAGE",IF(P277="YES — MANAGED ACCESS","D ACTIONABLE","NO D FIELD"))</x:f>
        <x:v>HELD — COVERAGE</x:v>
      </x:c>
      <x:c r="Z277" s="13" t="str">
        <x:f>IF(L277&lt;&gt;"COVERED","HELD — COVERAGE",IF(OR(R277="PAIRED SYNCHRONIZED",R277="TRILATERAL SYNCHRONIZED"),"E ACTIONABLE","INDEPENDENT"))</x:f>
        <x:v>HELD — COVERAGE</x:v>
      </x:c>
      <x:c r="AA277" s="13" t="str">
        <x:f>IF(L277&lt;&gt;"COVERED","HELD — COVERAGE","WAIT FOR UPSTREAM COMPLETION")</x:f>
        <x:v>HELD — COVERAGE</x:v>
      </x:c>
      <x:c r="AB277" s="13" t="str">
        <x:f>IF(L277&lt;&gt;"COVERED","HELD — COVERAGE",IF(T277="UNRESOLVED","G DECISION REQUIRED",IF(T277="NOT APPLICABLE","G N/A","G ACTIONABLE")))</x:f>
        <x:v>HELD — COVERAGE</x:v>
      </x:c>
      <x:c r="AC277" s="13" t="str">
        <x:f>IF(L277="UNRESOLVED","COVERAGE FIRST",IF(OR(L277="EXCLUDED",L277="OUT OF SCOPE"),"CLOSED BY COVERAGE",IF(AND(L277="COVERED",T277&lt;&gt;"UNRESOLVED"),"PARTIALLY ADOPTED","DECISIONS REMAIN")))</x:f>
        <x:v>COVERAGE FIRST</x:v>
      </x:c>
    </x:row>
    <x:row r="278">
      <x:c r="A278" s="13" t="str">
        <x:v>NAAFTC-HS6-030633</x:v>
      </x:c>
      <x:c r="B278" s="13" t="str">
        <x:v>030633</x:v>
      </x:c>
      <x:c r="C278" s="13" t="str">
        <x:v>03</x:v>
      </x:c>
      <x:c r="D278" s="13" t="str">
        <x:v>TRILATERAL_SPLIT_MERGE</x:v>
      </x:c>
      <x:c r="E278" s="13" t="str">
        <x:v>Pending</x:v>
      </x:c>
      <x:c r="F278" s="13" t="n">
        <x:v>2</x:v>
      </x:c>
      <x:c r="G278" s="13" t="n">
        <x:v>1</x:v>
      </x:c>
      <x:c r="H278" s="13" t="n">
        <x:v>1</x:v>
      </x:c>
      <x:c r="I278" s="13" t="str">
        <x:v>0306332000; 0306334000</x:v>
      </x:c>
      <x:c r="J278" s="13" t="str">
        <x:v>0306330100</x:v>
      </x:c>
      <x:c r="K278" s="13" t="str">
        <x:v>0306330000</x:v>
      </x:c>
      <x:c r="L278" s="13" t="str">
        <x:v>UNRESOLVED</x:v>
      </x:c>
      <x:c r="M278" s="13" t="str"/>
      <x:c r="N278" s="13" t="str">
        <x:v>NO / DEFAULT</x:v>
      </x:c>
      <x:c r="O278" s="13" t="str"/>
      <x:c r="P278" s="13" t="str">
        <x:v>NO / DEFAULT</x:v>
      </x:c>
      <x:c r="Q278" s="13" t="str"/>
      <x:c r="R278" s="13" t="str">
        <x:v>INDEPENDENT / DEFAULT</x:v>
      </x:c>
      <x:c r="S278" s="13" t="str"/>
      <x:c r="T278" s="13" t="str">
        <x:v>UNRESOLVED</x:v>
      </x:c>
      <x:c r="U278" s="13" t="str"/>
      <x:c r="V278" s="13" t="str"/>
      <x:c r="W278" s="13" t="str"/>
      <x:c r="X278" s="13" t="str">
        <x:f>IF(L278&lt;&gt;"COVERED","HELD — COVERAGE",IF(N278="YES — SENSITIVE","C ACTIONABLE","CHAPTER 5 DEFAULT"))</x:f>
        <x:v>HELD — COVERAGE</x:v>
      </x:c>
      <x:c r="Y278" s="13" t="str">
        <x:f>IF(L278&lt;&gt;"COVERED","HELD — COVERAGE",IF(P278="YES — MANAGED ACCESS","D ACTIONABLE","NO D FIELD"))</x:f>
        <x:v>HELD — COVERAGE</x:v>
      </x:c>
      <x:c r="Z278" s="13" t="str">
        <x:f>IF(L278&lt;&gt;"COVERED","HELD — COVERAGE",IF(OR(R278="PAIRED SYNCHRONIZED",R278="TRILATERAL SYNCHRONIZED"),"E ACTIONABLE","INDEPENDENT"))</x:f>
        <x:v>HELD — COVERAGE</x:v>
      </x:c>
      <x:c r="AA278" s="13" t="str">
        <x:f>IF(L278&lt;&gt;"COVERED","HELD — COVERAGE","WAIT FOR UPSTREAM COMPLETION")</x:f>
        <x:v>HELD — COVERAGE</x:v>
      </x:c>
      <x:c r="AB278" s="13" t="str">
        <x:f>IF(L278&lt;&gt;"COVERED","HELD — COVERAGE",IF(T278="UNRESOLVED","G DECISION REQUIRED",IF(T278="NOT APPLICABLE","G N/A","G ACTIONABLE")))</x:f>
        <x:v>HELD — COVERAGE</x:v>
      </x:c>
      <x:c r="AC278" s="13" t="str">
        <x:f>IF(L278="UNRESOLVED","COVERAGE FIRST",IF(OR(L278="EXCLUDED",L278="OUT OF SCOPE"),"CLOSED BY COVERAGE",IF(AND(L278="COVERED",T278&lt;&gt;"UNRESOLVED"),"PARTIALLY ADOPTED","DECISIONS REMAIN")))</x:f>
        <x:v>COVERAGE FIRST</x:v>
      </x:c>
    </x:row>
    <x:row r="279">
      <x:c r="A279" s="13" t="str">
        <x:v>NAAFTC-HS6-030634</x:v>
      </x:c>
      <x:c r="B279" s="13" t="str">
        <x:v>030634</x:v>
      </x:c>
      <x:c r="C279" s="13" t="str">
        <x:v>03</x:v>
      </x:c>
      <x:c r="D279" s="13" t="str">
        <x:v>TRILATERAL_1_TO_1_TO_1</x:v>
      </x:c>
      <x:c r="E279" s="13" t="str">
        <x:v>Pending</x:v>
      </x:c>
      <x:c r="F279" s="13" t="n">
        <x:v>1</x:v>
      </x:c>
      <x:c r="G279" s="13" t="n">
        <x:v>1</x:v>
      </x:c>
      <x:c r="H279" s="13" t="n">
        <x:v>1</x:v>
      </x:c>
      <x:c r="I279" s="13" t="str">
        <x:v>0306340000</x:v>
      </x:c>
      <x:c r="J279" s="13" t="str">
        <x:v>0306340100</x:v>
      </x:c>
      <x:c r="K279" s="13" t="str">
        <x:v>0306340000</x:v>
      </x:c>
      <x:c r="L279" s="13" t="str">
        <x:v>UNRESOLVED</x:v>
      </x:c>
      <x:c r="M279" s="13" t="str"/>
      <x:c r="N279" s="13" t="str">
        <x:v>NO / DEFAULT</x:v>
      </x:c>
      <x:c r="O279" s="13" t="str"/>
      <x:c r="P279" s="13" t="str">
        <x:v>NO / DEFAULT</x:v>
      </x:c>
      <x:c r="Q279" s="13" t="str"/>
      <x:c r="R279" s="13" t="str">
        <x:v>INDEPENDENT / DEFAULT</x:v>
      </x:c>
      <x:c r="S279" s="13" t="str"/>
      <x:c r="T279" s="13" t="str">
        <x:v>UNRESOLVED</x:v>
      </x:c>
      <x:c r="U279" s="13" t="str"/>
      <x:c r="V279" s="13" t="str"/>
      <x:c r="W279" s="13" t="str"/>
      <x:c r="X279" s="13" t="str">
        <x:f>IF(L279&lt;&gt;"COVERED","HELD — COVERAGE",IF(N279="YES — SENSITIVE","C ACTIONABLE","CHAPTER 5 DEFAULT"))</x:f>
        <x:v>HELD — COVERAGE</x:v>
      </x:c>
      <x:c r="Y279" s="13" t="str">
        <x:f>IF(L279&lt;&gt;"COVERED","HELD — COVERAGE",IF(P279="YES — MANAGED ACCESS","D ACTIONABLE","NO D FIELD"))</x:f>
        <x:v>HELD — COVERAGE</x:v>
      </x:c>
      <x:c r="Z279" s="13" t="str">
        <x:f>IF(L279&lt;&gt;"COVERED","HELD — COVERAGE",IF(OR(R279="PAIRED SYNCHRONIZED",R279="TRILATERAL SYNCHRONIZED"),"E ACTIONABLE","INDEPENDENT"))</x:f>
        <x:v>HELD — COVERAGE</x:v>
      </x:c>
      <x:c r="AA279" s="13" t="str">
        <x:f>IF(L279&lt;&gt;"COVERED","HELD — COVERAGE","WAIT FOR UPSTREAM COMPLETION")</x:f>
        <x:v>HELD — COVERAGE</x:v>
      </x:c>
      <x:c r="AB279" s="13" t="str">
        <x:f>IF(L279&lt;&gt;"COVERED","HELD — COVERAGE",IF(T279="UNRESOLVED","G DECISION REQUIRED",IF(T279="NOT APPLICABLE","G N/A","G ACTIONABLE")))</x:f>
        <x:v>HELD — COVERAGE</x:v>
      </x:c>
      <x:c r="AC279" s="13" t="str">
        <x:f>IF(L279="UNRESOLVED","COVERAGE FIRST",IF(OR(L279="EXCLUDED",L279="OUT OF SCOPE"),"CLOSED BY COVERAGE",IF(AND(L279="COVERED",T279&lt;&gt;"UNRESOLVED"),"PARTIALLY ADOPTED","DECISIONS REMAIN")))</x:f>
        <x:v>COVERAGE FIRST</x:v>
      </x:c>
    </x:row>
    <x:row r="280">
      <x:c r="A280" s="13" t="str">
        <x:v>NAAFTC-HS6-030635</x:v>
      </x:c>
      <x:c r="B280" s="13" t="str">
        <x:v>030635</x:v>
      </x:c>
      <x:c r="C280" s="13" t="str">
        <x:v>03</x:v>
      </x:c>
      <x:c r="D280" s="13" t="str">
        <x:v>TRILATERAL_SPLIT_MERGE</x:v>
      </x:c>
      <x:c r="E280" s="13" t="str">
        <x:v>Pending</x:v>
      </x:c>
      <x:c r="F280" s="13" t="n">
        <x:v>2</x:v>
      </x:c>
      <x:c r="G280" s="13" t="n">
        <x:v>2</x:v>
      </x:c>
      <x:c r="H280" s="13" t="n">
        <x:v>1</x:v>
      </x:c>
      <x:c r="I280" s="13" t="str">
        <x:v>0306350020; 0306350040</x:v>
      </x:c>
      <x:c r="J280" s="13" t="str">
        <x:v>0306350100; 0306359900</x:v>
      </x:c>
      <x:c r="K280" s="13" t="str">
        <x:v>0306350000</x:v>
      </x:c>
      <x:c r="L280" s="13" t="str">
        <x:v>UNRESOLVED</x:v>
      </x:c>
      <x:c r="M280" s="13" t="str"/>
      <x:c r="N280" s="13" t="str">
        <x:v>NO / DEFAULT</x:v>
      </x:c>
      <x:c r="O280" s="13" t="str"/>
      <x:c r="P280" s="13" t="str">
        <x:v>NO / DEFAULT</x:v>
      </x:c>
      <x:c r="Q280" s="13" t="str"/>
      <x:c r="R280" s="13" t="str">
        <x:v>INDEPENDENT / DEFAULT</x:v>
      </x:c>
      <x:c r="S280" s="13" t="str"/>
      <x:c r="T280" s="13" t="str">
        <x:v>UNRESOLVED</x:v>
      </x:c>
      <x:c r="U280" s="13" t="str"/>
      <x:c r="V280" s="13" t="str"/>
      <x:c r="W280" s="13" t="str"/>
      <x:c r="X280" s="13" t="str">
        <x:f>IF(L280&lt;&gt;"COVERED","HELD — COVERAGE",IF(N280="YES — SENSITIVE","C ACTIONABLE","CHAPTER 5 DEFAULT"))</x:f>
        <x:v>HELD — COVERAGE</x:v>
      </x:c>
      <x:c r="Y280" s="13" t="str">
        <x:f>IF(L280&lt;&gt;"COVERED","HELD — COVERAGE",IF(P280="YES — MANAGED ACCESS","D ACTIONABLE","NO D FIELD"))</x:f>
        <x:v>HELD — COVERAGE</x:v>
      </x:c>
      <x:c r="Z280" s="13" t="str">
        <x:f>IF(L280&lt;&gt;"COVERED","HELD — COVERAGE",IF(OR(R280="PAIRED SYNCHRONIZED",R280="TRILATERAL SYNCHRONIZED"),"E ACTIONABLE","INDEPENDENT"))</x:f>
        <x:v>HELD — COVERAGE</x:v>
      </x:c>
      <x:c r="AA280" s="13" t="str">
        <x:f>IF(L280&lt;&gt;"COVERED","HELD — COVERAGE","WAIT FOR UPSTREAM COMPLETION")</x:f>
        <x:v>HELD — COVERAGE</x:v>
      </x:c>
      <x:c r="AB280" s="13" t="str">
        <x:f>IF(L280&lt;&gt;"COVERED","HELD — COVERAGE",IF(T280="UNRESOLVED","G DECISION REQUIRED",IF(T280="NOT APPLICABLE","G N/A","G ACTIONABLE")))</x:f>
        <x:v>HELD — COVERAGE</x:v>
      </x:c>
      <x:c r="AC280" s="13" t="str">
        <x:f>IF(L280="UNRESOLVED","COVERAGE FIRST",IF(OR(L280="EXCLUDED",L280="OUT OF SCOPE"),"CLOSED BY COVERAGE",IF(AND(L280="COVERED",T280&lt;&gt;"UNRESOLVED"),"PARTIALLY ADOPTED","DECISIONS REMAIN")))</x:f>
        <x:v>COVERAGE FIRST</x:v>
      </x:c>
    </x:row>
    <x:row r="281">
      <x:c r="A281" s="13" t="str">
        <x:v>NAAFTC-HS6-030636</x:v>
      </x:c>
      <x:c r="B281" s="13" t="str">
        <x:v>030636</x:v>
      </x:c>
      <x:c r="C281" s="13" t="str">
        <x:v>03</x:v>
      </x:c>
      <x:c r="D281" s="13" t="str">
        <x:v>TRILATERAL_SPLIT_MERGE</x:v>
      </x:c>
      <x:c r="E281" s="13" t="str">
        <x:v>Pending</x:v>
      </x:c>
      <x:c r="F281" s="13" t="n">
        <x:v>2</x:v>
      </x:c>
      <x:c r="G281" s="13" t="n">
        <x:v>2</x:v>
      </x:c>
      <x:c r="H281" s="13" t="n">
        <x:v>1</x:v>
      </x:c>
      <x:c r="I281" s="13" t="str">
        <x:v>0306360020; 0306360040</x:v>
      </x:c>
      <x:c r="J281" s="13" t="str">
        <x:v>0306360100; 0306369900</x:v>
      </x:c>
      <x:c r="K281" s="13" t="str">
        <x:v>03063600</x:v>
      </x:c>
      <x:c r="L281" s="13" t="str">
        <x:v>UNRESOLVED</x:v>
      </x:c>
      <x:c r="M281" s="13" t="str"/>
      <x:c r="N281" s="13" t="str">
        <x:v>NO / DEFAULT</x:v>
      </x:c>
      <x:c r="O281" s="13" t="str"/>
      <x:c r="P281" s="13" t="str">
        <x:v>NO / DEFAULT</x:v>
      </x:c>
      <x:c r="Q281" s="13" t="str"/>
      <x:c r="R281" s="13" t="str">
        <x:v>INDEPENDENT / DEFAULT</x:v>
      </x:c>
      <x:c r="S281" s="13" t="str"/>
      <x:c r="T281" s="13" t="str">
        <x:v>UNRESOLVED</x:v>
      </x:c>
      <x:c r="U281" s="13" t="str"/>
      <x:c r="V281" s="13" t="str"/>
      <x:c r="W281" s="13" t="str"/>
      <x:c r="X281" s="13" t="str">
        <x:f>IF(L281&lt;&gt;"COVERED","HELD — COVERAGE",IF(N281="YES — SENSITIVE","C ACTIONABLE","CHAPTER 5 DEFAULT"))</x:f>
        <x:v>HELD — COVERAGE</x:v>
      </x:c>
      <x:c r="Y281" s="13" t="str">
        <x:f>IF(L281&lt;&gt;"COVERED","HELD — COVERAGE",IF(P281="YES — MANAGED ACCESS","D ACTIONABLE","NO D FIELD"))</x:f>
        <x:v>HELD — COVERAGE</x:v>
      </x:c>
      <x:c r="Z281" s="13" t="str">
        <x:f>IF(L281&lt;&gt;"COVERED","HELD — COVERAGE",IF(OR(R281="PAIRED SYNCHRONIZED",R281="TRILATERAL SYNCHRONIZED"),"E ACTIONABLE","INDEPENDENT"))</x:f>
        <x:v>HELD — COVERAGE</x:v>
      </x:c>
      <x:c r="AA281" s="13" t="str">
        <x:f>IF(L281&lt;&gt;"COVERED","HELD — COVERAGE","WAIT FOR UPSTREAM COMPLETION")</x:f>
        <x:v>HELD — COVERAGE</x:v>
      </x:c>
      <x:c r="AB281" s="13" t="str">
        <x:f>IF(L281&lt;&gt;"COVERED","HELD — COVERAGE",IF(T281="UNRESOLVED","G DECISION REQUIRED",IF(T281="NOT APPLICABLE","G N/A","G ACTIONABLE")))</x:f>
        <x:v>HELD — COVERAGE</x:v>
      </x:c>
      <x:c r="AC281" s="13" t="str">
        <x:f>IF(L281="UNRESOLVED","COVERAGE FIRST",IF(OR(L281="EXCLUDED",L281="OUT OF SCOPE"),"CLOSED BY COVERAGE",IF(AND(L281="COVERED",T281&lt;&gt;"UNRESOLVED"),"PARTIALLY ADOPTED","DECISIONS REMAIN")))</x:f>
        <x:v>COVERAGE FIRST</x:v>
      </x:c>
    </x:row>
    <x:row r="282">
      <x:c r="A282" s="13" t="str">
        <x:v>NAAFTC-HS6-030639</x:v>
      </x:c>
      <x:c r="B282" s="13" t="str">
        <x:v>030639</x:v>
      </x:c>
      <x:c r="C282" s="13" t="str">
        <x:v>03</x:v>
      </x:c>
      <x:c r="D282" s="13" t="str">
        <x:v>TRILATERAL_1_TO_1_TO_1</x:v>
      </x:c>
      <x:c r="E282" s="13" t="str">
        <x:v>Pending</x:v>
      </x:c>
      <x:c r="F282" s="13" t="n">
        <x:v>1</x:v>
      </x:c>
      <x:c r="G282" s="13" t="n">
        <x:v>1</x:v>
      </x:c>
      <x:c r="H282" s="13" t="n">
        <x:v>1</x:v>
      </x:c>
      <x:c r="I282" s="13" t="str">
        <x:v>0306390100</x:v>
      </x:c>
      <x:c r="J282" s="13" t="str">
        <x:v>0306399900</x:v>
      </x:c>
      <x:c r="K282" s="13" t="str">
        <x:v>0306390000</x:v>
      </x:c>
      <x:c r="L282" s="13" t="str">
        <x:v>UNRESOLVED</x:v>
      </x:c>
      <x:c r="M282" s="13" t="str"/>
      <x:c r="N282" s="13" t="str">
        <x:v>NO / DEFAULT</x:v>
      </x:c>
      <x:c r="O282" s="13" t="str"/>
      <x:c r="P282" s="13" t="str">
        <x:v>NO / DEFAULT</x:v>
      </x:c>
      <x:c r="Q282" s="13" t="str"/>
      <x:c r="R282" s="13" t="str">
        <x:v>INDEPENDENT / DEFAULT</x:v>
      </x:c>
      <x:c r="S282" s="13" t="str"/>
      <x:c r="T282" s="13" t="str">
        <x:v>UNRESOLVED</x:v>
      </x:c>
      <x:c r="U282" s="13" t="str"/>
      <x:c r="V282" s="13" t="str"/>
      <x:c r="W282" s="13" t="str"/>
      <x:c r="X282" s="13" t="str">
        <x:f>IF(L282&lt;&gt;"COVERED","HELD — COVERAGE",IF(N282="YES — SENSITIVE","C ACTIONABLE","CHAPTER 5 DEFAULT"))</x:f>
        <x:v>HELD — COVERAGE</x:v>
      </x:c>
      <x:c r="Y282" s="13" t="str">
        <x:f>IF(L282&lt;&gt;"COVERED","HELD — COVERAGE",IF(P282="YES — MANAGED ACCESS","D ACTIONABLE","NO D FIELD"))</x:f>
        <x:v>HELD — COVERAGE</x:v>
      </x:c>
      <x:c r="Z282" s="13" t="str">
        <x:f>IF(L282&lt;&gt;"COVERED","HELD — COVERAGE",IF(OR(R282="PAIRED SYNCHRONIZED",R282="TRILATERAL SYNCHRONIZED"),"E ACTIONABLE","INDEPENDENT"))</x:f>
        <x:v>HELD — COVERAGE</x:v>
      </x:c>
      <x:c r="AA282" s="13" t="str">
        <x:f>IF(L282&lt;&gt;"COVERED","HELD — COVERAGE","WAIT FOR UPSTREAM COMPLETION")</x:f>
        <x:v>HELD — COVERAGE</x:v>
      </x:c>
      <x:c r="AB282" s="13" t="str">
        <x:f>IF(L282&lt;&gt;"COVERED","HELD — COVERAGE",IF(T282="UNRESOLVED","G DECISION REQUIRED",IF(T282="NOT APPLICABLE","G N/A","G ACTIONABLE")))</x:f>
        <x:v>HELD — COVERAGE</x:v>
      </x:c>
      <x:c r="AC282" s="13" t="str">
        <x:f>IF(L282="UNRESOLVED","COVERAGE FIRST",IF(OR(L282="EXCLUDED",L282="OUT OF SCOPE"),"CLOSED BY COVERAGE",IF(AND(L282="COVERED",T282&lt;&gt;"UNRESOLVED"),"PARTIALLY ADOPTED","DECISIONS REMAIN")))</x:f>
        <x:v>COVERAGE FIRST</x:v>
      </x:c>
    </x:row>
    <x:row r="283">
      <x:c r="A283" s="13" t="str">
        <x:v>NAAFTC-HS6-030691</x:v>
      </x:c>
      <x:c r="B283" s="13" t="str">
        <x:v>030691</x:v>
      </x:c>
      <x:c r="C283" s="13" t="str">
        <x:v>03</x:v>
      </x:c>
      <x:c r="D283" s="13" t="str">
        <x:v>TRILATERAL_1_TO_1_TO_1</x:v>
      </x:c>
      <x:c r="E283" s="13" t="str">
        <x:v>Pending</x:v>
      </x:c>
      <x:c r="F283" s="13" t="n">
        <x:v>1</x:v>
      </x:c>
      <x:c r="G283" s="13" t="n">
        <x:v>1</x:v>
      </x:c>
      <x:c r="H283" s="13" t="n">
        <x:v>1</x:v>
      </x:c>
      <x:c r="I283" s="13" t="str">
        <x:v>0306910000</x:v>
      </x:c>
      <x:c r="J283" s="13" t="str">
        <x:v>0306910100</x:v>
      </x:c>
      <x:c r="K283" s="13" t="str">
        <x:v>0306910000</x:v>
      </x:c>
      <x:c r="L283" s="13" t="str">
        <x:v>UNRESOLVED</x:v>
      </x:c>
      <x:c r="M283" s="13" t="str"/>
      <x:c r="N283" s="13" t="str">
        <x:v>NO / DEFAULT</x:v>
      </x:c>
      <x:c r="O283" s="13" t="str"/>
      <x:c r="P283" s="13" t="str">
        <x:v>NO / DEFAULT</x:v>
      </x:c>
      <x:c r="Q283" s="13" t="str"/>
      <x:c r="R283" s="13" t="str">
        <x:v>INDEPENDENT / DEFAULT</x:v>
      </x:c>
      <x:c r="S283" s="13" t="str"/>
      <x:c r="T283" s="13" t="str">
        <x:v>UNRESOLVED</x:v>
      </x:c>
      <x:c r="U283" s="13" t="str"/>
      <x:c r="V283" s="13" t="str"/>
      <x:c r="W283" s="13" t="str"/>
      <x:c r="X283" s="13" t="str">
        <x:f>IF(L283&lt;&gt;"COVERED","HELD — COVERAGE",IF(N283="YES — SENSITIVE","C ACTIONABLE","CHAPTER 5 DEFAULT"))</x:f>
        <x:v>HELD — COVERAGE</x:v>
      </x:c>
      <x:c r="Y283" s="13" t="str">
        <x:f>IF(L283&lt;&gt;"COVERED","HELD — COVERAGE",IF(P283="YES — MANAGED ACCESS","D ACTIONABLE","NO D FIELD"))</x:f>
        <x:v>HELD — COVERAGE</x:v>
      </x:c>
      <x:c r="Z283" s="13" t="str">
        <x:f>IF(L283&lt;&gt;"COVERED","HELD — COVERAGE",IF(OR(R283="PAIRED SYNCHRONIZED",R283="TRILATERAL SYNCHRONIZED"),"E ACTIONABLE","INDEPENDENT"))</x:f>
        <x:v>HELD — COVERAGE</x:v>
      </x:c>
      <x:c r="AA283" s="13" t="str">
        <x:f>IF(L283&lt;&gt;"COVERED","HELD — COVERAGE","WAIT FOR UPSTREAM COMPLETION")</x:f>
        <x:v>HELD — COVERAGE</x:v>
      </x:c>
      <x:c r="AB283" s="13" t="str">
        <x:f>IF(L283&lt;&gt;"COVERED","HELD — COVERAGE",IF(T283="UNRESOLVED","G DECISION REQUIRED",IF(T283="NOT APPLICABLE","G N/A","G ACTIONABLE")))</x:f>
        <x:v>HELD — COVERAGE</x:v>
      </x:c>
      <x:c r="AC283" s="13" t="str">
        <x:f>IF(L283="UNRESOLVED","COVERAGE FIRST",IF(OR(L283="EXCLUDED",L283="OUT OF SCOPE"),"CLOSED BY COVERAGE",IF(AND(L283="COVERED",T283&lt;&gt;"UNRESOLVED"),"PARTIALLY ADOPTED","DECISIONS REMAIN")))</x:f>
        <x:v>COVERAGE FIRST</x:v>
      </x:c>
    </x:row>
    <x:row r="284">
      <x:c r="A284" s="13" t="str">
        <x:v>NAAFTC-HS6-030692</x:v>
      </x:c>
      <x:c r="B284" s="13" t="str">
        <x:v>030692</x:v>
      </x:c>
      <x:c r="C284" s="13" t="str">
        <x:v>03</x:v>
      </x:c>
      <x:c r="D284" s="13" t="str">
        <x:v>TRILATERAL_SPLIT_MERGE</x:v>
      </x:c>
      <x:c r="E284" s="13" t="str">
        <x:v>Pending</x:v>
      </x:c>
      <x:c r="F284" s="13" t="n">
        <x:v>1</x:v>
      </x:c>
      <x:c r="G284" s="13" t="n">
        <x:v>1</x:v>
      </x:c>
      <x:c r="H284" s="13" t="n">
        <x:v>2</x:v>
      </x:c>
      <x:c r="I284" s="13" t="str">
        <x:v>0306920000</x:v>
      </x:c>
      <x:c r="J284" s="13" t="str">
        <x:v>0306920100</x:v>
      </x:c>
      <x:c r="K284" s="13" t="str">
        <x:v>0306921000; 0306929000</x:v>
      </x:c>
      <x:c r="L284" s="13" t="str">
        <x:v>UNRESOLVED</x:v>
      </x:c>
      <x:c r="M284" s="13" t="str"/>
      <x:c r="N284" s="13" t="str">
        <x:v>NO / DEFAULT</x:v>
      </x:c>
      <x:c r="O284" s="13" t="str"/>
      <x:c r="P284" s="13" t="str">
        <x:v>NO / DEFAULT</x:v>
      </x:c>
      <x:c r="Q284" s="13" t="str"/>
      <x:c r="R284" s="13" t="str">
        <x:v>INDEPENDENT / DEFAULT</x:v>
      </x:c>
      <x:c r="S284" s="13" t="str"/>
      <x:c r="T284" s="13" t="str">
        <x:v>UNRESOLVED</x:v>
      </x:c>
      <x:c r="U284" s="13" t="str"/>
      <x:c r="V284" s="13" t="str"/>
      <x:c r="W284" s="13" t="str"/>
      <x:c r="X284" s="13" t="str">
        <x:f>IF(L284&lt;&gt;"COVERED","HELD — COVERAGE",IF(N284="YES — SENSITIVE","C ACTIONABLE","CHAPTER 5 DEFAULT"))</x:f>
        <x:v>HELD — COVERAGE</x:v>
      </x:c>
      <x:c r="Y284" s="13" t="str">
        <x:f>IF(L284&lt;&gt;"COVERED","HELD — COVERAGE",IF(P284="YES — MANAGED ACCESS","D ACTIONABLE","NO D FIELD"))</x:f>
        <x:v>HELD — COVERAGE</x:v>
      </x:c>
      <x:c r="Z284" s="13" t="str">
        <x:f>IF(L284&lt;&gt;"COVERED","HELD — COVERAGE",IF(OR(R284="PAIRED SYNCHRONIZED",R284="TRILATERAL SYNCHRONIZED"),"E ACTIONABLE","INDEPENDENT"))</x:f>
        <x:v>HELD — COVERAGE</x:v>
      </x:c>
      <x:c r="AA284" s="13" t="str">
        <x:f>IF(L284&lt;&gt;"COVERED","HELD — COVERAGE","WAIT FOR UPSTREAM COMPLETION")</x:f>
        <x:v>HELD — COVERAGE</x:v>
      </x:c>
      <x:c r="AB284" s="13" t="str">
        <x:f>IF(L284&lt;&gt;"COVERED","HELD — COVERAGE",IF(T284="UNRESOLVED","G DECISION REQUIRED",IF(T284="NOT APPLICABLE","G N/A","G ACTIONABLE")))</x:f>
        <x:v>HELD — COVERAGE</x:v>
      </x:c>
      <x:c r="AC284" s="13" t="str">
        <x:f>IF(L284="UNRESOLVED","COVERAGE FIRST",IF(OR(L284="EXCLUDED",L284="OUT OF SCOPE"),"CLOSED BY COVERAGE",IF(AND(L284="COVERED",T284&lt;&gt;"UNRESOLVED"),"PARTIALLY ADOPTED","DECISIONS REMAIN")))</x:f>
        <x:v>COVERAGE FIRST</x:v>
      </x:c>
    </x:row>
    <x:row r="285">
      <x:c r="A285" s="13" t="str">
        <x:v>NAAFTC-HS6-030693</x:v>
      </x:c>
      <x:c r="B285" s="13" t="str">
        <x:v>030693</x:v>
      </x:c>
      <x:c r="C285" s="13" t="str">
        <x:v>03</x:v>
      </x:c>
      <x:c r="D285" s="13" t="str">
        <x:v>TRILATERAL_SPLIT_MERGE</x:v>
      </x:c>
      <x:c r="E285" s="13" t="str">
        <x:v>Pending</x:v>
      </x:c>
      <x:c r="F285" s="13" t="n">
        <x:v>2</x:v>
      </x:c>
      <x:c r="G285" s="13" t="n">
        <x:v>1</x:v>
      </x:c>
      <x:c r="H285" s="13" t="n">
        <x:v>1</x:v>
      </x:c>
      <x:c r="I285" s="13" t="str">
        <x:v>0306932000; 0306934000</x:v>
      </x:c>
      <x:c r="J285" s="13" t="str">
        <x:v>0306930100</x:v>
      </x:c>
      <x:c r="K285" s="13" t="str">
        <x:v>0306930000</x:v>
      </x:c>
      <x:c r="L285" s="13" t="str">
        <x:v>UNRESOLVED</x:v>
      </x:c>
      <x:c r="M285" s="13" t="str"/>
      <x:c r="N285" s="13" t="str">
        <x:v>NO / DEFAULT</x:v>
      </x:c>
      <x:c r="O285" s="13" t="str"/>
      <x:c r="P285" s="13" t="str">
        <x:v>NO / DEFAULT</x:v>
      </x:c>
      <x:c r="Q285" s="13" t="str"/>
      <x:c r="R285" s="13" t="str">
        <x:v>INDEPENDENT / DEFAULT</x:v>
      </x:c>
      <x:c r="S285" s="13" t="str"/>
      <x:c r="T285" s="13" t="str">
        <x:v>UNRESOLVED</x:v>
      </x:c>
      <x:c r="U285" s="13" t="str"/>
      <x:c r="V285" s="13" t="str"/>
      <x:c r="W285" s="13" t="str"/>
      <x:c r="X285" s="13" t="str">
        <x:f>IF(L285&lt;&gt;"COVERED","HELD — COVERAGE",IF(N285="YES — SENSITIVE","C ACTIONABLE","CHAPTER 5 DEFAULT"))</x:f>
        <x:v>HELD — COVERAGE</x:v>
      </x:c>
      <x:c r="Y285" s="13" t="str">
        <x:f>IF(L285&lt;&gt;"COVERED","HELD — COVERAGE",IF(P285="YES — MANAGED ACCESS","D ACTIONABLE","NO D FIELD"))</x:f>
        <x:v>HELD — COVERAGE</x:v>
      </x:c>
      <x:c r="Z285" s="13" t="str">
        <x:f>IF(L285&lt;&gt;"COVERED","HELD — COVERAGE",IF(OR(R285="PAIRED SYNCHRONIZED",R285="TRILATERAL SYNCHRONIZED"),"E ACTIONABLE","INDEPENDENT"))</x:f>
        <x:v>HELD — COVERAGE</x:v>
      </x:c>
      <x:c r="AA285" s="13" t="str">
        <x:f>IF(L285&lt;&gt;"COVERED","HELD — COVERAGE","WAIT FOR UPSTREAM COMPLETION")</x:f>
        <x:v>HELD — COVERAGE</x:v>
      </x:c>
      <x:c r="AB285" s="13" t="str">
        <x:f>IF(L285&lt;&gt;"COVERED","HELD — COVERAGE",IF(T285="UNRESOLVED","G DECISION REQUIRED",IF(T285="NOT APPLICABLE","G N/A","G ACTIONABLE")))</x:f>
        <x:v>HELD — COVERAGE</x:v>
      </x:c>
      <x:c r="AC285" s="13" t="str">
        <x:f>IF(L285="UNRESOLVED","COVERAGE FIRST",IF(OR(L285="EXCLUDED",L285="OUT OF SCOPE"),"CLOSED BY COVERAGE",IF(AND(L285="COVERED",T285&lt;&gt;"UNRESOLVED"),"PARTIALLY ADOPTED","DECISIONS REMAIN")))</x:f>
        <x:v>COVERAGE FIRST</x:v>
      </x:c>
    </x:row>
    <x:row r="286">
      <x:c r="A286" s="13" t="str">
        <x:v>NAAFTC-HS6-030694</x:v>
      </x:c>
      <x:c r="B286" s="13" t="str">
        <x:v>030694</x:v>
      </x:c>
      <x:c r="C286" s="13" t="str">
        <x:v>03</x:v>
      </x:c>
      <x:c r="D286" s="13" t="str">
        <x:v>TRILATERAL_1_TO_1_TO_1</x:v>
      </x:c>
      <x:c r="E286" s="13" t="str">
        <x:v>Pending</x:v>
      </x:c>
      <x:c r="F286" s="13" t="n">
        <x:v>1</x:v>
      </x:c>
      <x:c r="G286" s="13" t="n">
        <x:v>1</x:v>
      </x:c>
      <x:c r="H286" s="13" t="n">
        <x:v>1</x:v>
      </x:c>
      <x:c r="I286" s="13" t="str">
        <x:v>0306940000</x:v>
      </x:c>
      <x:c r="J286" s="13" t="str">
        <x:v>0306940100</x:v>
      </x:c>
      <x:c r="K286" s="13" t="str">
        <x:v>0306940000</x:v>
      </x:c>
      <x:c r="L286" s="13" t="str">
        <x:v>UNRESOLVED</x:v>
      </x:c>
      <x:c r="M286" s="13" t="str"/>
      <x:c r="N286" s="13" t="str">
        <x:v>NO / DEFAULT</x:v>
      </x:c>
      <x:c r="O286" s="13" t="str"/>
      <x:c r="P286" s="13" t="str">
        <x:v>NO / DEFAULT</x:v>
      </x:c>
      <x:c r="Q286" s="13" t="str"/>
      <x:c r="R286" s="13" t="str">
        <x:v>INDEPENDENT / DEFAULT</x:v>
      </x:c>
      <x:c r="S286" s="13" t="str"/>
      <x:c r="T286" s="13" t="str">
        <x:v>UNRESOLVED</x:v>
      </x:c>
      <x:c r="U286" s="13" t="str"/>
      <x:c r="V286" s="13" t="str"/>
      <x:c r="W286" s="13" t="str"/>
      <x:c r="X286" s="13" t="str">
        <x:f>IF(L286&lt;&gt;"COVERED","HELD — COVERAGE",IF(N286="YES — SENSITIVE","C ACTIONABLE","CHAPTER 5 DEFAULT"))</x:f>
        <x:v>HELD — COVERAGE</x:v>
      </x:c>
      <x:c r="Y286" s="13" t="str">
        <x:f>IF(L286&lt;&gt;"COVERED","HELD — COVERAGE",IF(P286="YES — MANAGED ACCESS","D ACTIONABLE","NO D FIELD"))</x:f>
        <x:v>HELD — COVERAGE</x:v>
      </x:c>
      <x:c r="Z286" s="13" t="str">
        <x:f>IF(L286&lt;&gt;"COVERED","HELD — COVERAGE",IF(OR(R286="PAIRED SYNCHRONIZED",R286="TRILATERAL SYNCHRONIZED"),"E ACTIONABLE","INDEPENDENT"))</x:f>
        <x:v>HELD — COVERAGE</x:v>
      </x:c>
      <x:c r="AA286" s="13" t="str">
        <x:f>IF(L286&lt;&gt;"COVERED","HELD — COVERAGE","WAIT FOR UPSTREAM COMPLETION")</x:f>
        <x:v>HELD — COVERAGE</x:v>
      </x:c>
      <x:c r="AB286" s="13" t="str">
        <x:f>IF(L286&lt;&gt;"COVERED","HELD — COVERAGE",IF(T286="UNRESOLVED","G DECISION REQUIRED",IF(T286="NOT APPLICABLE","G N/A","G ACTIONABLE")))</x:f>
        <x:v>HELD — COVERAGE</x:v>
      </x:c>
      <x:c r="AC286" s="13" t="str">
        <x:f>IF(L286="UNRESOLVED","COVERAGE FIRST",IF(OR(L286="EXCLUDED",L286="OUT OF SCOPE"),"CLOSED BY COVERAGE",IF(AND(L286="COVERED",T286&lt;&gt;"UNRESOLVED"),"PARTIALLY ADOPTED","DECISIONS REMAIN")))</x:f>
        <x:v>COVERAGE FIRST</x:v>
      </x:c>
    </x:row>
    <x:row r="287">
      <x:c r="A287" s="13" t="str">
        <x:v>NAAFTC-HS6-030695</x:v>
      </x:c>
      <x:c r="B287" s="13" t="str">
        <x:v>030695</x:v>
      </x:c>
      <x:c r="C287" s="13" t="str">
        <x:v>03</x:v>
      </x:c>
      <x:c r="D287" s="13" t="str">
        <x:v>TRILATERAL_SPLIT_MERGE</x:v>
      </x:c>
      <x:c r="E287" s="13" t="str">
        <x:v>Pending</x:v>
      </x:c>
      <x:c r="F287" s="13" t="n">
        <x:v>2</x:v>
      </x:c>
      <x:c r="G287" s="13" t="n">
        <x:v>2</x:v>
      </x:c>
      <x:c r="H287" s="13" t="n">
        <x:v>1</x:v>
      </x:c>
      <x:c r="I287" s="13" t="str">
        <x:v>0306950020; 0306950040</x:v>
      </x:c>
      <x:c r="J287" s="13" t="str">
        <x:v>0306950100; 0306959900</x:v>
      </x:c>
      <x:c r="K287" s="13" t="str">
        <x:v>0306950000</x:v>
      </x:c>
      <x:c r="L287" s="13" t="str">
        <x:v>UNRESOLVED</x:v>
      </x:c>
      <x:c r="M287" s="13" t="str"/>
      <x:c r="N287" s="13" t="str">
        <x:v>NO / DEFAULT</x:v>
      </x:c>
      <x:c r="O287" s="13" t="str"/>
      <x:c r="P287" s="13" t="str">
        <x:v>NO / DEFAULT</x:v>
      </x:c>
      <x:c r="Q287" s="13" t="str"/>
      <x:c r="R287" s="13" t="str">
        <x:v>INDEPENDENT / DEFAULT</x:v>
      </x:c>
      <x:c r="S287" s="13" t="str"/>
      <x:c r="T287" s="13" t="str">
        <x:v>UNRESOLVED</x:v>
      </x:c>
      <x:c r="U287" s="13" t="str"/>
      <x:c r="V287" s="13" t="str"/>
      <x:c r="W287" s="13" t="str"/>
      <x:c r="X287" s="13" t="str">
        <x:f>IF(L287&lt;&gt;"COVERED","HELD — COVERAGE",IF(N287="YES — SENSITIVE","C ACTIONABLE","CHAPTER 5 DEFAULT"))</x:f>
        <x:v>HELD — COVERAGE</x:v>
      </x:c>
      <x:c r="Y287" s="13" t="str">
        <x:f>IF(L287&lt;&gt;"COVERED","HELD — COVERAGE",IF(P287="YES — MANAGED ACCESS","D ACTIONABLE","NO D FIELD"))</x:f>
        <x:v>HELD — COVERAGE</x:v>
      </x:c>
      <x:c r="Z287" s="13" t="str">
        <x:f>IF(L287&lt;&gt;"COVERED","HELD — COVERAGE",IF(OR(R287="PAIRED SYNCHRONIZED",R287="TRILATERAL SYNCHRONIZED"),"E ACTIONABLE","INDEPENDENT"))</x:f>
        <x:v>HELD — COVERAGE</x:v>
      </x:c>
      <x:c r="AA287" s="13" t="str">
        <x:f>IF(L287&lt;&gt;"COVERED","HELD — COVERAGE","WAIT FOR UPSTREAM COMPLETION")</x:f>
        <x:v>HELD — COVERAGE</x:v>
      </x:c>
      <x:c r="AB287" s="13" t="str">
        <x:f>IF(L287&lt;&gt;"COVERED","HELD — COVERAGE",IF(T287="UNRESOLVED","G DECISION REQUIRED",IF(T287="NOT APPLICABLE","G N/A","G ACTIONABLE")))</x:f>
        <x:v>HELD — COVERAGE</x:v>
      </x:c>
      <x:c r="AC287" s="13" t="str">
        <x:f>IF(L287="UNRESOLVED","COVERAGE FIRST",IF(OR(L287="EXCLUDED",L287="OUT OF SCOPE"),"CLOSED BY COVERAGE",IF(AND(L287="COVERED",T287&lt;&gt;"UNRESOLVED"),"PARTIALLY ADOPTED","DECISIONS REMAIN")))</x:f>
        <x:v>COVERAGE FIRST</x:v>
      </x:c>
    </x:row>
    <x:row r="288">
      <x:c r="A288" s="13" t="str">
        <x:v>NAAFTC-HS6-030699</x:v>
      </x:c>
      <x:c r="B288" s="13" t="str">
        <x:v>030699</x:v>
      </x:c>
      <x:c r="C288" s="13" t="str">
        <x:v>03</x:v>
      </x:c>
      <x:c r="D288" s="13" t="str">
        <x:v>TRILATERAL_1_TO_1_TO_1</x:v>
      </x:c>
      <x:c r="E288" s="13" t="str">
        <x:v>Pending</x:v>
      </x:c>
      <x:c r="F288" s="13" t="n">
        <x:v>1</x:v>
      </x:c>
      <x:c r="G288" s="13" t="n">
        <x:v>1</x:v>
      </x:c>
      <x:c r="H288" s="13" t="n">
        <x:v>1</x:v>
      </x:c>
      <x:c r="I288" s="13" t="str">
        <x:v>0306990100</x:v>
      </x:c>
      <x:c r="J288" s="13" t="str">
        <x:v>0306999900</x:v>
      </x:c>
      <x:c r="K288" s="13" t="str">
        <x:v>0306990000</x:v>
      </x:c>
      <x:c r="L288" s="13" t="str">
        <x:v>UNRESOLVED</x:v>
      </x:c>
      <x:c r="M288" s="13" t="str"/>
      <x:c r="N288" s="13" t="str">
        <x:v>NO / DEFAULT</x:v>
      </x:c>
      <x:c r="O288" s="13" t="str"/>
      <x:c r="P288" s="13" t="str">
        <x:v>NO / DEFAULT</x:v>
      </x:c>
      <x:c r="Q288" s="13" t="str"/>
      <x:c r="R288" s="13" t="str">
        <x:v>INDEPENDENT / DEFAULT</x:v>
      </x:c>
      <x:c r="S288" s="13" t="str"/>
      <x:c r="T288" s="13" t="str">
        <x:v>UNRESOLVED</x:v>
      </x:c>
      <x:c r="U288" s="13" t="str"/>
      <x:c r="V288" s="13" t="str"/>
      <x:c r="W288" s="13" t="str"/>
      <x:c r="X288" s="13" t="str">
        <x:f>IF(L288&lt;&gt;"COVERED","HELD — COVERAGE",IF(N288="YES — SENSITIVE","C ACTIONABLE","CHAPTER 5 DEFAULT"))</x:f>
        <x:v>HELD — COVERAGE</x:v>
      </x:c>
      <x:c r="Y288" s="13" t="str">
        <x:f>IF(L288&lt;&gt;"COVERED","HELD — COVERAGE",IF(P288="YES — MANAGED ACCESS","D ACTIONABLE","NO D FIELD"))</x:f>
        <x:v>HELD — COVERAGE</x:v>
      </x:c>
      <x:c r="Z288" s="13" t="str">
        <x:f>IF(L288&lt;&gt;"COVERED","HELD — COVERAGE",IF(OR(R288="PAIRED SYNCHRONIZED",R288="TRILATERAL SYNCHRONIZED"),"E ACTIONABLE","INDEPENDENT"))</x:f>
        <x:v>HELD — COVERAGE</x:v>
      </x:c>
      <x:c r="AA288" s="13" t="str">
        <x:f>IF(L288&lt;&gt;"COVERED","HELD — COVERAGE","WAIT FOR UPSTREAM COMPLETION")</x:f>
        <x:v>HELD — COVERAGE</x:v>
      </x:c>
      <x:c r="AB288" s="13" t="str">
        <x:f>IF(L288&lt;&gt;"COVERED","HELD — COVERAGE",IF(T288="UNRESOLVED","G DECISION REQUIRED",IF(T288="NOT APPLICABLE","G N/A","G ACTIONABLE")))</x:f>
        <x:v>HELD — COVERAGE</x:v>
      </x:c>
      <x:c r="AC288" s="13" t="str">
        <x:f>IF(L288="UNRESOLVED","COVERAGE FIRST",IF(OR(L288="EXCLUDED",L288="OUT OF SCOPE"),"CLOSED BY COVERAGE",IF(AND(L288="COVERED",T288&lt;&gt;"UNRESOLVED"),"PARTIALLY ADOPTED","DECISIONS REMAIN")))</x:f>
        <x:v>COVERAGE FIRST</x:v>
      </x:c>
    </x:row>
    <x:row r="289">
      <x:c r="A289" s="13" t="str">
        <x:v>NAAFTC-HS6-030711</x:v>
      </x:c>
      <x:c r="B289" s="13" t="str">
        <x:v>030711</x:v>
      </x:c>
      <x:c r="C289" s="13" t="str">
        <x:v>03</x:v>
      </x:c>
      <x:c r="D289" s="13" t="str">
        <x:v>TRILATERAL_SPLIT_MERGE</x:v>
      </x:c>
      <x:c r="E289" s="13" t="str">
        <x:v>Pending</x:v>
      </x:c>
      <x:c r="F289" s="13" t="n">
        <x:v>3</x:v>
      </x:c>
      <x:c r="G289" s="13" t="n">
        <x:v>1</x:v>
      </x:c>
      <x:c r="H289" s="13" t="n">
        <x:v>2</x:v>
      </x:c>
      <x:c r="I289" s="13" t="str">
        <x:v>0307110020; 0307110060; 0307110080</x:v>
      </x:c>
      <x:c r="J289" s="13" t="str">
        <x:v>0307110100</x:v>
      </x:c>
      <x:c r="K289" s="13" t="str">
        <x:v>0307111000; 0307112000</x:v>
      </x:c>
      <x:c r="L289" s="13" t="str">
        <x:v>UNRESOLVED</x:v>
      </x:c>
      <x:c r="M289" s="13" t="str"/>
      <x:c r="N289" s="13" t="str">
        <x:v>NO / DEFAULT</x:v>
      </x:c>
      <x:c r="O289" s="13" t="str"/>
      <x:c r="P289" s="13" t="str">
        <x:v>NO / DEFAULT</x:v>
      </x:c>
      <x:c r="Q289" s="13" t="str"/>
      <x:c r="R289" s="13" t="str">
        <x:v>INDEPENDENT / DEFAULT</x:v>
      </x:c>
      <x:c r="S289" s="13" t="str"/>
      <x:c r="T289" s="13" t="str">
        <x:v>UNRESOLVED</x:v>
      </x:c>
      <x:c r="U289" s="13" t="str"/>
      <x:c r="V289" s="13" t="str"/>
      <x:c r="W289" s="13" t="str"/>
      <x:c r="X289" s="13" t="str">
        <x:f>IF(L289&lt;&gt;"COVERED","HELD — COVERAGE",IF(N289="YES — SENSITIVE","C ACTIONABLE","CHAPTER 5 DEFAULT"))</x:f>
        <x:v>HELD — COVERAGE</x:v>
      </x:c>
      <x:c r="Y289" s="13" t="str">
        <x:f>IF(L289&lt;&gt;"COVERED","HELD — COVERAGE",IF(P289="YES — MANAGED ACCESS","D ACTIONABLE","NO D FIELD"))</x:f>
        <x:v>HELD — COVERAGE</x:v>
      </x:c>
      <x:c r="Z289" s="13" t="str">
        <x:f>IF(L289&lt;&gt;"COVERED","HELD — COVERAGE",IF(OR(R289="PAIRED SYNCHRONIZED",R289="TRILATERAL SYNCHRONIZED"),"E ACTIONABLE","INDEPENDENT"))</x:f>
        <x:v>HELD — COVERAGE</x:v>
      </x:c>
      <x:c r="AA289" s="13" t="str">
        <x:f>IF(L289&lt;&gt;"COVERED","HELD — COVERAGE","WAIT FOR UPSTREAM COMPLETION")</x:f>
        <x:v>HELD — COVERAGE</x:v>
      </x:c>
      <x:c r="AB289" s="13" t="str">
        <x:f>IF(L289&lt;&gt;"COVERED","HELD — COVERAGE",IF(T289="UNRESOLVED","G DECISION REQUIRED",IF(T289="NOT APPLICABLE","G N/A","G ACTIONABLE")))</x:f>
        <x:v>HELD — COVERAGE</x:v>
      </x:c>
      <x:c r="AC289" s="13" t="str">
        <x:f>IF(L289="UNRESOLVED","COVERAGE FIRST",IF(OR(L289="EXCLUDED",L289="OUT OF SCOPE"),"CLOSED BY COVERAGE",IF(AND(L289="COVERED",T289&lt;&gt;"UNRESOLVED"),"PARTIALLY ADOPTED","DECISIONS REMAIN")))</x:f>
        <x:v>COVERAGE FIRST</x:v>
      </x:c>
    </x:row>
    <x:row r="290">
      <x:c r="A290" s="13" t="str">
        <x:v>NAAFTC-HS6-030712</x:v>
      </x:c>
      <x:c r="B290" s="13" t="str">
        <x:v>030712</x:v>
      </x:c>
      <x:c r="C290" s="13" t="str">
        <x:v>03</x:v>
      </x:c>
      <x:c r="D290" s="13" t="str">
        <x:v>TRILATERAL_SPLIT_MERGE</x:v>
      </x:c>
      <x:c r="E290" s="13" t="str">
        <x:v>Pending</x:v>
      </x:c>
      <x:c r="F290" s="13" t="n">
        <x:v>2</x:v>
      </x:c>
      <x:c r="G290" s="13" t="n">
        <x:v>1</x:v>
      </x:c>
      <x:c r="H290" s="13" t="n">
        <x:v>2</x:v>
      </x:c>
      <x:c r="I290" s="13" t="str">
        <x:v>0307120060; 0307120080</x:v>
      </x:c>
      <x:c r="J290" s="13" t="str">
        <x:v>0307120100</x:v>
      </x:c>
      <x:c r="K290" s="13" t="str">
        <x:v>0307121000; 0307129000</x:v>
      </x:c>
      <x:c r="L290" s="13" t="str">
        <x:v>UNRESOLVED</x:v>
      </x:c>
      <x:c r="M290" s="13" t="str"/>
      <x:c r="N290" s="13" t="str">
        <x:v>NO / DEFAULT</x:v>
      </x:c>
      <x:c r="O290" s="13" t="str"/>
      <x:c r="P290" s="13" t="str">
        <x:v>NO / DEFAULT</x:v>
      </x:c>
      <x:c r="Q290" s="13" t="str"/>
      <x:c r="R290" s="13" t="str">
        <x:v>INDEPENDENT / DEFAULT</x:v>
      </x:c>
      <x:c r="S290" s="13" t="str"/>
      <x:c r="T290" s="13" t="str">
        <x:v>UNRESOLVED</x:v>
      </x:c>
      <x:c r="U290" s="13" t="str"/>
      <x:c r="V290" s="13" t="str"/>
      <x:c r="W290" s="13" t="str"/>
      <x:c r="X290" s="13" t="str">
        <x:f>IF(L290&lt;&gt;"COVERED","HELD — COVERAGE",IF(N290="YES — SENSITIVE","C ACTIONABLE","CHAPTER 5 DEFAULT"))</x:f>
        <x:v>HELD — COVERAGE</x:v>
      </x:c>
      <x:c r="Y290" s="13" t="str">
        <x:f>IF(L290&lt;&gt;"COVERED","HELD — COVERAGE",IF(P290="YES — MANAGED ACCESS","D ACTIONABLE","NO D FIELD"))</x:f>
        <x:v>HELD — COVERAGE</x:v>
      </x:c>
      <x:c r="Z290" s="13" t="str">
        <x:f>IF(L290&lt;&gt;"COVERED","HELD — COVERAGE",IF(OR(R290="PAIRED SYNCHRONIZED",R290="TRILATERAL SYNCHRONIZED"),"E ACTIONABLE","INDEPENDENT"))</x:f>
        <x:v>HELD — COVERAGE</x:v>
      </x:c>
      <x:c r="AA290" s="13" t="str">
        <x:f>IF(L290&lt;&gt;"COVERED","HELD — COVERAGE","WAIT FOR UPSTREAM COMPLETION")</x:f>
        <x:v>HELD — COVERAGE</x:v>
      </x:c>
      <x:c r="AB290" s="13" t="str">
        <x:f>IF(L290&lt;&gt;"COVERED","HELD — COVERAGE",IF(T290="UNRESOLVED","G DECISION REQUIRED",IF(T290="NOT APPLICABLE","G N/A","G ACTIONABLE")))</x:f>
        <x:v>HELD — COVERAGE</x:v>
      </x:c>
      <x:c r="AC290" s="13" t="str">
        <x:f>IF(L290="UNRESOLVED","COVERAGE FIRST",IF(OR(L290="EXCLUDED",L290="OUT OF SCOPE"),"CLOSED BY COVERAGE",IF(AND(L290="COVERED",T290&lt;&gt;"UNRESOLVED"),"PARTIALLY ADOPTED","DECISIONS REMAIN")))</x:f>
        <x:v>COVERAGE FIRST</x:v>
      </x:c>
    </x:row>
    <x:row r="291">
      <x:c r="A291" s="13" t="str">
        <x:v>NAAFTC-HS6-030719</x:v>
      </x:c>
      <x:c r="B291" s="13" t="str">
        <x:v>030719</x:v>
      </x:c>
      <x:c r="C291" s="13" t="str">
        <x:v>03</x:v>
      </x:c>
      <x:c r="D291" s="13" t="str">
        <x:v>TRILATERAL_SPLIT_MERGE</x:v>
      </x:c>
      <x:c r="E291" s="13" t="str">
        <x:v>Pending</x:v>
      </x:c>
      <x:c r="F291" s="13" t="n">
        <x:v>2</x:v>
      </x:c>
      <x:c r="G291" s="13" t="n">
        <x:v>1</x:v>
      </x:c>
      <x:c r="H291" s="13" t="n">
        <x:v>1</x:v>
      </x:c>
      <x:c r="I291" s="13" t="str">
        <x:v>0307190160; 0307190180</x:v>
      </x:c>
      <x:c r="J291" s="13" t="str">
        <x:v>0307199900</x:v>
      </x:c>
      <x:c r="K291" s="13" t="str">
        <x:v>0307199000</x:v>
      </x:c>
      <x:c r="L291" s="13" t="str">
        <x:v>UNRESOLVED</x:v>
      </x:c>
      <x:c r="M291" s="13" t="str"/>
      <x:c r="N291" s="13" t="str">
        <x:v>NO / DEFAULT</x:v>
      </x:c>
      <x:c r="O291" s="13" t="str"/>
      <x:c r="P291" s="13" t="str">
        <x:v>NO / DEFAULT</x:v>
      </x:c>
      <x:c r="Q291" s="13" t="str"/>
      <x:c r="R291" s="13" t="str">
        <x:v>INDEPENDENT / DEFAULT</x:v>
      </x:c>
      <x:c r="S291" s="13" t="str"/>
      <x:c r="T291" s="13" t="str">
        <x:v>UNRESOLVED</x:v>
      </x:c>
      <x:c r="U291" s="13" t="str"/>
      <x:c r="V291" s="13" t="str"/>
      <x:c r="W291" s="13" t="str"/>
      <x:c r="X291" s="13" t="str">
        <x:f>IF(L291&lt;&gt;"COVERED","HELD — COVERAGE",IF(N291="YES — SENSITIVE","C ACTIONABLE","CHAPTER 5 DEFAULT"))</x:f>
        <x:v>HELD — COVERAGE</x:v>
      </x:c>
      <x:c r="Y291" s="13" t="str">
        <x:f>IF(L291&lt;&gt;"COVERED","HELD — COVERAGE",IF(P291="YES — MANAGED ACCESS","D ACTIONABLE","NO D FIELD"))</x:f>
        <x:v>HELD — COVERAGE</x:v>
      </x:c>
      <x:c r="Z291" s="13" t="str">
        <x:f>IF(L291&lt;&gt;"COVERED","HELD — COVERAGE",IF(OR(R291="PAIRED SYNCHRONIZED",R291="TRILATERAL SYNCHRONIZED"),"E ACTIONABLE","INDEPENDENT"))</x:f>
        <x:v>HELD — COVERAGE</x:v>
      </x:c>
      <x:c r="AA291" s="13" t="str">
        <x:f>IF(L291&lt;&gt;"COVERED","HELD — COVERAGE","WAIT FOR UPSTREAM COMPLETION")</x:f>
        <x:v>HELD — COVERAGE</x:v>
      </x:c>
      <x:c r="AB291" s="13" t="str">
        <x:f>IF(L291&lt;&gt;"COVERED","HELD — COVERAGE",IF(T291="UNRESOLVED","G DECISION REQUIRED",IF(T291="NOT APPLICABLE","G N/A","G ACTIONABLE")))</x:f>
        <x:v>HELD — COVERAGE</x:v>
      </x:c>
      <x:c r="AC291" s="13" t="str">
        <x:f>IF(L291="UNRESOLVED","COVERAGE FIRST",IF(OR(L291="EXCLUDED",L291="OUT OF SCOPE"),"CLOSED BY COVERAGE",IF(AND(L291="COVERED",T291&lt;&gt;"UNRESOLVED"),"PARTIALLY ADOPTED","DECISIONS REMAIN")))</x:f>
        <x:v>COVERAGE FIRST</x:v>
      </x:c>
    </x:row>
    <x:row r="292">
      <x:c r="A292" s="13" t="str">
        <x:v>NAAFTC-HS6-030721</x:v>
      </x:c>
      <x:c r="B292" s="13" t="str">
        <x:v>030721</x:v>
      </x:c>
      <x:c r="C292" s="13" t="str">
        <x:v>03</x:v>
      </x:c>
      <x:c r="D292" s="13" t="str">
        <x:v>TRILATERAL_1_TO_1_TO_1</x:v>
      </x:c>
      <x:c r="E292" s="13" t="str">
        <x:v>Pending</x:v>
      </x:c>
      <x:c r="F292" s="13" t="n">
        <x:v>1</x:v>
      </x:c>
      <x:c r="G292" s="13" t="n">
        <x:v>1</x:v>
      </x:c>
      <x:c r="H292" s="13" t="n">
        <x:v>1</x:v>
      </x:c>
      <x:c r="I292" s="13" t="str">
        <x:v>0307210000</x:v>
      </x:c>
      <x:c r="J292" s="13" t="str">
        <x:v>0307210100</x:v>
      </x:c>
      <x:c r="K292" s="13" t="str">
        <x:v>03072100</x:v>
      </x:c>
      <x:c r="L292" s="13" t="str">
        <x:v>UNRESOLVED</x:v>
      </x:c>
      <x:c r="M292" s="13" t="str"/>
      <x:c r="N292" s="13" t="str">
        <x:v>NO / DEFAULT</x:v>
      </x:c>
      <x:c r="O292" s="13" t="str"/>
      <x:c r="P292" s="13" t="str">
        <x:v>NO / DEFAULT</x:v>
      </x:c>
      <x:c r="Q292" s="13" t="str"/>
      <x:c r="R292" s="13" t="str">
        <x:v>INDEPENDENT / DEFAULT</x:v>
      </x:c>
      <x:c r="S292" s="13" t="str"/>
      <x:c r="T292" s="13" t="str">
        <x:v>UNRESOLVED</x:v>
      </x:c>
      <x:c r="U292" s="13" t="str"/>
      <x:c r="V292" s="13" t="str"/>
      <x:c r="W292" s="13" t="str"/>
      <x:c r="X292" s="13" t="str">
        <x:f>IF(L292&lt;&gt;"COVERED","HELD — COVERAGE",IF(N292="YES — SENSITIVE","C ACTIONABLE","CHAPTER 5 DEFAULT"))</x:f>
        <x:v>HELD — COVERAGE</x:v>
      </x:c>
      <x:c r="Y292" s="13" t="str">
        <x:f>IF(L292&lt;&gt;"COVERED","HELD — COVERAGE",IF(P292="YES — MANAGED ACCESS","D ACTIONABLE","NO D FIELD"))</x:f>
        <x:v>HELD — COVERAGE</x:v>
      </x:c>
      <x:c r="Z292" s="13" t="str">
        <x:f>IF(L292&lt;&gt;"COVERED","HELD — COVERAGE",IF(OR(R292="PAIRED SYNCHRONIZED",R292="TRILATERAL SYNCHRONIZED"),"E ACTIONABLE","INDEPENDENT"))</x:f>
        <x:v>HELD — COVERAGE</x:v>
      </x:c>
      <x:c r="AA292" s="13" t="str">
        <x:f>IF(L292&lt;&gt;"COVERED","HELD — COVERAGE","WAIT FOR UPSTREAM COMPLETION")</x:f>
        <x:v>HELD — COVERAGE</x:v>
      </x:c>
      <x:c r="AB292" s="13" t="str">
        <x:f>IF(L292&lt;&gt;"COVERED","HELD — COVERAGE",IF(T292="UNRESOLVED","G DECISION REQUIRED",IF(T292="NOT APPLICABLE","G N/A","G ACTIONABLE")))</x:f>
        <x:v>HELD — COVERAGE</x:v>
      </x:c>
      <x:c r="AC292" s="13" t="str">
        <x:f>IF(L292="UNRESOLVED","COVERAGE FIRST",IF(OR(L292="EXCLUDED",L292="OUT OF SCOPE"),"CLOSED BY COVERAGE",IF(AND(L292="COVERED",T292&lt;&gt;"UNRESOLVED"),"PARTIALLY ADOPTED","DECISIONS REMAIN")))</x:f>
        <x:v>COVERAGE FIRST</x:v>
      </x:c>
    </x:row>
    <x:row r="293">
      <x:c r="A293" s="13" t="str">
        <x:v>NAAFTC-HS6-030722</x:v>
      </x:c>
      <x:c r="B293" s="13" t="str">
        <x:v>030722</x:v>
      </x:c>
      <x:c r="C293" s="13" t="str">
        <x:v>03</x:v>
      </x:c>
      <x:c r="D293" s="13" t="str">
        <x:v>TRILATERAL_SPLIT_MERGE</x:v>
      </x:c>
      <x:c r="E293" s="13" t="str">
        <x:v>Pending</x:v>
      </x:c>
      <x:c r="F293" s="13" t="n">
        <x:v>1</x:v>
      </x:c>
      <x:c r="G293" s="13" t="n">
        <x:v>1</x:v>
      </x:c>
      <x:c r="H293" s="13" t="n">
        <x:v>2</x:v>
      </x:c>
      <x:c r="I293" s="13" t="str">
        <x:v>0307220000</x:v>
      </x:c>
      <x:c r="J293" s="13" t="str">
        <x:v>0307220100</x:v>
      </x:c>
      <x:c r="K293" s="13" t="str">
        <x:v>0307221000; 0307229000</x:v>
      </x:c>
      <x:c r="L293" s="13" t="str">
        <x:v>UNRESOLVED</x:v>
      </x:c>
      <x:c r="M293" s="13" t="str"/>
      <x:c r="N293" s="13" t="str">
        <x:v>NO / DEFAULT</x:v>
      </x:c>
      <x:c r="O293" s="13" t="str"/>
      <x:c r="P293" s="13" t="str">
        <x:v>NO / DEFAULT</x:v>
      </x:c>
      <x:c r="Q293" s="13" t="str"/>
      <x:c r="R293" s="13" t="str">
        <x:v>INDEPENDENT / DEFAULT</x:v>
      </x:c>
      <x:c r="S293" s="13" t="str"/>
      <x:c r="T293" s="13" t="str">
        <x:v>UNRESOLVED</x:v>
      </x:c>
      <x:c r="U293" s="13" t="str"/>
      <x:c r="V293" s="13" t="str"/>
      <x:c r="W293" s="13" t="str"/>
      <x:c r="X293" s="13" t="str">
        <x:f>IF(L293&lt;&gt;"COVERED","HELD — COVERAGE",IF(N293="YES — SENSITIVE","C ACTIONABLE","CHAPTER 5 DEFAULT"))</x:f>
        <x:v>HELD — COVERAGE</x:v>
      </x:c>
      <x:c r="Y293" s="13" t="str">
        <x:f>IF(L293&lt;&gt;"COVERED","HELD — COVERAGE",IF(P293="YES — MANAGED ACCESS","D ACTIONABLE","NO D FIELD"))</x:f>
        <x:v>HELD — COVERAGE</x:v>
      </x:c>
      <x:c r="Z293" s="13" t="str">
        <x:f>IF(L293&lt;&gt;"COVERED","HELD — COVERAGE",IF(OR(R293="PAIRED SYNCHRONIZED",R293="TRILATERAL SYNCHRONIZED"),"E ACTIONABLE","INDEPENDENT"))</x:f>
        <x:v>HELD — COVERAGE</x:v>
      </x:c>
      <x:c r="AA293" s="13" t="str">
        <x:f>IF(L293&lt;&gt;"COVERED","HELD — COVERAGE","WAIT FOR UPSTREAM COMPLETION")</x:f>
        <x:v>HELD — COVERAGE</x:v>
      </x:c>
      <x:c r="AB293" s="13" t="str">
        <x:f>IF(L293&lt;&gt;"COVERED","HELD — COVERAGE",IF(T293="UNRESOLVED","G DECISION REQUIRED",IF(T293="NOT APPLICABLE","G N/A","G ACTIONABLE")))</x:f>
        <x:v>HELD — COVERAGE</x:v>
      </x:c>
      <x:c r="AC293" s="13" t="str">
        <x:f>IF(L293="UNRESOLVED","COVERAGE FIRST",IF(OR(L293="EXCLUDED",L293="OUT OF SCOPE"),"CLOSED BY COVERAGE",IF(AND(L293="COVERED",T293&lt;&gt;"UNRESOLVED"),"PARTIALLY ADOPTED","DECISIONS REMAIN")))</x:f>
        <x:v>COVERAGE FIRST</x:v>
      </x:c>
    </x:row>
    <x:row r="294">
      <x:c r="A294" s="13" t="str">
        <x:v>NAAFTC-HS6-030729</x:v>
      </x:c>
      <x:c r="B294" s="13" t="str">
        <x:v>030729</x:v>
      </x:c>
      <x:c r="C294" s="13" t="str">
        <x:v>03</x:v>
      </x:c>
      <x:c r="D294" s="13" t="str">
        <x:v>TRILATERAL_SPLIT_MERGE</x:v>
      </x:c>
      <x:c r="E294" s="13" t="str">
        <x:v>Pending</x:v>
      </x:c>
      <x:c r="F294" s="13" t="n">
        <x:v>1</x:v>
      </x:c>
      <x:c r="G294" s="13" t="n">
        <x:v>1</x:v>
      </x:c>
      <x:c r="H294" s="13" t="n">
        <x:v>2</x:v>
      </x:c>
      <x:c r="I294" s="13" t="str">
        <x:v>0307290100</x:v>
      </x:c>
      <x:c r="J294" s="13" t="str">
        <x:v>0307299900</x:v>
      </x:c>
      <x:c r="K294" s="13" t="str">
        <x:v>0307291000; 0307299000</x:v>
      </x:c>
      <x:c r="L294" s="13" t="str">
        <x:v>UNRESOLVED</x:v>
      </x:c>
      <x:c r="M294" s="13" t="str"/>
      <x:c r="N294" s="13" t="str">
        <x:v>NO / DEFAULT</x:v>
      </x:c>
      <x:c r="O294" s="13" t="str"/>
      <x:c r="P294" s="13" t="str">
        <x:v>NO / DEFAULT</x:v>
      </x:c>
      <x:c r="Q294" s="13" t="str"/>
      <x:c r="R294" s="13" t="str">
        <x:v>INDEPENDENT / DEFAULT</x:v>
      </x:c>
      <x:c r="S294" s="13" t="str"/>
      <x:c r="T294" s="13" t="str">
        <x:v>UNRESOLVED</x:v>
      </x:c>
      <x:c r="U294" s="13" t="str"/>
      <x:c r="V294" s="13" t="str"/>
      <x:c r="W294" s="13" t="str"/>
      <x:c r="X294" s="13" t="str">
        <x:f>IF(L294&lt;&gt;"COVERED","HELD — COVERAGE",IF(N294="YES — SENSITIVE","C ACTIONABLE","CHAPTER 5 DEFAULT"))</x:f>
        <x:v>HELD — COVERAGE</x:v>
      </x:c>
      <x:c r="Y294" s="13" t="str">
        <x:f>IF(L294&lt;&gt;"COVERED","HELD — COVERAGE",IF(P294="YES — MANAGED ACCESS","D ACTIONABLE","NO D FIELD"))</x:f>
        <x:v>HELD — COVERAGE</x:v>
      </x:c>
      <x:c r="Z294" s="13" t="str">
        <x:f>IF(L294&lt;&gt;"COVERED","HELD — COVERAGE",IF(OR(R294="PAIRED SYNCHRONIZED",R294="TRILATERAL SYNCHRONIZED"),"E ACTIONABLE","INDEPENDENT"))</x:f>
        <x:v>HELD — COVERAGE</x:v>
      </x:c>
      <x:c r="AA294" s="13" t="str">
        <x:f>IF(L294&lt;&gt;"COVERED","HELD — COVERAGE","WAIT FOR UPSTREAM COMPLETION")</x:f>
        <x:v>HELD — COVERAGE</x:v>
      </x:c>
      <x:c r="AB294" s="13" t="str">
        <x:f>IF(L294&lt;&gt;"COVERED","HELD — COVERAGE",IF(T294="UNRESOLVED","G DECISION REQUIRED",IF(T294="NOT APPLICABLE","G N/A","G ACTIONABLE")))</x:f>
        <x:v>HELD — COVERAGE</x:v>
      </x:c>
      <x:c r="AC294" s="13" t="str">
        <x:f>IF(L294="UNRESOLVED","COVERAGE FIRST",IF(OR(L294="EXCLUDED",L294="OUT OF SCOPE"),"CLOSED BY COVERAGE",IF(AND(L294="COVERED",T294&lt;&gt;"UNRESOLVED"),"PARTIALLY ADOPTED","DECISIONS REMAIN")))</x:f>
        <x:v>COVERAGE FIRST</x:v>
      </x:c>
    </x:row>
    <x:row r="295">
      <x:c r="A295" s="13" t="str">
        <x:v>NAAFTC-HS6-030731</x:v>
      </x:c>
      <x:c r="B295" s="13" t="str">
        <x:v>030731</x:v>
      </x:c>
      <x:c r="C295" s="13" t="str">
        <x:v>03</x:v>
      </x:c>
      <x:c r="D295" s="13" t="str">
        <x:v>TRILATERAL_SPLIT_MERGE</x:v>
      </x:c>
      <x:c r="E295" s="13" t="str">
        <x:v>Pending</x:v>
      </x:c>
      <x:c r="F295" s="13" t="n">
        <x:v>2</x:v>
      </x:c>
      <x:c r="G295" s="13" t="n">
        <x:v>1</x:v>
      </x:c>
      <x:c r="H295" s="13" t="n">
        <x:v>1</x:v>
      </x:c>
      <x:c r="I295" s="13" t="str">
        <x:v>0307310010; 0307310090</x:v>
      </x:c>
      <x:c r="J295" s="13" t="str">
        <x:v>0307310100</x:v>
      </x:c>
      <x:c r="K295" s="13" t="str">
        <x:v>03073100</x:v>
      </x:c>
      <x:c r="L295" s="13" t="str">
        <x:v>UNRESOLVED</x:v>
      </x:c>
      <x:c r="M295" s="13" t="str"/>
      <x:c r="N295" s="13" t="str">
        <x:v>NO / DEFAULT</x:v>
      </x:c>
      <x:c r="O295" s="13" t="str"/>
      <x:c r="P295" s="13" t="str">
        <x:v>NO / DEFAULT</x:v>
      </x:c>
      <x:c r="Q295" s="13" t="str"/>
      <x:c r="R295" s="13" t="str">
        <x:v>INDEPENDENT / DEFAULT</x:v>
      </x:c>
      <x:c r="S295" s="13" t="str"/>
      <x:c r="T295" s="13" t="str">
        <x:v>UNRESOLVED</x:v>
      </x:c>
      <x:c r="U295" s="13" t="str"/>
      <x:c r="V295" s="13" t="str"/>
      <x:c r="W295" s="13" t="str"/>
      <x:c r="X295" s="13" t="str">
        <x:f>IF(L295&lt;&gt;"COVERED","HELD — COVERAGE",IF(N295="YES — SENSITIVE","C ACTIONABLE","CHAPTER 5 DEFAULT"))</x:f>
        <x:v>HELD — COVERAGE</x:v>
      </x:c>
      <x:c r="Y295" s="13" t="str">
        <x:f>IF(L295&lt;&gt;"COVERED","HELD — COVERAGE",IF(P295="YES — MANAGED ACCESS","D ACTIONABLE","NO D FIELD"))</x:f>
        <x:v>HELD — COVERAGE</x:v>
      </x:c>
      <x:c r="Z295" s="13" t="str">
        <x:f>IF(L295&lt;&gt;"COVERED","HELD — COVERAGE",IF(OR(R295="PAIRED SYNCHRONIZED",R295="TRILATERAL SYNCHRONIZED"),"E ACTIONABLE","INDEPENDENT"))</x:f>
        <x:v>HELD — COVERAGE</x:v>
      </x:c>
      <x:c r="AA295" s="13" t="str">
        <x:f>IF(L295&lt;&gt;"COVERED","HELD — COVERAGE","WAIT FOR UPSTREAM COMPLETION")</x:f>
        <x:v>HELD — COVERAGE</x:v>
      </x:c>
      <x:c r="AB295" s="13" t="str">
        <x:f>IF(L295&lt;&gt;"COVERED","HELD — COVERAGE",IF(T295="UNRESOLVED","G DECISION REQUIRED",IF(T295="NOT APPLICABLE","G N/A","G ACTIONABLE")))</x:f>
        <x:v>HELD — COVERAGE</x:v>
      </x:c>
      <x:c r="AC295" s="13" t="str">
        <x:f>IF(L295="UNRESOLVED","COVERAGE FIRST",IF(OR(L295="EXCLUDED",L295="OUT OF SCOPE"),"CLOSED BY COVERAGE",IF(AND(L295="COVERED",T295&lt;&gt;"UNRESOLVED"),"PARTIALLY ADOPTED","DECISIONS REMAIN")))</x:f>
        <x:v>COVERAGE FIRST</x:v>
      </x:c>
    </x:row>
    <x:row r="296">
      <x:c r="A296" s="13" t="str">
        <x:v>NAAFTC-HS6-030732</x:v>
      </x:c>
      <x:c r="B296" s="13" t="str">
        <x:v>030732</x:v>
      </x:c>
      <x:c r="C296" s="13" t="str">
        <x:v>03</x:v>
      </x:c>
      <x:c r="D296" s="13" t="str">
        <x:v>TRILATERAL_SPLIT_MERGE</x:v>
      </x:c>
      <x:c r="E296" s="13" t="str">
        <x:v>Pending</x:v>
      </x:c>
      <x:c r="F296" s="13" t="n">
        <x:v>1</x:v>
      </x:c>
      <x:c r="G296" s="13" t="n">
        <x:v>1</x:v>
      </x:c>
      <x:c r="H296" s="13" t="n">
        <x:v>2</x:v>
      </x:c>
      <x:c r="I296" s="13" t="str">
        <x:v>0307320000</x:v>
      </x:c>
      <x:c r="J296" s="13" t="str">
        <x:v>0307320100</x:v>
      </x:c>
      <x:c r="K296" s="13" t="str">
        <x:v>0307321000; 0307329000</x:v>
      </x:c>
      <x:c r="L296" s="13" t="str">
        <x:v>UNRESOLVED</x:v>
      </x:c>
      <x:c r="M296" s="13" t="str"/>
      <x:c r="N296" s="13" t="str">
        <x:v>NO / DEFAULT</x:v>
      </x:c>
      <x:c r="O296" s="13" t="str"/>
      <x:c r="P296" s="13" t="str">
        <x:v>NO / DEFAULT</x:v>
      </x:c>
      <x:c r="Q296" s="13" t="str"/>
      <x:c r="R296" s="13" t="str">
        <x:v>INDEPENDENT / DEFAULT</x:v>
      </x:c>
      <x:c r="S296" s="13" t="str"/>
      <x:c r="T296" s="13" t="str">
        <x:v>UNRESOLVED</x:v>
      </x:c>
      <x:c r="U296" s="13" t="str"/>
      <x:c r="V296" s="13" t="str"/>
      <x:c r="W296" s="13" t="str"/>
      <x:c r="X296" s="13" t="str">
        <x:f>IF(L296&lt;&gt;"COVERED","HELD — COVERAGE",IF(N296="YES — SENSITIVE","C ACTIONABLE","CHAPTER 5 DEFAULT"))</x:f>
        <x:v>HELD — COVERAGE</x:v>
      </x:c>
      <x:c r="Y296" s="13" t="str">
        <x:f>IF(L296&lt;&gt;"COVERED","HELD — COVERAGE",IF(P296="YES — MANAGED ACCESS","D ACTIONABLE","NO D FIELD"))</x:f>
        <x:v>HELD — COVERAGE</x:v>
      </x:c>
      <x:c r="Z296" s="13" t="str">
        <x:f>IF(L296&lt;&gt;"COVERED","HELD — COVERAGE",IF(OR(R296="PAIRED SYNCHRONIZED",R296="TRILATERAL SYNCHRONIZED"),"E ACTIONABLE","INDEPENDENT"))</x:f>
        <x:v>HELD — COVERAGE</x:v>
      </x:c>
      <x:c r="AA296" s="13" t="str">
        <x:f>IF(L296&lt;&gt;"COVERED","HELD — COVERAGE","WAIT FOR UPSTREAM COMPLETION")</x:f>
        <x:v>HELD — COVERAGE</x:v>
      </x:c>
      <x:c r="AB296" s="13" t="str">
        <x:f>IF(L296&lt;&gt;"COVERED","HELD — COVERAGE",IF(T296="UNRESOLVED","G DECISION REQUIRED",IF(T296="NOT APPLICABLE","G N/A","G ACTIONABLE")))</x:f>
        <x:v>HELD — COVERAGE</x:v>
      </x:c>
      <x:c r="AC296" s="13" t="str">
        <x:f>IF(L296="UNRESOLVED","COVERAGE FIRST",IF(OR(L296="EXCLUDED",L296="OUT OF SCOPE"),"CLOSED BY COVERAGE",IF(AND(L296="COVERED",T296&lt;&gt;"UNRESOLVED"),"PARTIALLY ADOPTED","DECISIONS REMAIN")))</x:f>
        <x:v>COVERAGE FIRST</x:v>
      </x:c>
    </x:row>
    <x:row r="297">
      <x:c r="A297" s="13" t="str">
        <x:v>NAAFTC-HS6-030739</x:v>
      </x:c>
      <x:c r="B297" s="13" t="str">
        <x:v>030739</x:v>
      </x:c>
      <x:c r="C297" s="13" t="str">
        <x:v>03</x:v>
      </x:c>
      <x:c r="D297" s="13" t="str">
        <x:v>TRILATERAL_SPLIT_MERGE</x:v>
      </x:c>
      <x:c r="E297" s="13" t="str">
        <x:v>Pending</x:v>
      </x:c>
      <x:c r="F297" s="13" t="n">
        <x:v>1</x:v>
      </x:c>
      <x:c r="G297" s="13" t="n">
        <x:v>1</x:v>
      </x:c>
      <x:c r="H297" s="13" t="n">
        <x:v>2</x:v>
      </x:c>
      <x:c r="I297" s="13" t="str">
        <x:v>0307390100</x:v>
      </x:c>
      <x:c r="J297" s="13" t="str">
        <x:v>0307399900</x:v>
      </x:c>
      <x:c r="K297" s="13" t="str">
        <x:v>0307391000; 0307399000</x:v>
      </x:c>
      <x:c r="L297" s="13" t="str">
        <x:v>UNRESOLVED</x:v>
      </x:c>
      <x:c r="M297" s="13" t="str"/>
      <x:c r="N297" s="13" t="str">
        <x:v>NO / DEFAULT</x:v>
      </x:c>
      <x:c r="O297" s="13" t="str"/>
      <x:c r="P297" s="13" t="str">
        <x:v>NO / DEFAULT</x:v>
      </x:c>
      <x:c r="Q297" s="13" t="str"/>
      <x:c r="R297" s="13" t="str">
        <x:v>INDEPENDENT / DEFAULT</x:v>
      </x:c>
      <x:c r="S297" s="13" t="str"/>
      <x:c r="T297" s="13" t="str">
        <x:v>UNRESOLVED</x:v>
      </x:c>
      <x:c r="U297" s="13" t="str"/>
      <x:c r="V297" s="13" t="str"/>
      <x:c r="W297" s="13" t="str"/>
      <x:c r="X297" s="13" t="str">
        <x:f>IF(L297&lt;&gt;"COVERED","HELD — COVERAGE",IF(N297="YES — SENSITIVE","C ACTIONABLE","CHAPTER 5 DEFAULT"))</x:f>
        <x:v>HELD — COVERAGE</x:v>
      </x:c>
      <x:c r="Y297" s="13" t="str">
        <x:f>IF(L297&lt;&gt;"COVERED","HELD — COVERAGE",IF(P297="YES — MANAGED ACCESS","D ACTIONABLE","NO D FIELD"))</x:f>
        <x:v>HELD — COVERAGE</x:v>
      </x:c>
      <x:c r="Z297" s="13" t="str">
        <x:f>IF(L297&lt;&gt;"COVERED","HELD — COVERAGE",IF(OR(R297="PAIRED SYNCHRONIZED",R297="TRILATERAL SYNCHRONIZED"),"E ACTIONABLE","INDEPENDENT"))</x:f>
        <x:v>HELD — COVERAGE</x:v>
      </x:c>
      <x:c r="AA297" s="13" t="str">
        <x:f>IF(L297&lt;&gt;"COVERED","HELD — COVERAGE","WAIT FOR UPSTREAM COMPLETION")</x:f>
        <x:v>HELD — COVERAGE</x:v>
      </x:c>
      <x:c r="AB297" s="13" t="str">
        <x:f>IF(L297&lt;&gt;"COVERED","HELD — COVERAGE",IF(T297="UNRESOLVED","G DECISION REQUIRED",IF(T297="NOT APPLICABLE","G N/A","G ACTIONABLE")))</x:f>
        <x:v>HELD — COVERAGE</x:v>
      </x:c>
      <x:c r="AC297" s="13" t="str">
        <x:f>IF(L297="UNRESOLVED","COVERAGE FIRST",IF(OR(L297="EXCLUDED",L297="OUT OF SCOPE"),"CLOSED BY COVERAGE",IF(AND(L297="COVERED",T297&lt;&gt;"UNRESOLVED"),"PARTIALLY ADOPTED","DECISIONS REMAIN")))</x:f>
        <x:v>COVERAGE FIRST</x:v>
      </x:c>
    </x:row>
    <x:row r="298">
      <x:c r="A298" s="13" t="str">
        <x:v>NAAFTC-HS6-030742</x:v>
      </x:c>
      <x:c r="B298" s="13" t="str">
        <x:v>030742</x:v>
      </x:c>
      <x:c r="C298" s="13" t="str">
        <x:v>03</x:v>
      </x:c>
      <x:c r="D298" s="13" t="str">
        <x:v>TRILATERAL_SPLIT_MERGE</x:v>
      </x:c>
      <x:c r="E298" s="13" t="str">
        <x:v>Pending</x:v>
      </x:c>
      <x:c r="F298" s="13" t="n">
        <x:v>3</x:v>
      </x:c>
      <x:c r="G298" s="13" t="n">
        <x:v>2</x:v>
      </x:c>
      <x:c r="H298" s="13" t="n">
        <x:v>1</x:v>
      </x:c>
      <x:c r="I298" s="13" t="str">
        <x:v>0307420020; 0307420040; 0307420060</x:v>
      </x:c>
      <x:c r="J298" s="13" t="str">
        <x:v>0307420201; 0307420299</x:v>
      </x:c>
      <x:c r="K298" s="13" t="str">
        <x:v>0307420000</x:v>
      </x:c>
      <x:c r="L298" s="13" t="str">
        <x:v>UNRESOLVED</x:v>
      </x:c>
      <x:c r="M298" s="13" t="str"/>
      <x:c r="N298" s="13" t="str">
        <x:v>NO / DEFAULT</x:v>
      </x:c>
      <x:c r="O298" s="13" t="str"/>
      <x:c r="P298" s="13" t="str">
        <x:v>NO / DEFAULT</x:v>
      </x:c>
      <x:c r="Q298" s="13" t="str"/>
      <x:c r="R298" s="13" t="str">
        <x:v>INDEPENDENT / DEFAULT</x:v>
      </x:c>
      <x:c r="S298" s="13" t="str"/>
      <x:c r="T298" s="13" t="str">
        <x:v>UNRESOLVED</x:v>
      </x:c>
      <x:c r="U298" s="13" t="str"/>
      <x:c r="V298" s="13" t="str"/>
      <x:c r="W298" s="13" t="str"/>
      <x:c r="X298" s="13" t="str">
        <x:f>IF(L298&lt;&gt;"COVERED","HELD — COVERAGE",IF(N298="YES — SENSITIVE","C ACTIONABLE","CHAPTER 5 DEFAULT"))</x:f>
        <x:v>HELD — COVERAGE</x:v>
      </x:c>
      <x:c r="Y298" s="13" t="str">
        <x:f>IF(L298&lt;&gt;"COVERED","HELD — COVERAGE",IF(P298="YES — MANAGED ACCESS","D ACTIONABLE","NO D FIELD"))</x:f>
        <x:v>HELD — COVERAGE</x:v>
      </x:c>
      <x:c r="Z298" s="13" t="str">
        <x:f>IF(L298&lt;&gt;"COVERED","HELD — COVERAGE",IF(OR(R298="PAIRED SYNCHRONIZED",R298="TRILATERAL SYNCHRONIZED"),"E ACTIONABLE","INDEPENDENT"))</x:f>
        <x:v>HELD — COVERAGE</x:v>
      </x:c>
      <x:c r="AA298" s="13" t="str">
        <x:f>IF(L298&lt;&gt;"COVERED","HELD — COVERAGE","WAIT FOR UPSTREAM COMPLETION")</x:f>
        <x:v>HELD — COVERAGE</x:v>
      </x:c>
      <x:c r="AB298" s="13" t="str">
        <x:f>IF(L298&lt;&gt;"COVERED","HELD — COVERAGE",IF(T298="UNRESOLVED","G DECISION REQUIRED",IF(T298="NOT APPLICABLE","G N/A","G ACTIONABLE")))</x:f>
        <x:v>HELD — COVERAGE</x:v>
      </x:c>
      <x:c r="AC298" s="13" t="str">
        <x:f>IF(L298="UNRESOLVED","COVERAGE FIRST",IF(OR(L298="EXCLUDED",L298="OUT OF SCOPE"),"CLOSED BY COVERAGE",IF(AND(L298="COVERED",T298&lt;&gt;"UNRESOLVED"),"PARTIALLY ADOPTED","DECISIONS REMAIN")))</x:f>
        <x:v>COVERAGE FIRST</x:v>
      </x:c>
    </x:row>
    <x:row r="299">
      <x:c r="A299" s="13" t="str">
        <x:v>NAAFTC-HS6-030743</x:v>
      </x:c>
      <x:c r="B299" s="13" t="str">
        <x:v>030743</x:v>
      </x:c>
      <x:c r="C299" s="13" t="str">
        <x:v>03</x:v>
      </x:c>
      <x:c r="D299" s="13" t="str">
        <x:v>TRILATERAL_SPLIT_MERGE</x:v>
      </x:c>
      <x:c r="E299" s="13" t="str">
        <x:v>Pending</x:v>
      </x:c>
      <x:c r="F299" s="13" t="n">
        <x:v>6</x:v>
      </x:c>
      <x:c r="G299" s="13" t="n">
        <x:v>2</x:v>
      </x:c>
      <x:c r="H299" s="13" t="n">
        <x:v>1</x:v>
      </x:c>
      <x:c r="I299" s="13" t="str">
        <x:v>0307430010; 0307430022; 0307430024; 0307430029; 0307430050; 0307430060</x:v>
      </x:c>
      <x:c r="J299" s="13" t="str">
        <x:v>0307430201; 0307430299</x:v>
      </x:c>
      <x:c r="K299" s="13" t="str">
        <x:v>03074300</x:v>
      </x:c>
      <x:c r="L299" s="13" t="str">
        <x:v>UNRESOLVED</x:v>
      </x:c>
      <x:c r="M299" s="13" t="str"/>
      <x:c r="N299" s="13" t="str">
        <x:v>NO / DEFAULT</x:v>
      </x:c>
      <x:c r="O299" s="13" t="str"/>
      <x:c r="P299" s="13" t="str">
        <x:v>NO / DEFAULT</x:v>
      </x:c>
      <x:c r="Q299" s="13" t="str"/>
      <x:c r="R299" s="13" t="str">
        <x:v>INDEPENDENT / DEFAULT</x:v>
      </x:c>
      <x:c r="S299" s="13" t="str"/>
      <x:c r="T299" s="13" t="str">
        <x:v>UNRESOLVED</x:v>
      </x:c>
      <x:c r="U299" s="13" t="str"/>
      <x:c r="V299" s="13" t="str"/>
      <x:c r="W299" s="13" t="str"/>
      <x:c r="X299" s="13" t="str">
        <x:f>IF(L299&lt;&gt;"COVERED","HELD — COVERAGE",IF(N299="YES — SENSITIVE","C ACTIONABLE","CHAPTER 5 DEFAULT"))</x:f>
        <x:v>HELD — COVERAGE</x:v>
      </x:c>
      <x:c r="Y299" s="13" t="str">
        <x:f>IF(L299&lt;&gt;"COVERED","HELD — COVERAGE",IF(P299="YES — MANAGED ACCESS","D ACTIONABLE","NO D FIELD"))</x:f>
        <x:v>HELD — COVERAGE</x:v>
      </x:c>
      <x:c r="Z299" s="13" t="str">
        <x:f>IF(L299&lt;&gt;"COVERED","HELD — COVERAGE",IF(OR(R299="PAIRED SYNCHRONIZED",R299="TRILATERAL SYNCHRONIZED"),"E ACTIONABLE","INDEPENDENT"))</x:f>
        <x:v>HELD — COVERAGE</x:v>
      </x:c>
      <x:c r="AA299" s="13" t="str">
        <x:f>IF(L299&lt;&gt;"COVERED","HELD — COVERAGE","WAIT FOR UPSTREAM COMPLETION")</x:f>
        <x:v>HELD — COVERAGE</x:v>
      </x:c>
      <x:c r="AB299" s="13" t="str">
        <x:f>IF(L299&lt;&gt;"COVERED","HELD — COVERAGE",IF(T299="UNRESOLVED","G DECISION REQUIRED",IF(T299="NOT APPLICABLE","G N/A","G ACTIONABLE")))</x:f>
        <x:v>HELD — COVERAGE</x:v>
      </x:c>
      <x:c r="AC299" s="13" t="str">
        <x:f>IF(L299="UNRESOLVED","COVERAGE FIRST",IF(OR(L299="EXCLUDED",L299="OUT OF SCOPE"),"CLOSED BY COVERAGE",IF(AND(L299="COVERED",T299&lt;&gt;"UNRESOLVED"),"PARTIALLY ADOPTED","DECISIONS REMAIN")))</x:f>
        <x:v>COVERAGE FIRST</x:v>
      </x:c>
    </x:row>
    <x:row r="300">
      <x:c r="A300" s="13" t="str">
        <x:v>NAAFTC-HS6-030749</x:v>
      </x:c>
      <x:c r="B300" s="13" t="str">
        <x:v>030749</x:v>
      </x:c>
      <x:c r="C300" s="13" t="str">
        <x:v>03</x:v>
      </x:c>
      <x:c r="D300" s="13" t="str">
        <x:v>TRILATERAL_SPLIT_MERGE</x:v>
      </x:c>
      <x:c r="E300" s="13" t="str">
        <x:v>Pending</x:v>
      </x:c>
      <x:c r="F300" s="13" t="n">
        <x:v>5</x:v>
      </x:c>
      <x:c r="G300" s="13" t="n">
        <x:v>2</x:v>
      </x:c>
      <x:c r="H300" s="13" t="n">
        <x:v>1</x:v>
      </x:c>
      <x:c r="I300" s="13" t="str">
        <x:v>0307490122; 0307490124; 0307490129; 0307490150; 0307490160</x:v>
      </x:c>
      <x:c r="J300" s="13" t="str">
        <x:v>0307499901; 0307499999</x:v>
      </x:c>
      <x:c r="K300" s="13" t="str">
        <x:v>0307490000</x:v>
      </x:c>
      <x:c r="L300" s="13" t="str">
        <x:v>UNRESOLVED</x:v>
      </x:c>
      <x:c r="M300" s="13" t="str"/>
      <x:c r="N300" s="13" t="str">
        <x:v>NO / DEFAULT</x:v>
      </x:c>
      <x:c r="O300" s="13" t="str"/>
      <x:c r="P300" s="13" t="str">
        <x:v>NO / DEFAULT</x:v>
      </x:c>
      <x:c r="Q300" s="13" t="str"/>
      <x:c r="R300" s="13" t="str">
        <x:v>INDEPENDENT / DEFAULT</x:v>
      </x:c>
      <x:c r="S300" s="13" t="str"/>
      <x:c r="T300" s="13" t="str">
        <x:v>UNRESOLVED</x:v>
      </x:c>
      <x:c r="U300" s="13" t="str"/>
      <x:c r="V300" s="13" t="str"/>
      <x:c r="W300" s="13" t="str"/>
      <x:c r="X300" s="13" t="str">
        <x:f>IF(L300&lt;&gt;"COVERED","HELD — COVERAGE",IF(N300="YES — SENSITIVE","C ACTIONABLE","CHAPTER 5 DEFAULT"))</x:f>
        <x:v>HELD — COVERAGE</x:v>
      </x:c>
      <x:c r="Y300" s="13" t="str">
        <x:f>IF(L300&lt;&gt;"COVERED","HELD — COVERAGE",IF(P300="YES — MANAGED ACCESS","D ACTIONABLE","NO D FIELD"))</x:f>
        <x:v>HELD — COVERAGE</x:v>
      </x:c>
      <x:c r="Z300" s="13" t="str">
        <x:f>IF(L300&lt;&gt;"COVERED","HELD — COVERAGE",IF(OR(R300="PAIRED SYNCHRONIZED",R300="TRILATERAL SYNCHRONIZED"),"E ACTIONABLE","INDEPENDENT"))</x:f>
        <x:v>HELD — COVERAGE</x:v>
      </x:c>
      <x:c r="AA300" s="13" t="str">
        <x:f>IF(L300&lt;&gt;"COVERED","HELD — COVERAGE","WAIT FOR UPSTREAM COMPLETION")</x:f>
        <x:v>HELD — COVERAGE</x:v>
      </x:c>
      <x:c r="AB300" s="13" t="str">
        <x:f>IF(L300&lt;&gt;"COVERED","HELD — COVERAGE",IF(T300="UNRESOLVED","G DECISION REQUIRED",IF(T300="NOT APPLICABLE","G N/A","G ACTIONABLE")))</x:f>
        <x:v>HELD — COVERAGE</x:v>
      </x:c>
      <x:c r="AC300" s="13" t="str">
        <x:f>IF(L300="UNRESOLVED","COVERAGE FIRST",IF(OR(L300="EXCLUDED",L300="OUT OF SCOPE"),"CLOSED BY COVERAGE",IF(AND(L300="COVERED",T300&lt;&gt;"UNRESOLVED"),"PARTIALLY ADOPTED","DECISIONS REMAIN")))</x:f>
        <x:v>COVERAGE FIRST</x:v>
      </x:c>
    </x:row>
    <x:row r="301">
      <x:c r="A301" s="13" t="str">
        <x:v>NAAFTC-HS6-030751</x:v>
      </x:c>
      <x:c r="B301" s="13" t="str">
        <x:v>030751</x:v>
      </x:c>
      <x:c r="C301" s="13" t="str">
        <x:v>03</x:v>
      </x:c>
      <x:c r="D301" s="13" t="str">
        <x:v>TRILATERAL_1_TO_1_TO_1</x:v>
      </x:c>
      <x:c r="E301" s="13" t="str">
        <x:v>Pending</x:v>
      </x:c>
      <x:c r="F301" s="13" t="n">
        <x:v>1</x:v>
      </x:c>
      <x:c r="G301" s="13" t="n">
        <x:v>1</x:v>
      </x:c>
      <x:c r="H301" s="13" t="n">
        <x:v>1</x:v>
      </x:c>
      <x:c r="I301" s="13" t="str">
        <x:v>0307510000</x:v>
      </x:c>
      <x:c r="J301" s="13" t="str">
        <x:v>0307510100</x:v>
      </x:c>
      <x:c r="K301" s="13" t="str">
        <x:v>0307510000</x:v>
      </x:c>
      <x:c r="L301" s="13" t="str">
        <x:v>UNRESOLVED</x:v>
      </x:c>
      <x:c r="M301" s="13" t="str"/>
      <x:c r="N301" s="13" t="str">
        <x:v>NO / DEFAULT</x:v>
      </x:c>
      <x:c r="O301" s="13" t="str"/>
      <x:c r="P301" s="13" t="str">
        <x:v>NO / DEFAULT</x:v>
      </x:c>
      <x:c r="Q301" s="13" t="str"/>
      <x:c r="R301" s="13" t="str">
        <x:v>INDEPENDENT / DEFAULT</x:v>
      </x:c>
      <x:c r="S301" s="13" t="str"/>
      <x:c r="T301" s="13" t="str">
        <x:v>UNRESOLVED</x:v>
      </x:c>
      <x:c r="U301" s="13" t="str"/>
      <x:c r="V301" s="13" t="str"/>
      <x:c r="W301" s="13" t="str"/>
      <x:c r="X301" s="13" t="str">
        <x:f>IF(L301&lt;&gt;"COVERED","HELD — COVERAGE",IF(N301="YES — SENSITIVE","C ACTIONABLE","CHAPTER 5 DEFAULT"))</x:f>
        <x:v>HELD — COVERAGE</x:v>
      </x:c>
      <x:c r="Y301" s="13" t="str">
        <x:f>IF(L301&lt;&gt;"COVERED","HELD — COVERAGE",IF(P301="YES — MANAGED ACCESS","D ACTIONABLE","NO D FIELD"))</x:f>
        <x:v>HELD — COVERAGE</x:v>
      </x:c>
      <x:c r="Z301" s="13" t="str">
        <x:f>IF(L301&lt;&gt;"COVERED","HELD — COVERAGE",IF(OR(R301="PAIRED SYNCHRONIZED",R301="TRILATERAL SYNCHRONIZED"),"E ACTIONABLE","INDEPENDENT"))</x:f>
        <x:v>HELD — COVERAGE</x:v>
      </x:c>
      <x:c r="AA301" s="13" t="str">
        <x:f>IF(L301&lt;&gt;"COVERED","HELD — COVERAGE","WAIT FOR UPSTREAM COMPLETION")</x:f>
        <x:v>HELD — COVERAGE</x:v>
      </x:c>
      <x:c r="AB301" s="13" t="str">
        <x:f>IF(L301&lt;&gt;"COVERED","HELD — COVERAGE",IF(T301="UNRESOLVED","G DECISION REQUIRED",IF(T301="NOT APPLICABLE","G N/A","G ACTIONABLE")))</x:f>
        <x:v>HELD — COVERAGE</x:v>
      </x:c>
      <x:c r="AC301" s="13" t="str">
        <x:f>IF(L301="UNRESOLVED","COVERAGE FIRST",IF(OR(L301="EXCLUDED",L301="OUT OF SCOPE"),"CLOSED BY COVERAGE",IF(AND(L301="COVERED",T301&lt;&gt;"UNRESOLVED"),"PARTIALLY ADOPTED","DECISIONS REMAIN")))</x:f>
        <x:v>COVERAGE FIRST</x:v>
      </x:c>
    </x:row>
    <x:row r="302">
      <x:c r="A302" s="13" t="str">
        <x:v>NAAFTC-HS6-030752</x:v>
      </x:c>
      <x:c r="B302" s="13" t="str">
        <x:v>030752</x:v>
      </x:c>
      <x:c r="C302" s="13" t="str">
        <x:v>03</x:v>
      </x:c>
      <x:c r="D302" s="13" t="str">
        <x:v>TRILATERAL_1_TO_1_TO_1</x:v>
      </x:c>
      <x:c r="E302" s="13" t="str">
        <x:v>Pending</x:v>
      </x:c>
      <x:c r="F302" s="13" t="n">
        <x:v>1</x:v>
      </x:c>
      <x:c r="G302" s="13" t="n">
        <x:v>1</x:v>
      </x:c>
      <x:c r="H302" s="13" t="n">
        <x:v>1</x:v>
      </x:c>
      <x:c r="I302" s="13" t="str">
        <x:v>0307520000</x:v>
      </x:c>
      <x:c r="J302" s="13" t="str">
        <x:v>0307520100</x:v>
      </x:c>
      <x:c r="K302" s="13" t="str">
        <x:v>0307520000</x:v>
      </x:c>
      <x:c r="L302" s="13" t="str">
        <x:v>UNRESOLVED</x:v>
      </x:c>
      <x:c r="M302" s="13" t="str"/>
      <x:c r="N302" s="13" t="str">
        <x:v>NO / DEFAULT</x:v>
      </x:c>
      <x:c r="O302" s="13" t="str"/>
      <x:c r="P302" s="13" t="str">
        <x:v>NO / DEFAULT</x:v>
      </x:c>
      <x:c r="Q302" s="13" t="str"/>
      <x:c r="R302" s="13" t="str">
        <x:v>INDEPENDENT / DEFAULT</x:v>
      </x:c>
      <x:c r="S302" s="13" t="str"/>
      <x:c r="T302" s="13" t="str">
        <x:v>UNRESOLVED</x:v>
      </x:c>
      <x:c r="U302" s="13" t="str"/>
      <x:c r="V302" s="13" t="str"/>
      <x:c r="W302" s="13" t="str"/>
      <x:c r="X302" s="13" t="str">
        <x:f>IF(L302&lt;&gt;"COVERED","HELD — COVERAGE",IF(N302="YES — SENSITIVE","C ACTIONABLE","CHAPTER 5 DEFAULT"))</x:f>
        <x:v>HELD — COVERAGE</x:v>
      </x:c>
      <x:c r="Y302" s="13" t="str">
        <x:f>IF(L302&lt;&gt;"COVERED","HELD — COVERAGE",IF(P302="YES — MANAGED ACCESS","D ACTIONABLE","NO D FIELD"))</x:f>
        <x:v>HELD — COVERAGE</x:v>
      </x:c>
      <x:c r="Z302" s="13" t="str">
        <x:f>IF(L302&lt;&gt;"COVERED","HELD — COVERAGE",IF(OR(R302="PAIRED SYNCHRONIZED",R302="TRILATERAL SYNCHRONIZED"),"E ACTIONABLE","INDEPENDENT"))</x:f>
        <x:v>HELD — COVERAGE</x:v>
      </x:c>
      <x:c r="AA302" s="13" t="str">
        <x:f>IF(L302&lt;&gt;"COVERED","HELD — COVERAGE","WAIT FOR UPSTREAM COMPLETION")</x:f>
        <x:v>HELD — COVERAGE</x:v>
      </x:c>
      <x:c r="AB302" s="13" t="str">
        <x:f>IF(L302&lt;&gt;"COVERED","HELD — COVERAGE",IF(T302="UNRESOLVED","G DECISION REQUIRED",IF(T302="NOT APPLICABLE","G N/A","G ACTIONABLE")))</x:f>
        <x:v>HELD — COVERAGE</x:v>
      </x:c>
      <x:c r="AC302" s="13" t="str">
        <x:f>IF(L302="UNRESOLVED","COVERAGE FIRST",IF(OR(L302="EXCLUDED",L302="OUT OF SCOPE"),"CLOSED BY COVERAGE",IF(AND(L302="COVERED",T302&lt;&gt;"UNRESOLVED"),"PARTIALLY ADOPTED","DECISIONS REMAIN")))</x:f>
        <x:v>COVERAGE FIRST</x:v>
      </x:c>
    </x:row>
    <x:row r="303">
      <x:c r="A303" s="13" t="str">
        <x:v>NAAFTC-HS6-030759</x:v>
      </x:c>
      <x:c r="B303" s="13" t="str">
        <x:v>030759</x:v>
      </x:c>
      <x:c r="C303" s="13" t="str">
        <x:v>03</x:v>
      </x:c>
      <x:c r="D303" s="13" t="str">
        <x:v>TRILATERAL_1_TO_1_TO_1</x:v>
      </x:c>
      <x:c r="E303" s="13" t="str">
        <x:v>Pending</x:v>
      </x:c>
      <x:c r="F303" s="13" t="n">
        <x:v>1</x:v>
      </x:c>
      <x:c r="G303" s="13" t="n">
        <x:v>1</x:v>
      </x:c>
      <x:c r="H303" s="13" t="n">
        <x:v>1</x:v>
      </x:c>
      <x:c r="I303" s="13" t="str">
        <x:v>0307590100</x:v>
      </x:c>
      <x:c r="J303" s="13" t="str">
        <x:v>0307599900</x:v>
      </x:c>
      <x:c r="K303" s="13" t="str">
        <x:v>0307590000</x:v>
      </x:c>
      <x:c r="L303" s="13" t="str">
        <x:v>UNRESOLVED</x:v>
      </x:c>
      <x:c r="M303" s="13" t="str"/>
      <x:c r="N303" s="13" t="str">
        <x:v>NO / DEFAULT</x:v>
      </x:c>
      <x:c r="O303" s="13" t="str"/>
      <x:c r="P303" s="13" t="str">
        <x:v>NO / DEFAULT</x:v>
      </x:c>
      <x:c r="Q303" s="13" t="str"/>
      <x:c r="R303" s="13" t="str">
        <x:v>INDEPENDENT / DEFAULT</x:v>
      </x:c>
      <x:c r="S303" s="13" t="str"/>
      <x:c r="T303" s="13" t="str">
        <x:v>UNRESOLVED</x:v>
      </x:c>
      <x:c r="U303" s="13" t="str"/>
      <x:c r="V303" s="13" t="str"/>
      <x:c r="W303" s="13" t="str"/>
      <x:c r="X303" s="13" t="str">
        <x:f>IF(L303&lt;&gt;"COVERED","HELD — COVERAGE",IF(N303="YES — SENSITIVE","C ACTIONABLE","CHAPTER 5 DEFAULT"))</x:f>
        <x:v>HELD — COVERAGE</x:v>
      </x:c>
      <x:c r="Y303" s="13" t="str">
        <x:f>IF(L303&lt;&gt;"COVERED","HELD — COVERAGE",IF(P303="YES — MANAGED ACCESS","D ACTIONABLE","NO D FIELD"))</x:f>
        <x:v>HELD — COVERAGE</x:v>
      </x:c>
      <x:c r="Z303" s="13" t="str">
        <x:f>IF(L303&lt;&gt;"COVERED","HELD — COVERAGE",IF(OR(R303="PAIRED SYNCHRONIZED",R303="TRILATERAL SYNCHRONIZED"),"E ACTIONABLE","INDEPENDENT"))</x:f>
        <x:v>HELD — COVERAGE</x:v>
      </x:c>
      <x:c r="AA303" s="13" t="str">
        <x:f>IF(L303&lt;&gt;"COVERED","HELD — COVERAGE","WAIT FOR UPSTREAM COMPLETION")</x:f>
        <x:v>HELD — COVERAGE</x:v>
      </x:c>
      <x:c r="AB303" s="13" t="str">
        <x:f>IF(L303&lt;&gt;"COVERED","HELD — COVERAGE",IF(T303="UNRESOLVED","G DECISION REQUIRED",IF(T303="NOT APPLICABLE","G N/A","G ACTIONABLE")))</x:f>
        <x:v>HELD — COVERAGE</x:v>
      </x:c>
      <x:c r="AC303" s="13" t="str">
        <x:f>IF(L303="UNRESOLVED","COVERAGE FIRST",IF(OR(L303="EXCLUDED",L303="OUT OF SCOPE"),"CLOSED BY COVERAGE",IF(AND(L303="COVERED",T303&lt;&gt;"UNRESOLVED"),"PARTIALLY ADOPTED","DECISIONS REMAIN")))</x:f>
        <x:v>COVERAGE FIRST</x:v>
      </x:c>
    </x:row>
    <x:row r="304">
      <x:c r="A304" s="13" t="str">
        <x:v>NAAFTC-HS6-030760</x:v>
      </x:c>
      <x:c r="B304" s="13" t="str">
        <x:v>030760</x:v>
      </x:c>
      <x:c r="C304" s="13" t="str">
        <x:v>03</x:v>
      </x:c>
      <x:c r="D304" s="13" t="str">
        <x:v>TRILATERAL_1_TO_1_TO_1</x:v>
      </x:c>
      <x:c r="E304" s="13" t="str">
        <x:v>Pending</x:v>
      </x:c>
      <x:c r="F304" s="13" t="n">
        <x:v>1</x:v>
      </x:c>
      <x:c r="G304" s="13" t="n">
        <x:v>1</x:v>
      </x:c>
      <x:c r="H304" s="13" t="n">
        <x:v>1</x:v>
      </x:c>
      <x:c r="I304" s="13" t="str">
        <x:v>0307600000</x:v>
      </x:c>
      <x:c r="J304" s="13" t="str">
        <x:v>0307600100</x:v>
      </x:c>
      <x:c r="K304" s="13" t="str">
        <x:v>0307601000</x:v>
      </x:c>
      <x:c r="L304" s="13" t="str">
        <x:v>UNRESOLVED</x:v>
      </x:c>
      <x:c r="M304" s="13" t="str"/>
      <x:c r="N304" s="13" t="str">
        <x:v>NO / DEFAULT</x:v>
      </x:c>
      <x:c r="O304" s="13" t="str"/>
      <x:c r="P304" s="13" t="str">
        <x:v>NO / DEFAULT</x:v>
      </x:c>
      <x:c r="Q304" s="13" t="str"/>
      <x:c r="R304" s="13" t="str">
        <x:v>INDEPENDENT / DEFAULT</x:v>
      </x:c>
      <x:c r="S304" s="13" t="str"/>
      <x:c r="T304" s="13" t="str">
        <x:v>UNRESOLVED</x:v>
      </x:c>
      <x:c r="U304" s="13" t="str"/>
      <x:c r="V304" s="13" t="str"/>
      <x:c r="W304" s="13" t="str"/>
      <x:c r="X304" s="13" t="str">
        <x:f>IF(L304&lt;&gt;"COVERED","HELD — COVERAGE",IF(N304="YES — SENSITIVE","C ACTIONABLE","CHAPTER 5 DEFAULT"))</x:f>
        <x:v>HELD — COVERAGE</x:v>
      </x:c>
      <x:c r="Y304" s="13" t="str">
        <x:f>IF(L304&lt;&gt;"COVERED","HELD — COVERAGE",IF(P304="YES — MANAGED ACCESS","D ACTIONABLE","NO D FIELD"))</x:f>
        <x:v>HELD — COVERAGE</x:v>
      </x:c>
      <x:c r="Z304" s="13" t="str">
        <x:f>IF(L304&lt;&gt;"COVERED","HELD — COVERAGE",IF(OR(R304="PAIRED SYNCHRONIZED",R304="TRILATERAL SYNCHRONIZED"),"E ACTIONABLE","INDEPENDENT"))</x:f>
        <x:v>HELD — COVERAGE</x:v>
      </x:c>
      <x:c r="AA304" s="13" t="str">
        <x:f>IF(L304&lt;&gt;"COVERED","HELD — COVERAGE","WAIT FOR UPSTREAM COMPLETION")</x:f>
        <x:v>HELD — COVERAGE</x:v>
      </x:c>
      <x:c r="AB304" s="13" t="str">
        <x:f>IF(L304&lt;&gt;"COVERED","HELD — COVERAGE",IF(T304="UNRESOLVED","G DECISION REQUIRED",IF(T304="NOT APPLICABLE","G N/A","G ACTIONABLE")))</x:f>
        <x:v>HELD — COVERAGE</x:v>
      </x:c>
      <x:c r="AC304" s="13" t="str">
        <x:f>IF(L304="UNRESOLVED","COVERAGE FIRST",IF(OR(L304="EXCLUDED",L304="OUT OF SCOPE"),"CLOSED BY COVERAGE",IF(AND(L304="COVERED",T304&lt;&gt;"UNRESOLVED"),"PARTIALLY ADOPTED","DECISIONS REMAIN")))</x:f>
        <x:v>COVERAGE FIRST</x:v>
      </x:c>
    </x:row>
    <x:row r="305">
      <x:c r="A305" s="13" t="str">
        <x:v>NAAFTC-HS6-030771</x:v>
      </x:c>
      <x:c r="B305" s="13" t="str">
        <x:v>030771</x:v>
      </x:c>
      <x:c r="C305" s="13" t="str">
        <x:v>03</x:v>
      </x:c>
      <x:c r="D305" s="13" t="str">
        <x:v>TRILATERAL_SPLIT_MERGE</x:v>
      </x:c>
      <x:c r="E305" s="13" t="str">
        <x:v>Pending</x:v>
      </x:c>
      <x:c r="F305" s="13" t="n">
        <x:v>3</x:v>
      </x:c>
      <x:c r="G305" s="13" t="n">
        <x:v>1</x:v>
      </x:c>
      <x:c r="H305" s="13" t="n">
        <x:v>1</x:v>
      </x:c>
      <x:c r="I305" s="13" t="str">
        <x:v>0307710050; 0307710070; 0307710090</x:v>
      </x:c>
      <x:c r="J305" s="13" t="str">
        <x:v>0307710100</x:v>
      </x:c>
      <x:c r="K305" s="13" t="str">
        <x:v>03077100</x:v>
      </x:c>
      <x:c r="L305" s="13" t="str">
        <x:v>UNRESOLVED</x:v>
      </x:c>
      <x:c r="M305" s="13" t="str"/>
      <x:c r="N305" s="13" t="str">
        <x:v>NO / DEFAULT</x:v>
      </x:c>
      <x:c r="O305" s="13" t="str"/>
      <x:c r="P305" s="13" t="str">
        <x:v>NO / DEFAULT</x:v>
      </x:c>
      <x:c r="Q305" s="13" t="str"/>
      <x:c r="R305" s="13" t="str">
        <x:v>INDEPENDENT / DEFAULT</x:v>
      </x:c>
      <x:c r="S305" s="13" t="str"/>
      <x:c r="T305" s="13" t="str">
        <x:v>UNRESOLVED</x:v>
      </x:c>
      <x:c r="U305" s="13" t="str"/>
      <x:c r="V305" s="13" t="str"/>
      <x:c r="W305" s="13" t="str"/>
      <x:c r="X305" s="13" t="str">
        <x:f>IF(L305&lt;&gt;"COVERED","HELD — COVERAGE",IF(N305="YES — SENSITIVE","C ACTIONABLE","CHAPTER 5 DEFAULT"))</x:f>
        <x:v>HELD — COVERAGE</x:v>
      </x:c>
      <x:c r="Y305" s="13" t="str">
        <x:f>IF(L305&lt;&gt;"COVERED","HELD — COVERAGE",IF(P305="YES — MANAGED ACCESS","D ACTIONABLE","NO D FIELD"))</x:f>
        <x:v>HELD — COVERAGE</x:v>
      </x:c>
      <x:c r="Z305" s="13" t="str">
        <x:f>IF(L305&lt;&gt;"COVERED","HELD — COVERAGE",IF(OR(R305="PAIRED SYNCHRONIZED",R305="TRILATERAL SYNCHRONIZED"),"E ACTIONABLE","INDEPENDENT"))</x:f>
        <x:v>HELD — COVERAGE</x:v>
      </x:c>
      <x:c r="AA305" s="13" t="str">
        <x:f>IF(L305&lt;&gt;"COVERED","HELD — COVERAGE","WAIT FOR UPSTREAM COMPLETION")</x:f>
        <x:v>HELD — COVERAGE</x:v>
      </x:c>
      <x:c r="AB305" s="13" t="str">
        <x:f>IF(L305&lt;&gt;"COVERED","HELD — COVERAGE",IF(T305="UNRESOLVED","G DECISION REQUIRED",IF(T305="NOT APPLICABLE","G N/A","G ACTIONABLE")))</x:f>
        <x:v>HELD — COVERAGE</x:v>
      </x:c>
      <x:c r="AC305" s="13" t="str">
        <x:f>IF(L305="UNRESOLVED","COVERAGE FIRST",IF(OR(L305="EXCLUDED",L305="OUT OF SCOPE"),"CLOSED BY COVERAGE",IF(AND(L305="COVERED",T305&lt;&gt;"UNRESOLVED"),"PARTIALLY ADOPTED","DECISIONS REMAIN")))</x:f>
        <x:v>COVERAGE FIRST</x:v>
      </x:c>
    </x:row>
    <x:row r="306">
      <x:c r="A306" s="13" t="str">
        <x:v>NAAFTC-HS6-030772</x:v>
      </x:c>
      <x:c r="B306" s="13" t="str">
        <x:v>030772</x:v>
      </x:c>
      <x:c r="C306" s="13" t="str">
        <x:v>03</x:v>
      </x:c>
      <x:c r="D306" s="13" t="str">
        <x:v>TRILATERAL_SPLIT_MERGE</x:v>
      </x:c>
      <x:c r="E306" s="13" t="str">
        <x:v>Pending</x:v>
      </x:c>
      <x:c r="F306" s="13" t="n">
        <x:v>4</x:v>
      </x:c>
      <x:c r="G306" s="13" t="n">
        <x:v>1</x:v>
      </x:c>
      <x:c r="H306" s="13" t="n">
        <x:v>2</x:v>
      </x:c>
      <x:c r="I306" s="13" t="str">
        <x:v>0307720030; 0307720051; 0307720055; 0307720060</x:v>
      </x:c>
      <x:c r="J306" s="13" t="str">
        <x:v>0307720100</x:v>
      </x:c>
      <x:c r="K306" s="13" t="str">
        <x:v>0307721000; 0307729000</x:v>
      </x:c>
      <x:c r="L306" s="13" t="str">
        <x:v>UNRESOLVED</x:v>
      </x:c>
      <x:c r="M306" s="13" t="str"/>
      <x:c r="N306" s="13" t="str">
        <x:v>NO / DEFAULT</x:v>
      </x:c>
      <x:c r="O306" s="13" t="str"/>
      <x:c r="P306" s="13" t="str">
        <x:v>NO / DEFAULT</x:v>
      </x:c>
      <x:c r="Q306" s="13" t="str"/>
      <x:c r="R306" s="13" t="str">
        <x:v>INDEPENDENT / DEFAULT</x:v>
      </x:c>
      <x:c r="S306" s="13" t="str"/>
      <x:c r="T306" s="13" t="str">
        <x:v>UNRESOLVED</x:v>
      </x:c>
      <x:c r="U306" s="13" t="str"/>
      <x:c r="V306" s="13" t="str"/>
      <x:c r="W306" s="13" t="str"/>
      <x:c r="X306" s="13" t="str">
        <x:f>IF(L306&lt;&gt;"COVERED","HELD — COVERAGE",IF(N306="YES — SENSITIVE","C ACTIONABLE","CHAPTER 5 DEFAULT"))</x:f>
        <x:v>HELD — COVERAGE</x:v>
      </x:c>
      <x:c r="Y306" s="13" t="str">
        <x:f>IF(L306&lt;&gt;"COVERED","HELD — COVERAGE",IF(P306="YES — MANAGED ACCESS","D ACTIONABLE","NO D FIELD"))</x:f>
        <x:v>HELD — COVERAGE</x:v>
      </x:c>
      <x:c r="Z306" s="13" t="str">
        <x:f>IF(L306&lt;&gt;"COVERED","HELD — COVERAGE",IF(OR(R306="PAIRED SYNCHRONIZED",R306="TRILATERAL SYNCHRONIZED"),"E ACTIONABLE","INDEPENDENT"))</x:f>
        <x:v>HELD — COVERAGE</x:v>
      </x:c>
      <x:c r="AA306" s="13" t="str">
        <x:f>IF(L306&lt;&gt;"COVERED","HELD — COVERAGE","WAIT FOR UPSTREAM COMPLETION")</x:f>
        <x:v>HELD — COVERAGE</x:v>
      </x:c>
      <x:c r="AB306" s="13" t="str">
        <x:f>IF(L306&lt;&gt;"COVERED","HELD — COVERAGE",IF(T306="UNRESOLVED","G DECISION REQUIRED",IF(T306="NOT APPLICABLE","G N/A","G ACTIONABLE")))</x:f>
        <x:v>HELD — COVERAGE</x:v>
      </x:c>
      <x:c r="AC306" s="13" t="str">
        <x:f>IF(L306="UNRESOLVED","COVERAGE FIRST",IF(OR(L306="EXCLUDED",L306="OUT OF SCOPE"),"CLOSED BY COVERAGE",IF(AND(L306="COVERED",T306&lt;&gt;"UNRESOLVED"),"PARTIALLY ADOPTED","DECISIONS REMAIN")))</x:f>
        <x:v>COVERAGE FIRST</x:v>
      </x:c>
    </x:row>
    <x:row r="307">
      <x:c r="A307" s="13" t="str">
        <x:v>NAAFTC-HS6-030779</x:v>
      </x:c>
      <x:c r="B307" s="13" t="str">
        <x:v>030779</x:v>
      </x:c>
      <x:c r="C307" s="13" t="str">
        <x:v>03</x:v>
      </x:c>
      <x:c r="D307" s="13" t="str">
        <x:v>TRILATERAL_SPLIT_MERGE</x:v>
      </x:c>
      <x:c r="E307" s="13" t="str">
        <x:v>Pending</x:v>
      </x:c>
      <x:c r="F307" s="13" t="n">
        <x:v>4</x:v>
      </x:c>
      <x:c r="G307" s="13" t="n">
        <x:v>1</x:v>
      </x:c>
      <x:c r="H307" s="13" t="n">
        <x:v>1</x:v>
      </x:c>
      <x:c r="I307" s="13" t="str">
        <x:v>0307790130; 0307790151; 0307790155; 0307790160</x:v>
      </x:c>
      <x:c r="J307" s="13" t="str">
        <x:v>0307799900</x:v>
      </x:c>
      <x:c r="K307" s="13" t="str">
        <x:v>0307799000</x:v>
      </x:c>
      <x:c r="L307" s="13" t="str">
        <x:v>UNRESOLVED</x:v>
      </x:c>
      <x:c r="M307" s="13" t="str"/>
      <x:c r="N307" s="13" t="str">
        <x:v>NO / DEFAULT</x:v>
      </x:c>
      <x:c r="O307" s="13" t="str"/>
      <x:c r="P307" s="13" t="str">
        <x:v>NO / DEFAULT</x:v>
      </x:c>
      <x:c r="Q307" s="13" t="str"/>
      <x:c r="R307" s="13" t="str">
        <x:v>INDEPENDENT / DEFAULT</x:v>
      </x:c>
      <x:c r="S307" s="13" t="str"/>
      <x:c r="T307" s="13" t="str">
        <x:v>UNRESOLVED</x:v>
      </x:c>
      <x:c r="U307" s="13" t="str"/>
      <x:c r="V307" s="13" t="str"/>
      <x:c r="W307" s="13" t="str"/>
      <x:c r="X307" s="13" t="str">
        <x:f>IF(L307&lt;&gt;"COVERED","HELD — COVERAGE",IF(N307="YES — SENSITIVE","C ACTIONABLE","CHAPTER 5 DEFAULT"))</x:f>
        <x:v>HELD — COVERAGE</x:v>
      </x:c>
      <x:c r="Y307" s="13" t="str">
        <x:f>IF(L307&lt;&gt;"COVERED","HELD — COVERAGE",IF(P307="YES — MANAGED ACCESS","D ACTIONABLE","NO D FIELD"))</x:f>
        <x:v>HELD — COVERAGE</x:v>
      </x:c>
      <x:c r="Z307" s="13" t="str">
        <x:f>IF(L307&lt;&gt;"COVERED","HELD — COVERAGE",IF(OR(R307="PAIRED SYNCHRONIZED",R307="TRILATERAL SYNCHRONIZED"),"E ACTIONABLE","INDEPENDENT"))</x:f>
        <x:v>HELD — COVERAGE</x:v>
      </x:c>
      <x:c r="AA307" s="13" t="str">
        <x:f>IF(L307&lt;&gt;"COVERED","HELD — COVERAGE","WAIT FOR UPSTREAM COMPLETION")</x:f>
        <x:v>HELD — COVERAGE</x:v>
      </x:c>
      <x:c r="AB307" s="13" t="str">
        <x:f>IF(L307&lt;&gt;"COVERED","HELD — COVERAGE",IF(T307="UNRESOLVED","G DECISION REQUIRED",IF(T307="NOT APPLICABLE","G N/A","G ACTIONABLE")))</x:f>
        <x:v>HELD — COVERAGE</x:v>
      </x:c>
      <x:c r="AC307" s="13" t="str">
        <x:f>IF(L307="UNRESOLVED","COVERAGE FIRST",IF(OR(L307="EXCLUDED",L307="OUT OF SCOPE"),"CLOSED BY COVERAGE",IF(AND(L307="COVERED",T307&lt;&gt;"UNRESOLVED"),"PARTIALLY ADOPTED","DECISIONS REMAIN")))</x:f>
        <x:v>COVERAGE FIRST</x:v>
      </x:c>
    </x:row>
    <x:row r="308">
      <x:c r="A308" s="13" t="str">
        <x:v>NAAFTC-HS6-030781</x:v>
      </x:c>
      <x:c r="B308" s="13" t="str">
        <x:v>030781</x:v>
      </x:c>
      <x:c r="C308" s="13" t="str">
        <x:v>03</x:v>
      </x:c>
      <x:c r="D308" s="13" t="str">
        <x:v>TRILATERAL_1_TO_1_TO_1</x:v>
      </x:c>
      <x:c r="E308" s="13" t="str">
        <x:v>Pending</x:v>
      </x:c>
      <x:c r="F308" s="13" t="n">
        <x:v>1</x:v>
      </x:c>
      <x:c r="G308" s="13" t="n">
        <x:v>1</x:v>
      </x:c>
      <x:c r="H308" s="13" t="n">
        <x:v>1</x:v>
      </x:c>
      <x:c r="I308" s="13" t="str">
        <x:v>0307810000</x:v>
      </x:c>
      <x:c r="J308" s="13" t="str">
        <x:v>0307810100</x:v>
      </x:c>
      <x:c r="K308" s="13" t="str">
        <x:v>0307810000</x:v>
      </x:c>
      <x:c r="L308" s="13" t="str">
        <x:v>UNRESOLVED</x:v>
      </x:c>
      <x:c r="M308" s="13" t="str"/>
      <x:c r="N308" s="13" t="str">
        <x:v>NO / DEFAULT</x:v>
      </x:c>
      <x:c r="O308" s="13" t="str"/>
      <x:c r="P308" s="13" t="str">
        <x:v>NO / DEFAULT</x:v>
      </x:c>
      <x:c r="Q308" s="13" t="str"/>
      <x:c r="R308" s="13" t="str">
        <x:v>INDEPENDENT / DEFAULT</x:v>
      </x:c>
      <x:c r="S308" s="13" t="str"/>
      <x:c r="T308" s="13" t="str">
        <x:v>UNRESOLVED</x:v>
      </x:c>
      <x:c r="U308" s="13" t="str"/>
      <x:c r="V308" s="13" t="str"/>
      <x:c r="W308" s="13" t="str"/>
      <x:c r="X308" s="13" t="str">
        <x:f>IF(L308&lt;&gt;"COVERED","HELD — COVERAGE",IF(N308="YES — SENSITIVE","C ACTIONABLE","CHAPTER 5 DEFAULT"))</x:f>
        <x:v>HELD — COVERAGE</x:v>
      </x:c>
      <x:c r="Y308" s="13" t="str">
        <x:f>IF(L308&lt;&gt;"COVERED","HELD — COVERAGE",IF(P308="YES — MANAGED ACCESS","D ACTIONABLE","NO D FIELD"))</x:f>
        <x:v>HELD — COVERAGE</x:v>
      </x:c>
      <x:c r="Z308" s="13" t="str">
        <x:f>IF(L308&lt;&gt;"COVERED","HELD — COVERAGE",IF(OR(R308="PAIRED SYNCHRONIZED",R308="TRILATERAL SYNCHRONIZED"),"E ACTIONABLE","INDEPENDENT"))</x:f>
        <x:v>HELD — COVERAGE</x:v>
      </x:c>
      <x:c r="AA308" s="13" t="str">
        <x:f>IF(L308&lt;&gt;"COVERED","HELD — COVERAGE","WAIT FOR UPSTREAM COMPLETION")</x:f>
        <x:v>HELD — COVERAGE</x:v>
      </x:c>
      <x:c r="AB308" s="13" t="str">
        <x:f>IF(L308&lt;&gt;"COVERED","HELD — COVERAGE",IF(T308="UNRESOLVED","G DECISION REQUIRED",IF(T308="NOT APPLICABLE","G N/A","G ACTIONABLE")))</x:f>
        <x:v>HELD — COVERAGE</x:v>
      </x:c>
      <x:c r="AC308" s="13" t="str">
        <x:f>IF(L308="UNRESOLVED","COVERAGE FIRST",IF(OR(L308="EXCLUDED",L308="OUT OF SCOPE"),"CLOSED BY COVERAGE",IF(AND(L308="COVERED",T308&lt;&gt;"UNRESOLVED"),"PARTIALLY ADOPTED","DECISIONS REMAIN")))</x:f>
        <x:v>COVERAGE FIRST</x:v>
      </x:c>
    </x:row>
    <x:row r="309">
      <x:c r="A309" s="13" t="str">
        <x:v>NAAFTC-HS6-030782</x:v>
      </x:c>
      <x:c r="B309" s="13" t="str">
        <x:v>030782</x:v>
      </x:c>
      <x:c r="C309" s="13" t="str">
        <x:v>03</x:v>
      </x:c>
      <x:c r="D309" s="13" t="str">
        <x:v>TRILATERAL_1_TO_1_TO_1</x:v>
      </x:c>
      <x:c r="E309" s="13" t="str">
        <x:v>Pending</x:v>
      </x:c>
      <x:c r="F309" s="13" t="n">
        <x:v>1</x:v>
      </x:c>
      <x:c r="G309" s="13" t="n">
        <x:v>1</x:v>
      </x:c>
      <x:c r="H309" s="13" t="n">
        <x:v>1</x:v>
      </x:c>
      <x:c r="I309" s="13" t="str">
        <x:v>0307820000</x:v>
      </x:c>
      <x:c r="J309" s="13" t="str">
        <x:v>0307820100</x:v>
      </x:c>
      <x:c r="K309" s="13" t="str">
        <x:v>0307820000</x:v>
      </x:c>
      <x:c r="L309" s="13" t="str">
        <x:v>UNRESOLVED</x:v>
      </x:c>
      <x:c r="M309" s="13" t="str"/>
      <x:c r="N309" s="13" t="str">
        <x:v>NO / DEFAULT</x:v>
      </x:c>
      <x:c r="O309" s="13" t="str"/>
      <x:c r="P309" s="13" t="str">
        <x:v>NO / DEFAULT</x:v>
      </x:c>
      <x:c r="Q309" s="13" t="str"/>
      <x:c r="R309" s="13" t="str">
        <x:v>INDEPENDENT / DEFAULT</x:v>
      </x:c>
      <x:c r="S309" s="13" t="str"/>
      <x:c r="T309" s="13" t="str">
        <x:v>UNRESOLVED</x:v>
      </x:c>
      <x:c r="U309" s="13" t="str"/>
      <x:c r="V309" s="13" t="str"/>
      <x:c r="W309" s="13" t="str"/>
      <x:c r="X309" s="13" t="str">
        <x:f>IF(L309&lt;&gt;"COVERED","HELD — COVERAGE",IF(N309="YES — SENSITIVE","C ACTIONABLE","CHAPTER 5 DEFAULT"))</x:f>
        <x:v>HELD — COVERAGE</x:v>
      </x:c>
      <x:c r="Y309" s="13" t="str">
        <x:f>IF(L309&lt;&gt;"COVERED","HELD — COVERAGE",IF(P309="YES — MANAGED ACCESS","D ACTIONABLE","NO D FIELD"))</x:f>
        <x:v>HELD — COVERAGE</x:v>
      </x:c>
      <x:c r="Z309" s="13" t="str">
        <x:f>IF(L309&lt;&gt;"COVERED","HELD — COVERAGE",IF(OR(R309="PAIRED SYNCHRONIZED",R309="TRILATERAL SYNCHRONIZED"),"E ACTIONABLE","INDEPENDENT"))</x:f>
        <x:v>HELD — COVERAGE</x:v>
      </x:c>
      <x:c r="AA309" s="13" t="str">
        <x:f>IF(L309&lt;&gt;"COVERED","HELD — COVERAGE","WAIT FOR UPSTREAM COMPLETION")</x:f>
        <x:v>HELD — COVERAGE</x:v>
      </x:c>
      <x:c r="AB309" s="13" t="str">
        <x:f>IF(L309&lt;&gt;"COVERED","HELD — COVERAGE",IF(T309="UNRESOLVED","G DECISION REQUIRED",IF(T309="NOT APPLICABLE","G N/A","G ACTIONABLE")))</x:f>
        <x:v>HELD — COVERAGE</x:v>
      </x:c>
      <x:c r="AC309" s="13" t="str">
        <x:f>IF(L309="UNRESOLVED","COVERAGE FIRST",IF(OR(L309="EXCLUDED",L309="OUT OF SCOPE"),"CLOSED BY COVERAGE",IF(AND(L309="COVERED",T309&lt;&gt;"UNRESOLVED"),"PARTIALLY ADOPTED","DECISIONS REMAIN")))</x:f>
        <x:v>COVERAGE FIRST</x:v>
      </x:c>
    </x:row>
    <x:row r="310">
      <x:c r="A310" s="13" t="str">
        <x:v>NAAFTC-HS6-030783</x:v>
      </x:c>
      <x:c r="B310" s="13" t="str">
        <x:v>030783</x:v>
      </x:c>
      <x:c r="C310" s="13" t="str">
        <x:v>03</x:v>
      </x:c>
      <x:c r="D310" s="13" t="str">
        <x:v>TRILATERAL_SPLIT_MERGE</x:v>
      </x:c>
      <x:c r="E310" s="13" t="str">
        <x:v>Pending</x:v>
      </x:c>
      <x:c r="F310" s="13" t="n">
        <x:v>1</x:v>
      </x:c>
      <x:c r="G310" s="13" t="n">
        <x:v>1</x:v>
      </x:c>
      <x:c r="H310" s="13" t="n">
        <x:v>2</x:v>
      </x:c>
      <x:c r="I310" s="13" t="str">
        <x:v>0307830000</x:v>
      </x:c>
      <x:c r="J310" s="13" t="str">
        <x:v>0307830100</x:v>
      </x:c>
      <x:c r="K310" s="13" t="str">
        <x:v>0307831000; 0307839000</x:v>
      </x:c>
      <x:c r="L310" s="13" t="str">
        <x:v>UNRESOLVED</x:v>
      </x:c>
      <x:c r="M310" s="13" t="str"/>
      <x:c r="N310" s="13" t="str">
        <x:v>NO / DEFAULT</x:v>
      </x:c>
      <x:c r="O310" s="13" t="str"/>
      <x:c r="P310" s="13" t="str">
        <x:v>NO / DEFAULT</x:v>
      </x:c>
      <x:c r="Q310" s="13" t="str"/>
      <x:c r="R310" s="13" t="str">
        <x:v>INDEPENDENT / DEFAULT</x:v>
      </x:c>
      <x:c r="S310" s="13" t="str"/>
      <x:c r="T310" s="13" t="str">
        <x:v>UNRESOLVED</x:v>
      </x:c>
      <x:c r="U310" s="13" t="str"/>
      <x:c r="V310" s="13" t="str"/>
      <x:c r="W310" s="13" t="str"/>
      <x:c r="X310" s="13" t="str">
        <x:f>IF(L310&lt;&gt;"COVERED","HELD — COVERAGE",IF(N310="YES — SENSITIVE","C ACTIONABLE","CHAPTER 5 DEFAULT"))</x:f>
        <x:v>HELD — COVERAGE</x:v>
      </x:c>
      <x:c r="Y310" s="13" t="str">
        <x:f>IF(L310&lt;&gt;"COVERED","HELD — COVERAGE",IF(P310="YES — MANAGED ACCESS","D ACTIONABLE","NO D FIELD"))</x:f>
        <x:v>HELD — COVERAGE</x:v>
      </x:c>
      <x:c r="Z310" s="13" t="str">
        <x:f>IF(L310&lt;&gt;"COVERED","HELD — COVERAGE",IF(OR(R310="PAIRED SYNCHRONIZED",R310="TRILATERAL SYNCHRONIZED"),"E ACTIONABLE","INDEPENDENT"))</x:f>
        <x:v>HELD — COVERAGE</x:v>
      </x:c>
      <x:c r="AA310" s="13" t="str">
        <x:f>IF(L310&lt;&gt;"COVERED","HELD — COVERAGE","WAIT FOR UPSTREAM COMPLETION")</x:f>
        <x:v>HELD — COVERAGE</x:v>
      </x:c>
      <x:c r="AB310" s="13" t="str">
        <x:f>IF(L310&lt;&gt;"COVERED","HELD — COVERAGE",IF(T310="UNRESOLVED","G DECISION REQUIRED",IF(T310="NOT APPLICABLE","G N/A","G ACTIONABLE")))</x:f>
        <x:v>HELD — COVERAGE</x:v>
      </x:c>
      <x:c r="AC310" s="13" t="str">
        <x:f>IF(L310="UNRESOLVED","COVERAGE FIRST",IF(OR(L310="EXCLUDED",L310="OUT OF SCOPE"),"CLOSED BY COVERAGE",IF(AND(L310="COVERED",T310&lt;&gt;"UNRESOLVED"),"PARTIALLY ADOPTED","DECISIONS REMAIN")))</x:f>
        <x:v>COVERAGE FIRST</x:v>
      </x:c>
    </x:row>
    <x:row r="311">
      <x:c r="A311" s="13" t="str">
        <x:v>NAAFTC-HS6-030784</x:v>
      </x:c>
      <x:c r="B311" s="13" t="str">
        <x:v>030784</x:v>
      </x:c>
      <x:c r="C311" s="13" t="str">
        <x:v>03</x:v>
      </x:c>
      <x:c r="D311" s="13" t="str">
        <x:v>TRILATERAL_1_TO_1_TO_1</x:v>
      </x:c>
      <x:c r="E311" s="13" t="str">
        <x:v>Pending</x:v>
      </x:c>
      <x:c r="F311" s="13" t="n">
        <x:v>1</x:v>
      </x:c>
      <x:c r="G311" s="13" t="n">
        <x:v>1</x:v>
      </x:c>
      <x:c r="H311" s="13" t="n">
        <x:v>1</x:v>
      </x:c>
      <x:c r="I311" s="13" t="str">
        <x:v>0307840000</x:v>
      </x:c>
      <x:c r="J311" s="13" t="str">
        <x:v>0307840100</x:v>
      </x:c>
      <x:c r="K311" s="13" t="str">
        <x:v>0307841000</x:v>
      </x:c>
      <x:c r="L311" s="13" t="str">
        <x:v>UNRESOLVED</x:v>
      </x:c>
      <x:c r="M311" s="13" t="str"/>
      <x:c r="N311" s="13" t="str">
        <x:v>NO / DEFAULT</x:v>
      </x:c>
      <x:c r="O311" s="13" t="str"/>
      <x:c r="P311" s="13" t="str">
        <x:v>NO / DEFAULT</x:v>
      </x:c>
      <x:c r="Q311" s="13" t="str"/>
      <x:c r="R311" s="13" t="str">
        <x:v>INDEPENDENT / DEFAULT</x:v>
      </x:c>
      <x:c r="S311" s="13" t="str"/>
      <x:c r="T311" s="13" t="str">
        <x:v>UNRESOLVED</x:v>
      </x:c>
      <x:c r="U311" s="13" t="str"/>
      <x:c r="V311" s="13" t="str"/>
      <x:c r="W311" s="13" t="str"/>
      <x:c r="X311" s="13" t="str">
        <x:f>IF(L311&lt;&gt;"COVERED","HELD — COVERAGE",IF(N311="YES — SENSITIVE","C ACTIONABLE","CHAPTER 5 DEFAULT"))</x:f>
        <x:v>HELD — COVERAGE</x:v>
      </x:c>
      <x:c r="Y311" s="13" t="str">
        <x:f>IF(L311&lt;&gt;"COVERED","HELD — COVERAGE",IF(P311="YES — MANAGED ACCESS","D ACTIONABLE","NO D FIELD"))</x:f>
        <x:v>HELD — COVERAGE</x:v>
      </x:c>
      <x:c r="Z311" s="13" t="str">
        <x:f>IF(L311&lt;&gt;"COVERED","HELD — COVERAGE",IF(OR(R311="PAIRED SYNCHRONIZED",R311="TRILATERAL SYNCHRONIZED"),"E ACTIONABLE","INDEPENDENT"))</x:f>
        <x:v>HELD — COVERAGE</x:v>
      </x:c>
      <x:c r="AA311" s="13" t="str">
        <x:f>IF(L311&lt;&gt;"COVERED","HELD — COVERAGE","WAIT FOR UPSTREAM COMPLETION")</x:f>
        <x:v>HELD — COVERAGE</x:v>
      </x:c>
      <x:c r="AB311" s="13" t="str">
        <x:f>IF(L311&lt;&gt;"COVERED","HELD — COVERAGE",IF(T311="UNRESOLVED","G DECISION REQUIRED",IF(T311="NOT APPLICABLE","G N/A","G ACTIONABLE")))</x:f>
        <x:v>HELD — COVERAGE</x:v>
      </x:c>
      <x:c r="AC311" s="13" t="str">
        <x:f>IF(L311="UNRESOLVED","COVERAGE FIRST",IF(OR(L311="EXCLUDED",L311="OUT OF SCOPE"),"CLOSED BY COVERAGE",IF(AND(L311="COVERED",T311&lt;&gt;"UNRESOLVED"),"PARTIALLY ADOPTED","DECISIONS REMAIN")))</x:f>
        <x:v>COVERAGE FIRST</x:v>
      </x:c>
    </x:row>
    <x:row r="312">
      <x:c r="A312" s="13" t="str">
        <x:v>NAAFTC-HS6-030787</x:v>
      </x:c>
      <x:c r="B312" s="13" t="str">
        <x:v>030787</x:v>
      </x:c>
      <x:c r="C312" s="13" t="str">
        <x:v>03</x:v>
      </x:c>
      <x:c r="D312" s="13" t="str">
        <x:v>TRILATERAL_SPLIT_MERGE</x:v>
      </x:c>
      <x:c r="E312" s="13" t="str">
        <x:v>Pending</x:v>
      </x:c>
      <x:c r="F312" s="13" t="n">
        <x:v>1</x:v>
      </x:c>
      <x:c r="G312" s="13" t="n">
        <x:v>1</x:v>
      </x:c>
      <x:c r="H312" s="13" t="n">
        <x:v>2</x:v>
      </x:c>
      <x:c r="I312" s="13" t="str">
        <x:v>0307870000</x:v>
      </x:c>
      <x:c r="J312" s="13" t="str">
        <x:v>0307879100</x:v>
      </x:c>
      <x:c r="K312" s="13" t="str">
        <x:v>0307871000; 0307879000</x:v>
      </x:c>
      <x:c r="L312" s="13" t="str">
        <x:v>UNRESOLVED</x:v>
      </x:c>
      <x:c r="M312" s="13" t="str"/>
      <x:c r="N312" s="13" t="str">
        <x:v>NO / DEFAULT</x:v>
      </x:c>
      <x:c r="O312" s="13" t="str"/>
      <x:c r="P312" s="13" t="str">
        <x:v>NO / DEFAULT</x:v>
      </x:c>
      <x:c r="Q312" s="13" t="str"/>
      <x:c r="R312" s="13" t="str">
        <x:v>INDEPENDENT / DEFAULT</x:v>
      </x:c>
      <x:c r="S312" s="13" t="str"/>
      <x:c r="T312" s="13" t="str">
        <x:v>UNRESOLVED</x:v>
      </x:c>
      <x:c r="U312" s="13" t="str"/>
      <x:c r="V312" s="13" t="str"/>
      <x:c r="W312" s="13" t="str"/>
      <x:c r="X312" s="13" t="str">
        <x:f>IF(L312&lt;&gt;"COVERED","HELD — COVERAGE",IF(N312="YES — SENSITIVE","C ACTIONABLE","CHAPTER 5 DEFAULT"))</x:f>
        <x:v>HELD — COVERAGE</x:v>
      </x:c>
      <x:c r="Y312" s="13" t="str">
        <x:f>IF(L312&lt;&gt;"COVERED","HELD — COVERAGE",IF(P312="YES — MANAGED ACCESS","D ACTIONABLE","NO D FIELD"))</x:f>
        <x:v>HELD — COVERAGE</x:v>
      </x:c>
      <x:c r="Z312" s="13" t="str">
        <x:f>IF(L312&lt;&gt;"COVERED","HELD — COVERAGE",IF(OR(R312="PAIRED SYNCHRONIZED",R312="TRILATERAL SYNCHRONIZED"),"E ACTIONABLE","INDEPENDENT"))</x:f>
        <x:v>HELD — COVERAGE</x:v>
      </x:c>
      <x:c r="AA312" s="13" t="str">
        <x:f>IF(L312&lt;&gt;"COVERED","HELD — COVERAGE","WAIT FOR UPSTREAM COMPLETION")</x:f>
        <x:v>HELD — COVERAGE</x:v>
      </x:c>
      <x:c r="AB312" s="13" t="str">
        <x:f>IF(L312&lt;&gt;"COVERED","HELD — COVERAGE",IF(T312="UNRESOLVED","G DECISION REQUIRED",IF(T312="NOT APPLICABLE","G N/A","G ACTIONABLE")))</x:f>
        <x:v>HELD — COVERAGE</x:v>
      </x:c>
      <x:c r="AC312" s="13" t="str">
        <x:f>IF(L312="UNRESOLVED","COVERAGE FIRST",IF(OR(L312="EXCLUDED",L312="OUT OF SCOPE"),"CLOSED BY COVERAGE",IF(AND(L312="COVERED",T312&lt;&gt;"UNRESOLVED"),"PARTIALLY ADOPTED","DECISIONS REMAIN")))</x:f>
        <x:v>COVERAGE FIRST</x:v>
      </x:c>
    </x:row>
    <x:row r="313">
      <x:c r="A313" s="13" t="str">
        <x:v>NAAFTC-HS6-030788</x:v>
      </x:c>
      <x:c r="B313" s="13" t="str">
        <x:v>030788</x:v>
      </x:c>
      <x:c r="C313" s="13" t="str">
        <x:v>03</x:v>
      </x:c>
      <x:c r="D313" s="13" t="str">
        <x:v>TRILATERAL_SPLIT_MERGE</x:v>
      </x:c>
      <x:c r="E313" s="13" t="str">
        <x:v>Pending</x:v>
      </x:c>
      <x:c r="F313" s="13" t="n">
        <x:v>1</x:v>
      </x:c>
      <x:c r="G313" s="13" t="n">
        <x:v>1</x:v>
      </x:c>
      <x:c r="H313" s="13" t="n">
        <x:v>2</x:v>
      </x:c>
      <x:c r="I313" s="13" t="str">
        <x:v>0307880000</x:v>
      </x:c>
      <x:c r="J313" s="13" t="str">
        <x:v>0307889100</x:v>
      </x:c>
      <x:c r="K313" s="13" t="str">
        <x:v>0307881000; 0307889000</x:v>
      </x:c>
      <x:c r="L313" s="13" t="str">
        <x:v>UNRESOLVED</x:v>
      </x:c>
      <x:c r="M313" s="13" t="str"/>
      <x:c r="N313" s="13" t="str">
        <x:v>NO / DEFAULT</x:v>
      </x:c>
      <x:c r="O313" s="13" t="str"/>
      <x:c r="P313" s="13" t="str">
        <x:v>NO / DEFAULT</x:v>
      </x:c>
      <x:c r="Q313" s="13" t="str"/>
      <x:c r="R313" s="13" t="str">
        <x:v>INDEPENDENT / DEFAULT</x:v>
      </x:c>
      <x:c r="S313" s="13" t="str"/>
      <x:c r="T313" s="13" t="str">
        <x:v>UNRESOLVED</x:v>
      </x:c>
      <x:c r="U313" s="13" t="str"/>
      <x:c r="V313" s="13" t="str"/>
      <x:c r="W313" s="13" t="str"/>
      <x:c r="X313" s="13" t="str">
        <x:f>IF(L313&lt;&gt;"COVERED","HELD — COVERAGE",IF(N313="YES — SENSITIVE","C ACTIONABLE","CHAPTER 5 DEFAULT"))</x:f>
        <x:v>HELD — COVERAGE</x:v>
      </x:c>
      <x:c r="Y313" s="13" t="str">
        <x:f>IF(L313&lt;&gt;"COVERED","HELD — COVERAGE",IF(P313="YES — MANAGED ACCESS","D ACTIONABLE","NO D FIELD"))</x:f>
        <x:v>HELD — COVERAGE</x:v>
      </x:c>
      <x:c r="Z313" s="13" t="str">
        <x:f>IF(L313&lt;&gt;"COVERED","HELD — COVERAGE",IF(OR(R313="PAIRED SYNCHRONIZED",R313="TRILATERAL SYNCHRONIZED"),"E ACTIONABLE","INDEPENDENT"))</x:f>
        <x:v>HELD — COVERAGE</x:v>
      </x:c>
      <x:c r="AA313" s="13" t="str">
        <x:f>IF(L313&lt;&gt;"COVERED","HELD — COVERAGE","WAIT FOR UPSTREAM COMPLETION")</x:f>
        <x:v>HELD — COVERAGE</x:v>
      </x:c>
      <x:c r="AB313" s="13" t="str">
        <x:f>IF(L313&lt;&gt;"COVERED","HELD — COVERAGE",IF(T313="UNRESOLVED","G DECISION REQUIRED",IF(T313="NOT APPLICABLE","G N/A","G ACTIONABLE")))</x:f>
        <x:v>HELD — COVERAGE</x:v>
      </x:c>
      <x:c r="AC313" s="13" t="str">
        <x:f>IF(L313="UNRESOLVED","COVERAGE FIRST",IF(OR(L313="EXCLUDED",L313="OUT OF SCOPE"),"CLOSED BY COVERAGE",IF(AND(L313="COVERED",T313&lt;&gt;"UNRESOLVED"),"PARTIALLY ADOPTED","DECISIONS REMAIN")))</x:f>
        <x:v>COVERAGE FIRST</x:v>
      </x:c>
    </x:row>
    <x:row r="314">
      <x:c r="A314" s="13" t="str">
        <x:v>NAAFTC-HS6-030791</x:v>
      </x:c>
      <x:c r="B314" s="13" t="str">
        <x:v>030791</x:v>
      </x:c>
      <x:c r="C314" s="13" t="str">
        <x:v>03</x:v>
      </x:c>
      <x:c r="D314" s="13" t="str">
        <x:v>TRILATERAL_SPLIT_MERGE</x:v>
      </x:c>
      <x:c r="E314" s="13" t="str">
        <x:v>Pending</x:v>
      </x:c>
      <x:c r="F314" s="13" t="n">
        <x:v>2</x:v>
      </x:c>
      <x:c r="G314" s="13" t="n">
        <x:v>1</x:v>
      </x:c>
      <x:c r="H314" s="13" t="n">
        <x:v>1</x:v>
      </x:c>
      <x:c r="I314" s="13" t="str">
        <x:v>0307910330; 0307910390</x:v>
      </x:c>
      <x:c r="J314" s="13" t="str">
        <x:v>0307910100</x:v>
      </x:c>
      <x:c r="K314" s="13" t="str">
        <x:v>0307910000</x:v>
      </x:c>
      <x:c r="L314" s="13" t="str">
        <x:v>UNRESOLVED</x:v>
      </x:c>
      <x:c r="M314" s="13" t="str"/>
      <x:c r="N314" s="13" t="str">
        <x:v>NO / DEFAULT</x:v>
      </x:c>
      <x:c r="O314" s="13" t="str"/>
      <x:c r="P314" s="13" t="str">
        <x:v>NO / DEFAULT</x:v>
      </x:c>
      <x:c r="Q314" s="13" t="str"/>
      <x:c r="R314" s="13" t="str">
        <x:v>INDEPENDENT / DEFAULT</x:v>
      </x:c>
      <x:c r="S314" s="13" t="str"/>
      <x:c r="T314" s="13" t="str">
        <x:v>UNRESOLVED</x:v>
      </x:c>
      <x:c r="U314" s="13" t="str"/>
      <x:c r="V314" s="13" t="str"/>
      <x:c r="W314" s="13" t="str"/>
      <x:c r="X314" s="13" t="str">
        <x:f>IF(L314&lt;&gt;"COVERED","HELD — COVERAGE",IF(N314="YES — SENSITIVE","C ACTIONABLE","CHAPTER 5 DEFAULT"))</x:f>
        <x:v>HELD — COVERAGE</x:v>
      </x:c>
      <x:c r="Y314" s="13" t="str">
        <x:f>IF(L314&lt;&gt;"COVERED","HELD — COVERAGE",IF(P314="YES — MANAGED ACCESS","D ACTIONABLE","NO D FIELD"))</x:f>
        <x:v>HELD — COVERAGE</x:v>
      </x:c>
      <x:c r="Z314" s="13" t="str">
        <x:f>IF(L314&lt;&gt;"COVERED","HELD — COVERAGE",IF(OR(R314="PAIRED SYNCHRONIZED",R314="TRILATERAL SYNCHRONIZED"),"E ACTIONABLE","INDEPENDENT"))</x:f>
        <x:v>HELD — COVERAGE</x:v>
      </x:c>
      <x:c r="AA314" s="13" t="str">
        <x:f>IF(L314&lt;&gt;"COVERED","HELD — COVERAGE","WAIT FOR UPSTREAM COMPLETION")</x:f>
        <x:v>HELD — COVERAGE</x:v>
      </x:c>
      <x:c r="AB314" s="13" t="str">
        <x:f>IF(L314&lt;&gt;"COVERED","HELD — COVERAGE",IF(T314="UNRESOLVED","G DECISION REQUIRED",IF(T314="NOT APPLICABLE","G N/A","G ACTIONABLE")))</x:f>
        <x:v>HELD — COVERAGE</x:v>
      </x:c>
      <x:c r="AC314" s="13" t="str">
        <x:f>IF(L314="UNRESOLVED","COVERAGE FIRST",IF(OR(L314="EXCLUDED",L314="OUT OF SCOPE"),"CLOSED BY COVERAGE",IF(AND(L314="COVERED",T314&lt;&gt;"UNRESOLVED"),"PARTIALLY ADOPTED","DECISIONS REMAIN")))</x:f>
        <x:v>COVERAGE FIRST</x:v>
      </x:c>
    </x:row>
    <x:row r="315">
      <x:c r="A315" s="13" t="str">
        <x:v>NAAFTC-HS6-030792</x:v>
      </x:c>
      <x:c r="B315" s="13" t="str">
        <x:v>030792</x:v>
      </x:c>
      <x:c r="C315" s="13" t="str">
        <x:v>03</x:v>
      </x:c>
      <x:c r="D315" s="13" t="str">
        <x:v>TRILATERAL_SPLIT_MERGE</x:v>
      </x:c>
      <x:c r="E315" s="13" t="str">
        <x:v>Pending</x:v>
      </x:c>
      <x:c r="F315" s="13" t="n">
        <x:v>2</x:v>
      </x:c>
      <x:c r="G315" s="13" t="n">
        <x:v>1</x:v>
      </x:c>
      <x:c r="H315" s="13" t="n">
        <x:v>2</x:v>
      </x:c>
      <x:c r="I315" s="13" t="str">
        <x:v>0307920130; 0307920190</x:v>
      </x:c>
      <x:c r="J315" s="13" t="str">
        <x:v>0307920100</x:v>
      </x:c>
      <x:c r="K315" s="13" t="str">
        <x:v>0307921000; 0307929000</x:v>
      </x:c>
      <x:c r="L315" s="13" t="str">
        <x:v>UNRESOLVED</x:v>
      </x:c>
      <x:c r="M315" s="13" t="str"/>
      <x:c r="N315" s="13" t="str">
        <x:v>NO / DEFAULT</x:v>
      </x:c>
      <x:c r="O315" s="13" t="str"/>
      <x:c r="P315" s="13" t="str">
        <x:v>NO / DEFAULT</x:v>
      </x:c>
      <x:c r="Q315" s="13" t="str"/>
      <x:c r="R315" s="13" t="str">
        <x:v>INDEPENDENT / DEFAULT</x:v>
      </x:c>
      <x:c r="S315" s="13" t="str"/>
      <x:c r="T315" s="13" t="str">
        <x:v>UNRESOLVED</x:v>
      </x:c>
      <x:c r="U315" s="13" t="str"/>
      <x:c r="V315" s="13" t="str"/>
      <x:c r="W315" s="13" t="str"/>
      <x:c r="X315" s="13" t="str">
        <x:f>IF(L315&lt;&gt;"COVERED","HELD — COVERAGE",IF(N315="YES — SENSITIVE","C ACTIONABLE","CHAPTER 5 DEFAULT"))</x:f>
        <x:v>HELD — COVERAGE</x:v>
      </x:c>
      <x:c r="Y315" s="13" t="str">
        <x:f>IF(L315&lt;&gt;"COVERED","HELD — COVERAGE",IF(P315="YES — MANAGED ACCESS","D ACTIONABLE","NO D FIELD"))</x:f>
        <x:v>HELD — COVERAGE</x:v>
      </x:c>
      <x:c r="Z315" s="13" t="str">
        <x:f>IF(L315&lt;&gt;"COVERED","HELD — COVERAGE",IF(OR(R315="PAIRED SYNCHRONIZED",R315="TRILATERAL SYNCHRONIZED"),"E ACTIONABLE","INDEPENDENT"))</x:f>
        <x:v>HELD — COVERAGE</x:v>
      </x:c>
      <x:c r="AA315" s="13" t="str">
        <x:f>IF(L315&lt;&gt;"COVERED","HELD — COVERAGE","WAIT FOR UPSTREAM COMPLETION")</x:f>
        <x:v>HELD — COVERAGE</x:v>
      </x:c>
      <x:c r="AB315" s="13" t="str">
        <x:f>IF(L315&lt;&gt;"COVERED","HELD — COVERAGE",IF(T315="UNRESOLVED","G DECISION REQUIRED",IF(T315="NOT APPLICABLE","G N/A","G ACTIONABLE")))</x:f>
        <x:v>HELD — COVERAGE</x:v>
      </x:c>
      <x:c r="AC315" s="13" t="str">
        <x:f>IF(L315="UNRESOLVED","COVERAGE FIRST",IF(OR(L315="EXCLUDED",L315="OUT OF SCOPE"),"CLOSED BY COVERAGE",IF(AND(L315="COVERED",T315&lt;&gt;"UNRESOLVED"),"PARTIALLY ADOPTED","DECISIONS REMAIN")))</x:f>
        <x:v>COVERAGE FIRST</x:v>
      </x:c>
    </x:row>
    <x:row r="316">
      <x:c r="A316" s="13" t="str">
        <x:v>NAAFTC-HS6-030799</x:v>
      </x:c>
      <x:c r="B316" s="13" t="str">
        <x:v>030799</x:v>
      </x:c>
      <x:c r="C316" s="13" t="str">
        <x:v>03</x:v>
      </x:c>
      <x:c r="D316" s="13" t="str">
        <x:v>TRILATERAL_SPLIT_MERGE</x:v>
      </x:c>
      <x:c r="E316" s="13" t="str">
        <x:v>Pending</x:v>
      </x:c>
      <x:c r="F316" s="13" t="n">
        <x:v>1</x:v>
      </x:c>
      <x:c r="G316" s="13" t="n">
        <x:v>1</x:v>
      </x:c>
      <x:c r="H316" s="13" t="n">
        <x:v>2</x:v>
      </x:c>
      <x:c r="I316" s="13" t="str">
        <x:v>0307990300</x:v>
      </x:c>
      <x:c r="J316" s="13" t="str">
        <x:v>0307999900</x:v>
      </x:c>
      <x:c r="K316" s="13" t="str">
        <x:v>0307991000; 0307999000</x:v>
      </x:c>
      <x:c r="L316" s="13" t="str">
        <x:v>UNRESOLVED</x:v>
      </x:c>
      <x:c r="M316" s="13" t="str"/>
      <x:c r="N316" s="13" t="str">
        <x:v>NO / DEFAULT</x:v>
      </x:c>
      <x:c r="O316" s="13" t="str"/>
      <x:c r="P316" s="13" t="str">
        <x:v>NO / DEFAULT</x:v>
      </x:c>
      <x:c r="Q316" s="13" t="str"/>
      <x:c r="R316" s="13" t="str">
        <x:v>INDEPENDENT / DEFAULT</x:v>
      </x:c>
      <x:c r="S316" s="13" t="str"/>
      <x:c r="T316" s="13" t="str">
        <x:v>UNRESOLVED</x:v>
      </x:c>
      <x:c r="U316" s="13" t="str"/>
      <x:c r="V316" s="13" t="str"/>
      <x:c r="W316" s="13" t="str"/>
      <x:c r="X316" s="13" t="str">
        <x:f>IF(L316&lt;&gt;"COVERED","HELD — COVERAGE",IF(N316="YES — SENSITIVE","C ACTIONABLE","CHAPTER 5 DEFAULT"))</x:f>
        <x:v>HELD — COVERAGE</x:v>
      </x:c>
      <x:c r="Y316" s="13" t="str">
        <x:f>IF(L316&lt;&gt;"COVERED","HELD — COVERAGE",IF(P316="YES — MANAGED ACCESS","D ACTIONABLE","NO D FIELD"))</x:f>
        <x:v>HELD — COVERAGE</x:v>
      </x:c>
      <x:c r="Z316" s="13" t="str">
        <x:f>IF(L316&lt;&gt;"COVERED","HELD — COVERAGE",IF(OR(R316="PAIRED SYNCHRONIZED",R316="TRILATERAL SYNCHRONIZED"),"E ACTIONABLE","INDEPENDENT"))</x:f>
        <x:v>HELD — COVERAGE</x:v>
      </x:c>
      <x:c r="AA316" s="13" t="str">
        <x:f>IF(L316&lt;&gt;"COVERED","HELD — COVERAGE","WAIT FOR UPSTREAM COMPLETION")</x:f>
        <x:v>HELD — COVERAGE</x:v>
      </x:c>
      <x:c r="AB316" s="13" t="str">
        <x:f>IF(L316&lt;&gt;"COVERED","HELD — COVERAGE",IF(T316="UNRESOLVED","G DECISION REQUIRED",IF(T316="NOT APPLICABLE","G N/A","G ACTIONABLE")))</x:f>
        <x:v>HELD — COVERAGE</x:v>
      </x:c>
      <x:c r="AC316" s="13" t="str">
        <x:f>IF(L316="UNRESOLVED","COVERAGE FIRST",IF(OR(L316="EXCLUDED",L316="OUT OF SCOPE"),"CLOSED BY COVERAGE",IF(AND(L316="COVERED",T316&lt;&gt;"UNRESOLVED"),"PARTIALLY ADOPTED","DECISIONS REMAIN")))</x:f>
        <x:v>COVERAGE FIRST</x:v>
      </x:c>
    </x:row>
    <x:row r="317">
      <x:c r="A317" s="13" t="str">
        <x:v>NAAFTC-HS6-030811</x:v>
      </x:c>
      <x:c r="B317" s="13" t="str">
        <x:v>030811</x:v>
      </x:c>
      <x:c r="C317" s="13" t="str">
        <x:v>03</x:v>
      </x:c>
      <x:c r="D317" s="13" t="str">
        <x:v>TRILATERAL_1_TO_1_TO_1</x:v>
      </x:c>
      <x:c r="E317" s="13" t="str">
        <x:v>Pending</x:v>
      </x:c>
      <x:c r="F317" s="13" t="n">
        <x:v>1</x:v>
      </x:c>
      <x:c r="G317" s="13" t="n">
        <x:v>1</x:v>
      </x:c>
      <x:c r="H317" s="13" t="n">
        <x:v>1</x:v>
      </x:c>
      <x:c r="I317" s="13" t="str">
        <x:v>0308110000</x:v>
      </x:c>
      <x:c r="J317" s="13" t="str">
        <x:v>0308110100</x:v>
      </x:c>
      <x:c r="K317" s="13" t="str">
        <x:v>0308110000</x:v>
      </x:c>
      <x:c r="L317" s="13" t="str">
        <x:v>UNRESOLVED</x:v>
      </x:c>
      <x:c r="M317" s="13" t="str"/>
      <x:c r="N317" s="13" t="str">
        <x:v>NO / DEFAULT</x:v>
      </x:c>
      <x:c r="O317" s="13" t="str"/>
      <x:c r="P317" s="13" t="str">
        <x:v>NO / DEFAULT</x:v>
      </x:c>
      <x:c r="Q317" s="13" t="str"/>
      <x:c r="R317" s="13" t="str">
        <x:v>INDEPENDENT / DEFAULT</x:v>
      </x:c>
      <x:c r="S317" s="13" t="str"/>
      <x:c r="T317" s="13" t="str">
        <x:v>UNRESOLVED</x:v>
      </x:c>
      <x:c r="U317" s="13" t="str"/>
      <x:c r="V317" s="13" t="str"/>
      <x:c r="W317" s="13" t="str"/>
      <x:c r="X317" s="13" t="str">
        <x:f>IF(L317&lt;&gt;"COVERED","HELD — COVERAGE",IF(N317="YES — SENSITIVE","C ACTIONABLE","CHAPTER 5 DEFAULT"))</x:f>
        <x:v>HELD — COVERAGE</x:v>
      </x:c>
      <x:c r="Y317" s="13" t="str">
        <x:f>IF(L317&lt;&gt;"COVERED","HELD — COVERAGE",IF(P317="YES — MANAGED ACCESS","D ACTIONABLE","NO D FIELD"))</x:f>
        <x:v>HELD — COVERAGE</x:v>
      </x:c>
      <x:c r="Z317" s="13" t="str">
        <x:f>IF(L317&lt;&gt;"COVERED","HELD — COVERAGE",IF(OR(R317="PAIRED SYNCHRONIZED",R317="TRILATERAL SYNCHRONIZED"),"E ACTIONABLE","INDEPENDENT"))</x:f>
        <x:v>HELD — COVERAGE</x:v>
      </x:c>
      <x:c r="AA317" s="13" t="str">
        <x:f>IF(L317&lt;&gt;"COVERED","HELD — COVERAGE","WAIT FOR UPSTREAM COMPLETION")</x:f>
        <x:v>HELD — COVERAGE</x:v>
      </x:c>
      <x:c r="AB317" s="13" t="str">
        <x:f>IF(L317&lt;&gt;"COVERED","HELD — COVERAGE",IF(T317="UNRESOLVED","G DECISION REQUIRED",IF(T317="NOT APPLICABLE","G N/A","G ACTIONABLE")))</x:f>
        <x:v>HELD — COVERAGE</x:v>
      </x:c>
      <x:c r="AC317" s="13" t="str">
        <x:f>IF(L317="UNRESOLVED","COVERAGE FIRST",IF(OR(L317="EXCLUDED",L317="OUT OF SCOPE"),"CLOSED BY COVERAGE",IF(AND(L317="COVERED",T317&lt;&gt;"UNRESOLVED"),"PARTIALLY ADOPTED","DECISIONS REMAIN")))</x:f>
        <x:v>COVERAGE FIRST</x:v>
      </x:c>
    </x:row>
    <x:row r="318">
      <x:c r="A318" s="13" t="str">
        <x:v>NAAFTC-HS6-030812</x:v>
      </x:c>
      <x:c r="B318" s="13" t="str">
        <x:v>030812</x:v>
      </x:c>
      <x:c r="C318" s="13" t="str">
        <x:v>03</x:v>
      </x:c>
      <x:c r="D318" s="13" t="str">
        <x:v>TRILATERAL_SPLIT_MERGE</x:v>
      </x:c>
      <x:c r="E318" s="13" t="str">
        <x:v>Pending</x:v>
      </x:c>
      <x:c r="F318" s="13" t="n">
        <x:v>1</x:v>
      </x:c>
      <x:c r="G318" s="13" t="n">
        <x:v>1</x:v>
      </x:c>
      <x:c r="H318" s="13" t="n">
        <x:v>2</x:v>
      </x:c>
      <x:c r="I318" s="13" t="str">
        <x:v>0308120000</x:v>
      </x:c>
      <x:c r="J318" s="13" t="str">
        <x:v>0308120100</x:v>
      </x:c>
      <x:c r="K318" s="13" t="str">
        <x:v>0308121000; 0308129000</x:v>
      </x:c>
      <x:c r="L318" s="13" t="str">
        <x:v>UNRESOLVED</x:v>
      </x:c>
      <x:c r="M318" s="13" t="str"/>
      <x:c r="N318" s="13" t="str">
        <x:v>NO / DEFAULT</x:v>
      </x:c>
      <x:c r="O318" s="13" t="str"/>
      <x:c r="P318" s="13" t="str">
        <x:v>NO / DEFAULT</x:v>
      </x:c>
      <x:c r="Q318" s="13" t="str"/>
      <x:c r="R318" s="13" t="str">
        <x:v>INDEPENDENT / DEFAULT</x:v>
      </x:c>
      <x:c r="S318" s="13" t="str"/>
      <x:c r="T318" s="13" t="str">
        <x:v>UNRESOLVED</x:v>
      </x:c>
      <x:c r="U318" s="13" t="str"/>
      <x:c r="V318" s="13" t="str"/>
      <x:c r="W318" s="13" t="str"/>
      <x:c r="X318" s="13" t="str">
        <x:f>IF(L318&lt;&gt;"COVERED","HELD — COVERAGE",IF(N318="YES — SENSITIVE","C ACTIONABLE","CHAPTER 5 DEFAULT"))</x:f>
        <x:v>HELD — COVERAGE</x:v>
      </x:c>
      <x:c r="Y318" s="13" t="str">
        <x:f>IF(L318&lt;&gt;"COVERED","HELD — COVERAGE",IF(P318="YES — MANAGED ACCESS","D ACTIONABLE","NO D FIELD"))</x:f>
        <x:v>HELD — COVERAGE</x:v>
      </x:c>
      <x:c r="Z318" s="13" t="str">
        <x:f>IF(L318&lt;&gt;"COVERED","HELD — COVERAGE",IF(OR(R318="PAIRED SYNCHRONIZED",R318="TRILATERAL SYNCHRONIZED"),"E ACTIONABLE","INDEPENDENT"))</x:f>
        <x:v>HELD — COVERAGE</x:v>
      </x:c>
      <x:c r="AA318" s="13" t="str">
        <x:f>IF(L318&lt;&gt;"COVERED","HELD — COVERAGE","WAIT FOR UPSTREAM COMPLETION")</x:f>
        <x:v>HELD — COVERAGE</x:v>
      </x:c>
      <x:c r="AB318" s="13" t="str">
        <x:f>IF(L318&lt;&gt;"COVERED","HELD — COVERAGE",IF(T318="UNRESOLVED","G DECISION REQUIRED",IF(T318="NOT APPLICABLE","G N/A","G ACTIONABLE")))</x:f>
        <x:v>HELD — COVERAGE</x:v>
      </x:c>
      <x:c r="AC318" s="13" t="str">
        <x:f>IF(L318="UNRESOLVED","COVERAGE FIRST",IF(OR(L318="EXCLUDED",L318="OUT OF SCOPE"),"CLOSED BY COVERAGE",IF(AND(L318="COVERED",T318&lt;&gt;"UNRESOLVED"),"PARTIALLY ADOPTED","DECISIONS REMAIN")))</x:f>
        <x:v>COVERAGE FIRST</x:v>
      </x:c>
    </x:row>
    <x:row r="319">
      <x:c r="A319" s="13" t="str">
        <x:v>NAAFTC-HS6-030819</x:v>
      </x:c>
      <x:c r="B319" s="13" t="str">
        <x:v>030819</x:v>
      </x:c>
      <x:c r="C319" s="13" t="str">
        <x:v>03</x:v>
      </x:c>
      <x:c r="D319" s="13" t="str">
        <x:v>TRILATERAL_SPLIT_MERGE</x:v>
      </x:c>
      <x:c r="E319" s="13" t="str">
        <x:v>Pending</x:v>
      </x:c>
      <x:c r="F319" s="13" t="n">
        <x:v>1</x:v>
      </x:c>
      <x:c r="G319" s="13" t="n">
        <x:v>1</x:v>
      </x:c>
      <x:c r="H319" s="13" t="n">
        <x:v>2</x:v>
      </x:c>
      <x:c r="I319" s="13" t="str">
        <x:v>0308190100</x:v>
      </x:c>
      <x:c r="J319" s="13" t="str">
        <x:v>0308199900</x:v>
      </x:c>
      <x:c r="K319" s="13" t="str">
        <x:v>0308191000; 0308199000</x:v>
      </x:c>
      <x:c r="L319" s="13" t="str">
        <x:v>UNRESOLVED</x:v>
      </x:c>
      <x:c r="M319" s="13" t="str"/>
      <x:c r="N319" s="13" t="str">
        <x:v>NO / DEFAULT</x:v>
      </x:c>
      <x:c r="O319" s="13" t="str"/>
      <x:c r="P319" s="13" t="str">
        <x:v>NO / DEFAULT</x:v>
      </x:c>
      <x:c r="Q319" s="13" t="str"/>
      <x:c r="R319" s="13" t="str">
        <x:v>INDEPENDENT / DEFAULT</x:v>
      </x:c>
      <x:c r="S319" s="13" t="str"/>
      <x:c r="T319" s="13" t="str">
        <x:v>UNRESOLVED</x:v>
      </x:c>
      <x:c r="U319" s="13" t="str"/>
      <x:c r="V319" s="13" t="str"/>
      <x:c r="W319" s="13" t="str"/>
      <x:c r="X319" s="13" t="str">
        <x:f>IF(L319&lt;&gt;"COVERED","HELD — COVERAGE",IF(N319="YES — SENSITIVE","C ACTIONABLE","CHAPTER 5 DEFAULT"))</x:f>
        <x:v>HELD — COVERAGE</x:v>
      </x:c>
      <x:c r="Y319" s="13" t="str">
        <x:f>IF(L319&lt;&gt;"COVERED","HELD — COVERAGE",IF(P319="YES — MANAGED ACCESS","D ACTIONABLE","NO D FIELD"))</x:f>
        <x:v>HELD — COVERAGE</x:v>
      </x:c>
      <x:c r="Z319" s="13" t="str">
        <x:f>IF(L319&lt;&gt;"COVERED","HELD — COVERAGE",IF(OR(R319="PAIRED SYNCHRONIZED",R319="TRILATERAL SYNCHRONIZED"),"E ACTIONABLE","INDEPENDENT"))</x:f>
        <x:v>HELD — COVERAGE</x:v>
      </x:c>
      <x:c r="AA319" s="13" t="str">
        <x:f>IF(L319&lt;&gt;"COVERED","HELD — COVERAGE","WAIT FOR UPSTREAM COMPLETION")</x:f>
        <x:v>HELD — COVERAGE</x:v>
      </x:c>
      <x:c r="AB319" s="13" t="str">
        <x:f>IF(L319&lt;&gt;"COVERED","HELD — COVERAGE",IF(T319="UNRESOLVED","G DECISION REQUIRED",IF(T319="NOT APPLICABLE","G N/A","G ACTIONABLE")))</x:f>
        <x:v>HELD — COVERAGE</x:v>
      </x:c>
      <x:c r="AC319" s="13" t="str">
        <x:f>IF(L319="UNRESOLVED","COVERAGE FIRST",IF(OR(L319="EXCLUDED",L319="OUT OF SCOPE"),"CLOSED BY COVERAGE",IF(AND(L319="COVERED",T319&lt;&gt;"UNRESOLVED"),"PARTIALLY ADOPTED","DECISIONS REMAIN")))</x:f>
        <x:v>COVERAGE FIRST</x:v>
      </x:c>
    </x:row>
    <x:row r="320">
      <x:c r="A320" s="13" t="str">
        <x:v>NAAFTC-HS6-030821</x:v>
      </x:c>
      <x:c r="B320" s="13" t="str">
        <x:v>030821</x:v>
      </x:c>
      <x:c r="C320" s="13" t="str">
        <x:v>03</x:v>
      </x:c>
      <x:c r="D320" s="13" t="str">
        <x:v>TRILATERAL_SPLIT_MERGE</x:v>
      </x:c>
      <x:c r="E320" s="13" t="str">
        <x:v>Pending</x:v>
      </x:c>
      <x:c r="F320" s="13" t="n">
        <x:v>2</x:v>
      </x:c>
      <x:c r="G320" s="13" t="n">
        <x:v>1</x:v>
      </x:c>
      <x:c r="H320" s="13" t="n">
        <x:v>1</x:v>
      </x:c>
      <x:c r="I320" s="13" t="str">
        <x:v>0308210021; 0308210029</x:v>
      </x:c>
      <x:c r="J320" s="13" t="str">
        <x:v>0308210100</x:v>
      </x:c>
      <x:c r="K320" s="13" t="str">
        <x:v>0308210000</x:v>
      </x:c>
      <x:c r="L320" s="13" t="str">
        <x:v>UNRESOLVED</x:v>
      </x:c>
      <x:c r="M320" s="13" t="str"/>
      <x:c r="N320" s="13" t="str">
        <x:v>NO / DEFAULT</x:v>
      </x:c>
      <x:c r="O320" s="13" t="str"/>
      <x:c r="P320" s="13" t="str">
        <x:v>NO / DEFAULT</x:v>
      </x:c>
      <x:c r="Q320" s="13" t="str"/>
      <x:c r="R320" s="13" t="str">
        <x:v>INDEPENDENT / DEFAULT</x:v>
      </x:c>
      <x:c r="S320" s="13" t="str"/>
      <x:c r="T320" s="13" t="str">
        <x:v>UNRESOLVED</x:v>
      </x:c>
      <x:c r="U320" s="13" t="str"/>
      <x:c r="V320" s="13" t="str"/>
      <x:c r="W320" s="13" t="str"/>
      <x:c r="X320" s="13" t="str">
        <x:f>IF(L320&lt;&gt;"COVERED","HELD — COVERAGE",IF(N320="YES — SENSITIVE","C ACTIONABLE","CHAPTER 5 DEFAULT"))</x:f>
        <x:v>HELD — COVERAGE</x:v>
      </x:c>
      <x:c r="Y320" s="13" t="str">
        <x:f>IF(L320&lt;&gt;"COVERED","HELD — COVERAGE",IF(P320="YES — MANAGED ACCESS","D ACTIONABLE","NO D FIELD"))</x:f>
        <x:v>HELD — COVERAGE</x:v>
      </x:c>
      <x:c r="Z320" s="13" t="str">
        <x:f>IF(L320&lt;&gt;"COVERED","HELD — COVERAGE",IF(OR(R320="PAIRED SYNCHRONIZED",R320="TRILATERAL SYNCHRONIZED"),"E ACTIONABLE","INDEPENDENT"))</x:f>
        <x:v>HELD — COVERAGE</x:v>
      </x:c>
      <x:c r="AA320" s="13" t="str">
        <x:f>IF(L320&lt;&gt;"COVERED","HELD — COVERAGE","WAIT FOR UPSTREAM COMPLETION")</x:f>
        <x:v>HELD — COVERAGE</x:v>
      </x:c>
      <x:c r="AB320" s="13" t="str">
        <x:f>IF(L320&lt;&gt;"COVERED","HELD — COVERAGE",IF(T320="UNRESOLVED","G DECISION REQUIRED",IF(T320="NOT APPLICABLE","G N/A","G ACTIONABLE")))</x:f>
        <x:v>HELD — COVERAGE</x:v>
      </x:c>
      <x:c r="AC320" s="13" t="str">
        <x:f>IF(L320="UNRESOLVED","COVERAGE FIRST",IF(OR(L320="EXCLUDED",L320="OUT OF SCOPE"),"CLOSED BY COVERAGE",IF(AND(L320="COVERED",T320&lt;&gt;"UNRESOLVED"),"PARTIALLY ADOPTED","DECISIONS REMAIN")))</x:f>
        <x:v>COVERAGE FIRST</x:v>
      </x:c>
    </x:row>
    <x:row r="321">
      <x:c r="A321" s="13" t="str">
        <x:v>NAAFTC-HS6-030822</x:v>
      </x:c>
      <x:c r="B321" s="13" t="str">
        <x:v>030822</x:v>
      </x:c>
      <x:c r="C321" s="13" t="str">
        <x:v>03</x:v>
      </x:c>
      <x:c r="D321" s="13" t="str">
        <x:v>TRILATERAL_1_TO_1_TO_1</x:v>
      </x:c>
      <x:c r="E321" s="13" t="str">
        <x:v>Pending</x:v>
      </x:c>
      <x:c r="F321" s="13" t="n">
        <x:v>1</x:v>
      </x:c>
      <x:c r="G321" s="13" t="n">
        <x:v>1</x:v>
      </x:c>
      <x:c r="H321" s="13" t="n">
        <x:v>1</x:v>
      </x:c>
      <x:c r="I321" s="13" t="str">
        <x:v>0308220000</x:v>
      </x:c>
      <x:c r="J321" s="13" t="str">
        <x:v>0308220100</x:v>
      </x:c>
      <x:c r="K321" s="13" t="str">
        <x:v>0308229000</x:v>
      </x:c>
      <x:c r="L321" s="13" t="str">
        <x:v>UNRESOLVED</x:v>
      </x:c>
      <x:c r="M321" s="13" t="str"/>
      <x:c r="N321" s="13" t="str">
        <x:v>NO / DEFAULT</x:v>
      </x:c>
      <x:c r="O321" s="13" t="str"/>
      <x:c r="P321" s="13" t="str">
        <x:v>NO / DEFAULT</x:v>
      </x:c>
      <x:c r="Q321" s="13" t="str"/>
      <x:c r="R321" s="13" t="str">
        <x:v>INDEPENDENT / DEFAULT</x:v>
      </x:c>
      <x:c r="S321" s="13" t="str"/>
      <x:c r="T321" s="13" t="str">
        <x:v>UNRESOLVED</x:v>
      </x:c>
      <x:c r="U321" s="13" t="str"/>
      <x:c r="V321" s="13" t="str"/>
      <x:c r="W321" s="13" t="str"/>
      <x:c r="X321" s="13" t="str">
        <x:f>IF(L321&lt;&gt;"COVERED","HELD — COVERAGE",IF(N321="YES — SENSITIVE","C ACTIONABLE","CHAPTER 5 DEFAULT"))</x:f>
        <x:v>HELD — COVERAGE</x:v>
      </x:c>
      <x:c r="Y321" s="13" t="str">
        <x:f>IF(L321&lt;&gt;"COVERED","HELD — COVERAGE",IF(P321="YES — MANAGED ACCESS","D ACTIONABLE","NO D FIELD"))</x:f>
        <x:v>HELD — COVERAGE</x:v>
      </x:c>
      <x:c r="Z321" s="13" t="str">
        <x:f>IF(L321&lt;&gt;"COVERED","HELD — COVERAGE",IF(OR(R321="PAIRED SYNCHRONIZED",R321="TRILATERAL SYNCHRONIZED"),"E ACTIONABLE","INDEPENDENT"))</x:f>
        <x:v>HELD — COVERAGE</x:v>
      </x:c>
      <x:c r="AA321" s="13" t="str">
        <x:f>IF(L321&lt;&gt;"COVERED","HELD — COVERAGE","WAIT FOR UPSTREAM COMPLETION")</x:f>
        <x:v>HELD — COVERAGE</x:v>
      </x:c>
      <x:c r="AB321" s="13" t="str">
        <x:f>IF(L321&lt;&gt;"COVERED","HELD — COVERAGE",IF(T321="UNRESOLVED","G DECISION REQUIRED",IF(T321="NOT APPLICABLE","G N/A","G ACTIONABLE")))</x:f>
        <x:v>HELD — COVERAGE</x:v>
      </x:c>
      <x:c r="AC321" s="13" t="str">
        <x:f>IF(L321="UNRESOLVED","COVERAGE FIRST",IF(OR(L321="EXCLUDED",L321="OUT OF SCOPE"),"CLOSED BY COVERAGE",IF(AND(L321="COVERED",T321&lt;&gt;"UNRESOLVED"),"PARTIALLY ADOPTED","DECISIONS REMAIN")))</x:f>
        <x:v>COVERAGE FIRST</x:v>
      </x:c>
    </x:row>
    <x:row r="322">
      <x:c r="A322" s="13" t="str">
        <x:v>NAAFTC-HS6-030829</x:v>
      </x:c>
      <x:c r="B322" s="13" t="str">
        <x:v>030829</x:v>
      </x:c>
      <x:c r="C322" s="13" t="str">
        <x:v>03</x:v>
      </x:c>
      <x:c r="D322" s="13" t="str">
        <x:v>TRILATERAL_SPLIT_MERGE</x:v>
      </x:c>
      <x:c r="E322" s="13" t="str">
        <x:v>Pending</x:v>
      </x:c>
      <x:c r="F322" s="13" t="n">
        <x:v>1</x:v>
      </x:c>
      <x:c r="G322" s="13" t="n">
        <x:v>1</x:v>
      </x:c>
      <x:c r="H322" s="13" t="n">
        <x:v>2</x:v>
      </x:c>
      <x:c r="I322" s="13" t="str">
        <x:v>0308290100</x:v>
      </x:c>
      <x:c r="J322" s="13" t="str">
        <x:v>0308299900</x:v>
      </x:c>
      <x:c r="K322" s="13" t="str">
        <x:v>0308291000; 0308299000</x:v>
      </x:c>
      <x:c r="L322" s="13" t="str">
        <x:v>UNRESOLVED</x:v>
      </x:c>
      <x:c r="M322" s="13" t="str"/>
      <x:c r="N322" s="13" t="str">
        <x:v>NO / DEFAULT</x:v>
      </x:c>
      <x:c r="O322" s="13" t="str"/>
      <x:c r="P322" s="13" t="str">
        <x:v>NO / DEFAULT</x:v>
      </x:c>
      <x:c r="Q322" s="13" t="str"/>
      <x:c r="R322" s="13" t="str">
        <x:v>INDEPENDENT / DEFAULT</x:v>
      </x:c>
      <x:c r="S322" s="13" t="str"/>
      <x:c r="T322" s="13" t="str">
        <x:v>UNRESOLVED</x:v>
      </x:c>
      <x:c r="U322" s="13" t="str"/>
      <x:c r="V322" s="13" t="str"/>
      <x:c r="W322" s="13" t="str"/>
      <x:c r="X322" s="13" t="str">
        <x:f>IF(L322&lt;&gt;"COVERED","HELD — COVERAGE",IF(N322="YES — SENSITIVE","C ACTIONABLE","CHAPTER 5 DEFAULT"))</x:f>
        <x:v>HELD — COVERAGE</x:v>
      </x:c>
      <x:c r="Y322" s="13" t="str">
        <x:f>IF(L322&lt;&gt;"COVERED","HELD — COVERAGE",IF(P322="YES — MANAGED ACCESS","D ACTIONABLE","NO D FIELD"))</x:f>
        <x:v>HELD — COVERAGE</x:v>
      </x:c>
      <x:c r="Z322" s="13" t="str">
        <x:f>IF(L322&lt;&gt;"COVERED","HELD — COVERAGE",IF(OR(R322="PAIRED SYNCHRONIZED",R322="TRILATERAL SYNCHRONIZED"),"E ACTIONABLE","INDEPENDENT"))</x:f>
        <x:v>HELD — COVERAGE</x:v>
      </x:c>
      <x:c r="AA322" s="13" t="str">
        <x:f>IF(L322&lt;&gt;"COVERED","HELD — COVERAGE","WAIT FOR UPSTREAM COMPLETION")</x:f>
        <x:v>HELD — COVERAGE</x:v>
      </x:c>
      <x:c r="AB322" s="13" t="str">
        <x:f>IF(L322&lt;&gt;"COVERED","HELD — COVERAGE",IF(T322="UNRESOLVED","G DECISION REQUIRED",IF(T322="NOT APPLICABLE","G N/A","G ACTIONABLE")))</x:f>
        <x:v>HELD — COVERAGE</x:v>
      </x:c>
      <x:c r="AC322" s="13" t="str">
        <x:f>IF(L322="UNRESOLVED","COVERAGE FIRST",IF(OR(L322="EXCLUDED",L322="OUT OF SCOPE"),"CLOSED BY COVERAGE",IF(AND(L322="COVERED",T322&lt;&gt;"UNRESOLVED"),"PARTIALLY ADOPTED","DECISIONS REMAIN")))</x:f>
        <x:v>COVERAGE FIRST</x:v>
      </x:c>
    </x:row>
    <x:row r="323">
      <x:c r="A323" s="13" t="str">
        <x:v>NAAFTC-HS6-030830</x:v>
      </x:c>
      <x:c r="B323" s="13" t="str">
        <x:v>030830</x:v>
      </x:c>
      <x:c r="C323" s="13" t="str">
        <x:v>03</x:v>
      </x:c>
      <x:c r="D323" s="13" t="str">
        <x:v>TRILATERAL_SPLIT_MERGE</x:v>
      </x:c>
      <x:c r="E323" s="13" t="str">
        <x:v>Pending</x:v>
      </x:c>
      <x:c r="F323" s="13" t="n">
        <x:v>1</x:v>
      </x:c>
      <x:c r="G323" s="13" t="n">
        <x:v>1</x:v>
      </x:c>
      <x:c r="H323" s="13" t="n">
        <x:v>2</x:v>
      </x:c>
      <x:c r="I323" s="13" t="str">
        <x:v>0308300000</x:v>
      </x:c>
      <x:c r="J323" s="13" t="str">
        <x:v>0308300100</x:v>
      </x:c>
      <x:c r="K323" s="13" t="str">
        <x:v>0308301000; 0308309000</x:v>
      </x:c>
      <x:c r="L323" s="13" t="str">
        <x:v>UNRESOLVED</x:v>
      </x:c>
      <x:c r="M323" s="13" t="str"/>
      <x:c r="N323" s="13" t="str">
        <x:v>NO / DEFAULT</x:v>
      </x:c>
      <x:c r="O323" s="13" t="str"/>
      <x:c r="P323" s="13" t="str">
        <x:v>NO / DEFAULT</x:v>
      </x:c>
      <x:c r="Q323" s="13" t="str"/>
      <x:c r="R323" s="13" t="str">
        <x:v>INDEPENDENT / DEFAULT</x:v>
      </x:c>
      <x:c r="S323" s="13" t="str"/>
      <x:c r="T323" s="13" t="str">
        <x:v>UNRESOLVED</x:v>
      </x:c>
      <x:c r="U323" s="13" t="str"/>
      <x:c r="V323" s="13" t="str"/>
      <x:c r="W323" s="13" t="str"/>
      <x:c r="X323" s="13" t="str">
        <x:f>IF(L323&lt;&gt;"COVERED","HELD — COVERAGE",IF(N323="YES — SENSITIVE","C ACTIONABLE","CHAPTER 5 DEFAULT"))</x:f>
        <x:v>HELD — COVERAGE</x:v>
      </x:c>
      <x:c r="Y323" s="13" t="str">
        <x:f>IF(L323&lt;&gt;"COVERED","HELD — COVERAGE",IF(P323="YES — MANAGED ACCESS","D ACTIONABLE","NO D FIELD"))</x:f>
        <x:v>HELD — COVERAGE</x:v>
      </x:c>
      <x:c r="Z323" s="13" t="str">
        <x:f>IF(L323&lt;&gt;"COVERED","HELD — COVERAGE",IF(OR(R323="PAIRED SYNCHRONIZED",R323="TRILATERAL SYNCHRONIZED"),"E ACTIONABLE","INDEPENDENT"))</x:f>
        <x:v>HELD — COVERAGE</x:v>
      </x:c>
      <x:c r="AA323" s="13" t="str">
        <x:f>IF(L323&lt;&gt;"COVERED","HELD — COVERAGE","WAIT FOR UPSTREAM COMPLETION")</x:f>
        <x:v>HELD — COVERAGE</x:v>
      </x:c>
      <x:c r="AB323" s="13" t="str">
        <x:f>IF(L323&lt;&gt;"COVERED","HELD — COVERAGE",IF(T323="UNRESOLVED","G DECISION REQUIRED",IF(T323="NOT APPLICABLE","G N/A","G ACTIONABLE")))</x:f>
        <x:v>HELD — COVERAGE</x:v>
      </x:c>
      <x:c r="AC323" s="13" t="str">
        <x:f>IF(L323="UNRESOLVED","COVERAGE FIRST",IF(OR(L323="EXCLUDED",L323="OUT OF SCOPE"),"CLOSED BY COVERAGE",IF(AND(L323="COVERED",T323&lt;&gt;"UNRESOLVED"),"PARTIALLY ADOPTED","DECISIONS REMAIN")))</x:f>
        <x:v>COVERAGE FIRST</x:v>
      </x:c>
    </x:row>
    <x:row r="324">
      <x:c r="A324" s="13" t="str">
        <x:v>NAAFTC-HS6-030890</x:v>
      </x:c>
      <x:c r="B324" s="13" t="str">
        <x:v>030890</x:v>
      </x:c>
      <x:c r="C324" s="13" t="str">
        <x:v>03</x:v>
      </x:c>
      <x:c r="D324" s="13" t="str">
        <x:v>TRILATERAL_1_TO_1_TO_1</x:v>
      </x:c>
      <x:c r="E324" s="13" t="str">
        <x:v>Pending</x:v>
      </x:c>
      <x:c r="F324" s="13" t="n">
        <x:v>1</x:v>
      </x:c>
      <x:c r="G324" s="13" t="n">
        <x:v>1</x:v>
      </x:c>
      <x:c r="H324" s="13" t="n">
        <x:v>1</x:v>
      </x:c>
      <x:c r="I324" s="13" t="str">
        <x:v>0308900100</x:v>
      </x:c>
      <x:c r="J324" s="13" t="str">
        <x:v>0308909900</x:v>
      </x:c>
      <x:c r="K324" s="13" t="str">
        <x:v>0308901000</x:v>
      </x:c>
      <x:c r="L324" s="13" t="str">
        <x:v>UNRESOLVED</x:v>
      </x:c>
      <x:c r="M324" s="13" t="str"/>
      <x:c r="N324" s="13" t="str">
        <x:v>NO / DEFAULT</x:v>
      </x:c>
      <x:c r="O324" s="13" t="str"/>
      <x:c r="P324" s="13" t="str">
        <x:v>NO / DEFAULT</x:v>
      </x:c>
      <x:c r="Q324" s="13" t="str"/>
      <x:c r="R324" s="13" t="str">
        <x:v>INDEPENDENT / DEFAULT</x:v>
      </x:c>
      <x:c r="S324" s="13" t="str"/>
      <x:c r="T324" s="13" t="str">
        <x:v>UNRESOLVED</x:v>
      </x:c>
      <x:c r="U324" s="13" t="str"/>
      <x:c r="V324" s="13" t="str"/>
      <x:c r="W324" s="13" t="str"/>
      <x:c r="X324" s="13" t="str">
        <x:f>IF(L324&lt;&gt;"COVERED","HELD — COVERAGE",IF(N324="YES — SENSITIVE","C ACTIONABLE","CHAPTER 5 DEFAULT"))</x:f>
        <x:v>HELD — COVERAGE</x:v>
      </x:c>
      <x:c r="Y324" s="13" t="str">
        <x:f>IF(L324&lt;&gt;"COVERED","HELD — COVERAGE",IF(P324="YES — MANAGED ACCESS","D ACTIONABLE","NO D FIELD"))</x:f>
        <x:v>HELD — COVERAGE</x:v>
      </x:c>
      <x:c r="Z324" s="13" t="str">
        <x:f>IF(L324&lt;&gt;"COVERED","HELD — COVERAGE",IF(OR(R324="PAIRED SYNCHRONIZED",R324="TRILATERAL SYNCHRONIZED"),"E ACTIONABLE","INDEPENDENT"))</x:f>
        <x:v>HELD — COVERAGE</x:v>
      </x:c>
      <x:c r="AA324" s="13" t="str">
        <x:f>IF(L324&lt;&gt;"COVERED","HELD — COVERAGE","WAIT FOR UPSTREAM COMPLETION")</x:f>
        <x:v>HELD — COVERAGE</x:v>
      </x:c>
      <x:c r="AB324" s="13" t="str">
        <x:f>IF(L324&lt;&gt;"COVERED","HELD — COVERAGE",IF(T324="UNRESOLVED","G DECISION REQUIRED",IF(T324="NOT APPLICABLE","G N/A","G ACTIONABLE")))</x:f>
        <x:v>HELD — COVERAGE</x:v>
      </x:c>
      <x:c r="AC324" s="13" t="str">
        <x:f>IF(L324="UNRESOLVED","COVERAGE FIRST",IF(OR(L324="EXCLUDED",L324="OUT OF SCOPE"),"CLOSED BY COVERAGE",IF(AND(L324="COVERED",T324&lt;&gt;"UNRESOLVED"),"PARTIALLY ADOPTED","DECISIONS REMAIN")))</x:f>
        <x:v>COVERAGE FIRST</x:v>
      </x:c>
    </x:row>
    <x:row r="325">
      <x:c r="A325" s="13" t="str">
        <x:v>NAAFTC-HS6-030910</x:v>
      </x:c>
      <x:c r="B325" s="13" t="str">
        <x:v>030910</x:v>
      </x:c>
      <x:c r="C325" s="13" t="str">
        <x:v>03</x:v>
      </x:c>
      <x:c r="D325" s="13" t="str">
        <x:v>TRILATERAL_SPLIT_MERGE</x:v>
      </x:c>
      <x:c r="E325" s="13" t="str">
        <x:v>Pending</x:v>
      </x:c>
      <x:c r="F325" s="13" t="n">
        <x:v>2</x:v>
      </x:c>
      <x:c r="G325" s="13" t="n">
        <x:v>1</x:v>
      </x:c>
      <x:c r="H325" s="13" t="n">
        <x:v>1</x:v>
      </x:c>
      <x:c r="I325" s="13" t="str">
        <x:v>0309100500; 0309109000</x:v>
      </x:c>
      <x:c r="J325" s="13" t="str">
        <x:v>0309100100</x:v>
      </x:c>
      <x:c r="K325" s="13" t="str">
        <x:v>0309100000</x:v>
      </x:c>
      <x:c r="L325" s="13" t="str">
        <x:v>UNRESOLVED</x:v>
      </x:c>
      <x:c r="M325" s="13" t="str"/>
      <x:c r="N325" s="13" t="str">
        <x:v>NO / DEFAULT</x:v>
      </x:c>
      <x:c r="O325" s="13" t="str"/>
      <x:c r="P325" s="13" t="str">
        <x:v>NO / DEFAULT</x:v>
      </x:c>
      <x:c r="Q325" s="13" t="str"/>
      <x:c r="R325" s="13" t="str">
        <x:v>INDEPENDENT / DEFAULT</x:v>
      </x:c>
      <x:c r="S325" s="13" t="str"/>
      <x:c r="T325" s="13" t="str">
        <x:v>UNRESOLVED</x:v>
      </x:c>
      <x:c r="U325" s="13" t="str"/>
      <x:c r="V325" s="13" t="str"/>
      <x:c r="W325" s="13" t="str"/>
      <x:c r="X325" s="13" t="str">
        <x:f>IF(L325&lt;&gt;"COVERED","HELD — COVERAGE",IF(N325="YES — SENSITIVE","C ACTIONABLE","CHAPTER 5 DEFAULT"))</x:f>
        <x:v>HELD — COVERAGE</x:v>
      </x:c>
      <x:c r="Y325" s="13" t="str">
        <x:f>IF(L325&lt;&gt;"COVERED","HELD — COVERAGE",IF(P325="YES — MANAGED ACCESS","D ACTIONABLE","NO D FIELD"))</x:f>
        <x:v>HELD — COVERAGE</x:v>
      </x:c>
      <x:c r="Z325" s="13" t="str">
        <x:f>IF(L325&lt;&gt;"COVERED","HELD — COVERAGE",IF(OR(R325="PAIRED SYNCHRONIZED",R325="TRILATERAL SYNCHRONIZED"),"E ACTIONABLE","INDEPENDENT"))</x:f>
        <x:v>HELD — COVERAGE</x:v>
      </x:c>
      <x:c r="AA325" s="13" t="str">
        <x:f>IF(L325&lt;&gt;"COVERED","HELD — COVERAGE","WAIT FOR UPSTREAM COMPLETION")</x:f>
        <x:v>HELD — COVERAGE</x:v>
      </x:c>
      <x:c r="AB325" s="13" t="str">
        <x:f>IF(L325&lt;&gt;"COVERED","HELD — COVERAGE",IF(T325="UNRESOLVED","G DECISION REQUIRED",IF(T325="NOT APPLICABLE","G N/A","G ACTIONABLE")))</x:f>
        <x:v>HELD — COVERAGE</x:v>
      </x:c>
      <x:c r="AC325" s="13" t="str">
        <x:f>IF(L325="UNRESOLVED","COVERAGE FIRST",IF(OR(L325="EXCLUDED",L325="OUT OF SCOPE"),"CLOSED BY COVERAGE",IF(AND(L325="COVERED",T325&lt;&gt;"UNRESOLVED"),"PARTIALLY ADOPTED","DECISIONS REMAIN")))</x:f>
        <x:v>COVERAGE FIRST</x:v>
      </x:c>
    </x:row>
    <x:row r="326">
      <x:c r="A326" s="13" t="str">
        <x:v>NAAFTC-HS6-030990</x:v>
      </x:c>
      <x:c r="B326" s="13" t="str">
        <x:v>030990</x:v>
      </x:c>
      <x:c r="C326" s="13" t="str">
        <x:v>03</x:v>
      </x:c>
      <x:c r="D326" s="13" t="str">
        <x:v>TRILATERAL_SPLIT_MERGE</x:v>
      </x:c>
      <x:c r="E326" s="13" t="str">
        <x:v>Pending</x:v>
      </x:c>
      <x:c r="F326" s="13" t="n">
        <x:v>11</x:v>
      </x:c>
      <x:c r="G326" s="13" t="n">
        <x:v>1</x:v>
      </x:c>
      <x:c r="H326" s="13" t="n">
        <x:v>1</x:v>
      </x:c>
      <x:c r="I326" s="13" t="str">
        <x:v>0309901010; 0309901030; 0309901061; 0309902000; 0309903000; 0309904030; +5 more</x:v>
      </x:c>
      <x:c r="J326" s="13" t="str">
        <x:v>0309909900</x:v>
      </x:c>
      <x:c r="K326" s="13" t="str">
        <x:v>0309909900</x:v>
      </x:c>
      <x:c r="L326" s="13" t="str">
        <x:v>UNRESOLVED</x:v>
      </x:c>
      <x:c r="M326" s="13" t="str"/>
      <x:c r="N326" s="13" t="str">
        <x:v>NO / DEFAULT</x:v>
      </x:c>
      <x:c r="O326" s="13" t="str"/>
      <x:c r="P326" s="13" t="str">
        <x:v>NO / DEFAULT</x:v>
      </x:c>
      <x:c r="Q326" s="13" t="str"/>
      <x:c r="R326" s="13" t="str">
        <x:v>INDEPENDENT / DEFAULT</x:v>
      </x:c>
      <x:c r="S326" s="13" t="str"/>
      <x:c r="T326" s="13" t="str">
        <x:v>UNRESOLVED</x:v>
      </x:c>
      <x:c r="U326" s="13" t="str"/>
      <x:c r="V326" s="13" t="str"/>
      <x:c r="W326" s="13" t="str"/>
      <x:c r="X326" s="13" t="str">
        <x:f>IF(L326&lt;&gt;"COVERED","HELD — COVERAGE",IF(N326="YES — SENSITIVE","C ACTIONABLE","CHAPTER 5 DEFAULT"))</x:f>
        <x:v>HELD — COVERAGE</x:v>
      </x:c>
      <x:c r="Y326" s="13" t="str">
        <x:f>IF(L326&lt;&gt;"COVERED","HELD — COVERAGE",IF(P326="YES — MANAGED ACCESS","D ACTIONABLE","NO D FIELD"))</x:f>
        <x:v>HELD — COVERAGE</x:v>
      </x:c>
      <x:c r="Z326" s="13" t="str">
        <x:f>IF(L326&lt;&gt;"COVERED","HELD — COVERAGE",IF(OR(R326="PAIRED SYNCHRONIZED",R326="TRILATERAL SYNCHRONIZED"),"E ACTIONABLE","INDEPENDENT"))</x:f>
        <x:v>HELD — COVERAGE</x:v>
      </x:c>
      <x:c r="AA326" s="13" t="str">
        <x:f>IF(L326&lt;&gt;"COVERED","HELD — COVERAGE","WAIT FOR UPSTREAM COMPLETION")</x:f>
        <x:v>HELD — COVERAGE</x:v>
      </x:c>
      <x:c r="AB326" s="13" t="str">
        <x:f>IF(L326&lt;&gt;"COVERED","HELD — COVERAGE",IF(T326="UNRESOLVED","G DECISION REQUIRED",IF(T326="NOT APPLICABLE","G N/A","G ACTIONABLE")))</x:f>
        <x:v>HELD — COVERAGE</x:v>
      </x:c>
      <x:c r="AC326" s="13" t="str">
        <x:f>IF(L326="UNRESOLVED","COVERAGE FIRST",IF(OR(L326="EXCLUDED",L326="OUT OF SCOPE"),"CLOSED BY COVERAGE",IF(AND(L326="COVERED",T326&lt;&gt;"UNRESOLVED"),"PARTIALLY ADOPTED","DECISIONS REMAIN")))</x:f>
        <x:v>COVERAGE FIRST</x:v>
      </x:c>
    </x:row>
    <x:row r="327">
      <x:c r="A327" s="13" t="str">
        <x:v>NAAFTC-HS6-040110</x:v>
      </x:c>
      <x:c r="B327" s="13" t="str">
        <x:v>040110</x:v>
      </x:c>
      <x:c r="C327" s="13" t="str">
        <x:v>04</x:v>
      </x:c>
      <x:c r="D327" s="13" t="str">
        <x:v>TRILATERAL_SPLIT_MERGE</x:v>
      </x:c>
      <x:c r="E327" s="13" t="str">
        <x:v>Pending</x:v>
      </x:c>
      <x:c r="F327" s="13" t="n">
        <x:v>1</x:v>
      </x:c>
      <x:c r="G327" s="13" t="n">
        <x:v>2</x:v>
      </x:c>
      <x:c r="H327" s="13" t="n">
        <x:v>2</x:v>
      </x:c>
      <x:c r="I327" s="13" t="str">
        <x:v>0401100000</x:v>
      </x:c>
      <x:c r="J327" s="13" t="str">
        <x:v>0401100201; 0401100299</x:v>
      </x:c>
      <x:c r="K327" s="13" t="str">
        <x:v>0401101000; 0401102000</x:v>
      </x:c>
      <x:c r="L327" s="13" t="str">
        <x:v>UNRESOLVED</x:v>
      </x:c>
      <x:c r="M327" s="13" t="str"/>
      <x:c r="N327" s="13" t="str">
        <x:v>NO / DEFAULT</x:v>
      </x:c>
      <x:c r="O327" s="13" t="str"/>
      <x:c r="P327" s="13" t="str">
        <x:v>NO / DEFAULT</x:v>
      </x:c>
      <x:c r="Q327" s="13" t="str"/>
      <x:c r="R327" s="13" t="str">
        <x:v>INDEPENDENT / DEFAULT</x:v>
      </x:c>
      <x:c r="S327" s="13" t="str"/>
      <x:c r="T327" s="13" t="str">
        <x:v>UNRESOLVED</x:v>
      </x:c>
      <x:c r="U327" s="13" t="str"/>
      <x:c r="V327" s="13" t="str"/>
      <x:c r="W327" s="13" t="str"/>
      <x:c r="X327" s="13" t="str">
        <x:f>IF(L327&lt;&gt;"COVERED","HELD — COVERAGE",IF(N327="YES — SENSITIVE","C ACTIONABLE","CHAPTER 5 DEFAULT"))</x:f>
        <x:v>HELD — COVERAGE</x:v>
      </x:c>
      <x:c r="Y327" s="13" t="str">
        <x:f>IF(L327&lt;&gt;"COVERED","HELD — COVERAGE",IF(P327="YES — MANAGED ACCESS","D ACTIONABLE","NO D FIELD"))</x:f>
        <x:v>HELD — COVERAGE</x:v>
      </x:c>
      <x:c r="Z327" s="13" t="str">
        <x:f>IF(L327&lt;&gt;"COVERED","HELD — COVERAGE",IF(OR(R327="PAIRED SYNCHRONIZED",R327="TRILATERAL SYNCHRONIZED"),"E ACTIONABLE","INDEPENDENT"))</x:f>
        <x:v>HELD — COVERAGE</x:v>
      </x:c>
      <x:c r="AA327" s="13" t="str">
        <x:f>IF(L327&lt;&gt;"COVERED","HELD — COVERAGE","WAIT FOR UPSTREAM COMPLETION")</x:f>
        <x:v>HELD — COVERAGE</x:v>
      </x:c>
      <x:c r="AB327" s="13" t="str">
        <x:f>IF(L327&lt;&gt;"COVERED","HELD — COVERAGE",IF(T327="UNRESOLVED","G DECISION REQUIRED",IF(T327="NOT APPLICABLE","G N/A","G ACTIONABLE")))</x:f>
        <x:v>HELD — COVERAGE</x:v>
      </x:c>
      <x:c r="AC327" s="13" t="str">
        <x:f>IF(L327="UNRESOLVED","COVERAGE FIRST",IF(OR(L327="EXCLUDED",L327="OUT OF SCOPE"),"CLOSED BY COVERAGE",IF(AND(L327="COVERED",T327&lt;&gt;"UNRESOLVED"),"PARTIALLY ADOPTED","DECISIONS REMAIN")))</x:f>
        <x:v>COVERAGE FIRST</x:v>
      </x:c>
    </x:row>
    <x:row r="328">
      <x:c r="A328" s="13" t="str">
        <x:v>NAAFTC-HS6-040120</x:v>
      </x:c>
      <x:c r="B328" s="13" t="str">
        <x:v>040120</x:v>
      </x:c>
      <x:c r="C328" s="13" t="str">
        <x:v>04</x:v>
      </x:c>
      <x:c r="D328" s="13" t="str">
        <x:v>TRILATERAL_SPLIT_MERGE</x:v>
      </x:c>
      <x:c r="E328" s="13" t="str">
        <x:v>Pending</x:v>
      </x:c>
      <x:c r="F328" s="13" t="n">
        <x:v>2</x:v>
      </x:c>
      <x:c r="G328" s="13" t="n">
        <x:v>2</x:v>
      </x:c>
      <x:c r="H328" s="13" t="n">
        <x:v>2</x:v>
      </x:c>
      <x:c r="I328" s="13" t="str">
        <x:v>0401202000; 0401204000</x:v>
      </x:c>
      <x:c r="J328" s="13" t="str">
        <x:v>0401200201; 0401200299</x:v>
      </x:c>
      <x:c r="K328" s="13" t="str">
        <x:v>0401201000; 0401202000</x:v>
      </x:c>
      <x:c r="L328" s="13" t="str">
        <x:v>UNRESOLVED</x:v>
      </x:c>
      <x:c r="M328" s="13" t="str"/>
      <x:c r="N328" s="13" t="str">
        <x:v>NO / DEFAULT</x:v>
      </x:c>
      <x:c r="O328" s="13" t="str"/>
      <x:c r="P328" s="13" t="str">
        <x:v>NO / DEFAULT</x:v>
      </x:c>
      <x:c r="Q328" s="13" t="str"/>
      <x:c r="R328" s="13" t="str">
        <x:v>INDEPENDENT / DEFAULT</x:v>
      </x:c>
      <x:c r="S328" s="13" t="str"/>
      <x:c r="T328" s="13" t="str">
        <x:v>UNRESOLVED</x:v>
      </x:c>
      <x:c r="U328" s="13" t="str"/>
      <x:c r="V328" s="13" t="str"/>
      <x:c r="W328" s="13" t="str"/>
      <x:c r="X328" s="13" t="str">
        <x:f>IF(L328&lt;&gt;"COVERED","HELD — COVERAGE",IF(N328="YES — SENSITIVE","C ACTIONABLE","CHAPTER 5 DEFAULT"))</x:f>
        <x:v>HELD — COVERAGE</x:v>
      </x:c>
      <x:c r="Y328" s="13" t="str">
        <x:f>IF(L328&lt;&gt;"COVERED","HELD — COVERAGE",IF(P328="YES — MANAGED ACCESS","D ACTIONABLE","NO D FIELD"))</x:f>
        <x:v>HELD — COVERAGE</x:v>
      </x:c>
      <x:c r="Z328" s="13" t="str">
        <x:f>IF(L328&lt;&gt;"COVERED","HELD — COVERAGE",IF(OR(R328="PAIRED SYNCHRONIZED",R328="TRILATERAL SYNCHRONIZED"),"E ACTIONABLE","INDEPENDENT"))</x:f>
        <x:v>HELD — COVERAGE</x:v>
      </x:c>
      <x:c r="AA328" s="13" t="str">
        <x:f>IF(L328&lt;&gt;"COVERED","HELD — COVERAGE","WAIT FOR UPSTREAM COMPLETION")</x:f>
        <x:v>HELD — COVERAGE</x:v>
      </x:c>
      <x:c r="AB328" s="13" t="str">
        <x:f>IF(L328&lt;&gt;"COVERED","HELD — COVERAGE",IF(T328="UNRESOLVED","G DECISION REQUIRED",IF(T328="NOT APPLICABLE","G N/A","G ACTIONABLE")))</x:f>
        <x:v>HELD — COVERAGE</x:v>
      </x:c>
      <x:c r="AC328" s="13" t="str">
        <x:f>IF(L328="UNRESOLVED","COVERAGE FIRST",IF(OR(L328="EXCLUDED",L328="OUT OF SCOPE"),"CLOSED BY COVERAGE",IF(AND(L328="COVERED",T328&lt;&gt;"UNRESOLVED"),"PARTIALLY ADOPTED","DECISIONS REMAIN")))</x:f>
        <x:v>COVERAGE FIRST</x:v>
      </x:c>
    </x:row>
    <x:row r="329">
      <x:c r="A329" s="13" t="str">
        <x:v>NAAFTC-HS6-040140</x:v>
      </x:c>
      <x:c r="B329" s="13" t="str">
        <x:v>040140</x:v>
      </x:c>
      <x:c r="C329" s="13" t="str">
        <x:v>04</x:v>
      </x:c>
      <x:c r="D329" s="13" t="str">
        <x:v>TRILATERAL_SPLIT_MERGE</x:v>
      </x:c>
      <x:c r="E329" s="13" t="str">
        <x:v>Pending</x:v>
      </x:c>
      <x:c r="F329" s="13" t="n">
        <x:v>3</x:v>
      </x:c>
      <x:c r="G329" s="13" t="n">
        <x:v>2</x:v>
      </x:c>
      <x:c r="H329" s="13" t="n">
        <x:v>2</x:v>
      </x:c>
      <x:c r="I329" s="13" t="str">
        <x:v>0401400200; 0401400500; 0401402500</x:v>
      </x:c>
      <x:c r="J329" s="13" t="str">
        <x:v>0401400201; 0401400299</x:v>
      </x:c>
      <x:c r="K329" s="13" t="str">
        <x:v>0401401000; 0401402000</x:v>
      </x:c>
      <x:c r="L329" s="13" t="str">
        <x:v>UNRESOLVED</x:v>
      </x:c>
      <x:c r="M329" s="13" t="str"/>
      <x:c r="N329" s="13" t="str">
        <x:v>NO / DEFAULT</x:v>
      </x:c>
      <x:c r="O329" s="13" t="str"/>
      <x:c r="P329" s="13" t="str">
        <x:v>NO / DEFAULT</x:v>
      </x:c>
      <x:c r="Q329" s="13" t="str"/>
      <x:c r="R329" s="13" t="str">
        <x:v>INDEPENDENT / DEFAULT</x:v>
      </x:c>
      <x:c r="S329" s="13" t="str"/>
      <x:c r="T329" s="13" t="str">
        <x:v>UNRESOLVED</x:v>
      </x:c>
      <x:c r="U329" s="13" t="str"/>
      <x:c r="V329" s="13" t="str"/>
      <x:c r="W329" s="13" t="str"/>
      <x:c r="X329" s="13" t="str">
        <x:f>IF(L329&lt;&gt;"COVERED","HELD — COVERAGE",IF(N329="YES — SENSITIVE","C ACTIONABLE","CHAPTER 5 DEFAULT"))</x:f>
        <x:v>HELD — COVERAGE</x:v>
      </x:c>
      <x:c r="Y329" s="13" t="str">
        <x:f>IF(L329&lt;&gt;"COVERED","HELD — COVERAGE",IF(P329="YES — MANAGED ACCESS","D ACTIONABLE","NO D FIELD"))</x:f>
        <x:v>HELD — COVERAGE</x:v>
      </x:c>
      <x:c r="Z329" s="13" t="str">
        <x:f>IF(L329&lt;&gt;"COVERED","HELD — COVERAGE",IF(OR(R329="PAIRED SYNCHRONIZED",R329="TRILATERAL SYNCHRONIZED"),"E ACTIONABLE","INDEPENDENT"))</x:f>
        <x:v>HELD — COVERAGE</x:v>
      </x:c>
      <x:c r="AA329" s="13" t="str">
        <x:f>IF(L329&lt;&gt;"COVERED","HELD — COVERAGE","WAIT FOR UPSTREAM COMPLETION")</x:f>
        <x:v>HELD — COVERAGE</x:v>
      </x:c>
      <x:c r="AB329" s="13" t="str">
        <x:f>IF(L329&lt;&gt;"COVERED","HELD — COVERAGE",IF(T329="UNRESOLVED","G DECISION REQUIRED",IF(T329="NOT APPLICABLE","G N/A","G ACTIONABLE")))</x:f>
        <x:v>HELD — COVERAGE</x:v>
      </x:c>
      <x:c r="AC329" s="13" t="str">
        <x:f>IF(L329="UNRESOLVED","COVERAGE FIRST",IF(OR(L329="EXCLUDED",L329="OUT OF SCOPE"),"CLOSED BY COVERAGE",IF(AND(L329="COVERED",T329&lt;&gt;"UNRESOLVED"),"PARTIALLY ADOPTED","DECISIONS REMAIN")))</x:f>
        <x:v>COVERAGE FIRST</x:v>
      </x:c>
    </x:row>
    <x:row r="330">
      <x:c r="A330" s="13" t="str">
        <x:v>NAAFTC-HS6-040150</x:v>
      </x:c>
      <x:c r="B330" s="13" t="str">
        <x:v>040150</x:v>
      </x:c>
      <x:c r="C330" s="13" t="str">
        <x:v>04</x:v>
      </x:c>
      <x:c r="D330" s="13" t="str">
        <x:v>TRILATERAL_SPLIT_MERGE</x:v>
      </x:c>
      <x:c r="E330" s="13" t="str">
        <x:v>Pending</x:v>
      </x:c>
      <x:c r="F330" s="13" t="n">
        <x:v>6</x:v>
      </x:c>
      <x:c r="G330" s="13" t="n">
        <x:v>2</x:v>
      </x:c>
      <x:c r="H330" s="13" t="n">
        <x:v>2</x:v>
      </x:c>
      <x:c r="I330" s="13" t="str">
        <x:v>0401500200; 0401500500; 0401502500; 0401504200; 0401505000; 0401507500</x:v>
      </x:c>
      <x:c r="J330" s="13" t="str">
        <x:v>0401500201; 0401500299</x:v>
      </x:c>
      <x:c r="K330" s="13" t="str">
        <x:v>0401501000; 0401502000</x:v>
      </x:c>
      <x:c r="L330" s="13" t="str">
        <x:v>UNRESOLVED</x:v>
      </x:c>
      <x:c r="M330" s="13" t="str"/>
      <x:c r="N330" s="13" t="str">
        <x:v>NO / DEFAULT</x:v>
      </x:c>
      <x:c r="O330" s="13" t="str"/>
      <x:c r="P330" s="13" t="str">
        <x:v>NO / DEFAULT</x:v>
      </x:c>
      <x:c r="Q330" s="13" t="str"/>
      <x:c r="R330" s="13" t="str">
        <x:v>INDEPENDENT / DEFAULT</x:v>
      </x:c>
      <x:c r="S330" s="13" t="str"/>
      <x:c r="T330" s="13" t="str">
        <x:v>UNRESOLVED</x:v>
      </x:c>
      <x:c r="U330" s="13" t="str"/>
      <x:c r="V330" s="13" t="str"/>
      <x:c r="W330" s="13" t="str"/>
      <x:c r="X330" s="13" t="str">
        <x:f>IF(L330&lt;&gt;"COVERED","HELD — COVERAGE",IF(N330="YES — SENSITIVE","C ACTIONABLE","CHAPTER 5 DEFAULT"))</x:f>
        <x:v>HELD — COVERAGE</x:v>
      </x:c>
      <x:c r="Y330" s="13" t="str">
        <x:f>IF(L330&lt;&gt;"COVERED","HELD — COVERAGE",IF(P330="YES — MANAGED ACCESS","D ACTIONABLE","NO D FIELD"))</x:f>
        <x:v>HELD — COVERAGE</x:v>
      </x:c>
      <x:c r="Z330" s="13" t="str">
        <x:f>IF(L330&lt;&gt;"COVERED","HELD — COVERAGE",IF(OR(R330="PAIRED SYNCHRONIZED",R330="TRILATERAL SYNCHRONIZED"),"E ACTIONABLE","INDEPENDENT"))</x:f>
        <x:v>HELD — COVERAGE</x:v>
      </x:c>
      <x:c r="AA330" s="13" t="str">
        <x:f>IF(L330&lt;&gt;"COVERED","HELD — COVERAGE","WAIT FOR UPSTREAM COMPLETION")</x:f>
        <x:v>HELD — COVERAGE</x:v>
      </x:c>
      <x:c r="AB330" s="13" t="str">
        <x:f>IF(L330&lt;&gt;"COVERED","HELD — COVERAGE",IF(T330="UNRESOLVED","G DECISION REQUIRED",IF(T330="NOT APPLICABLE","G N/A","G ACTIONABLE")))</x:f>
        <x:v>HELD — COVERAGE</x:v>
      </x:c>
      <x:c r="AC330" s="13" t="str">
        <x:f>IF(L330="UNRESOLVED","COVERAGE FIRST",IF(OR(L330="EXCLUDED",L330="OUT OF SCOPE"),"CLOSED BY COVERAGE",IF(AND(L330="COVERED",T330&lt;&gt;"UNRESOLVED"),"PARTIALLY ADOPTED","DECISIONS REMAIN")))</x:f>
        <x:v>COVERAGE FIRST</x:v>
      </x:c>
    </x:row>
    <x:row r="331">
      <x:c r="A331" s="13" t="str">
        <x:v>NAAFTC-HS6-040210</x:v>
      </x:c>
      <x:c r="B331" s="13" t="str">
        <x:v>040210</x:v>
      </x:c>
      <x:c r="C331" s="13" t="str">
        <x:v>04</x:v>
      </x:c>
      <x:c r="D331" s="13" t="str">
        <x:v>TRILATERAL_SPLIT_MERGE</x:v>
      </x:c>
      <x:c r="E331" s="13" t="str">
        <x:v>Pending</x:v>
      </x:c>
      <x:c r="F331" s="13" t="n">
        <x:v>3</x:v>
      </x:c>
      <x:c r="G331" s="13" t="n">
        <x:v>2</x:v>
      </x:c>
      <x:c r="H331" s="13" t="n">
        <x:v>2</x:v>
      </x:c>
      <x:c r="I331" s="13" t="str">
        <x:v>0402100500; 0402101000; 0402105000</x:v>
      </x:c>
      <x:c r="J331" s="13" t="str">
        <x:v>0402100100; 0402109900</x:v>
      </x:c>
      <x:c r="K331" s="13" t="str">
        <x:v>0402101000; 0402102000</x:v>
      </x:c>
      <x:c r="L331" s="13" t="str">
        <x:v>UNRESOLVED</x:v>
      </x:c>
      <x:c r="M331" s="13" t="str"/>
      <x:c r="N331" s="13" t="str">
        <x:v>NO / DEFAULT</x:v>
      </x:c>
      <x:c r="O331" s="13" t="str"/>
      <x:c r="P331" s="13" t="str">
        <x:v>NO / DEFAULT</x:v>
      </x:c>
      <x:c r="Q331" s="13" t="str"/>
      <x:c r="R331" s="13" t="str">
        <x:v>INDEPENDENT / DEFAULT</x:v>
      </x:c>
      <x:c r="S331" s="13" t="str"/>
      <x:c r="T331" s="13" t="str">
        <x:v>UNRESOLVED</x:v>
      </x:c>
      <x:c r="U331" s="13" t="str"/>
      <x:c r="V331" s="13" t="str"/>
      <x:c r="W331" s="13" t="str"/>
      <x:c r="X331" s="13" t="str">
        <x:f>IF(L331&lt;&gt;"COVERED","HELD — COVERAGE",IF(N331="YES — SENSITIVE","C ACTIONABLE","CHAPTER 5 DEFAULT"))</x:f>
        <x:v>HELD — COVERAGE</x:v>
      </x:c>
      <x:c r="Y331" s="13" t="str">
        <x:f>IF(L331&lt;&gt;"COVERED","HELD — COVERAGE",IF(P331="YES — MANAGED ACCESS","D ACTIONABLE","NO D FIELD"))</x:f>
        <x:v>HELD — COVERAGE</x:v>
      </x:c>
      <x:c r="Z331" s="13" t="str">
        <x:f>IF(L331&lt;&gt;"COVERED","HELD — COVERAGE",IF(OR(R331="PAIRED SYNCHRONIZED",R331="TRILATERAL SYNCHRONIZED"),"E ACTIONABLE","INDEPENDENT"))</x:f>
        <x:v>HELD — COVERAGE</x:v>
      </x:c>
      <x:c r="AA331" s="13" t="str">
        <x:f>IF(L331&lt;&gt;"COVERED","HELD — COVERAGE","WAIT FOR UPSTREAM COMPLETION")</x:f>
        <x:v>HELD — COVERAGE</x:v>
      </x:c>
      <x:c r="AB331" s="13" t="str">
        <x:f>IF(L331&lt;&gt;"COVERED","HELD — COVERAGE",IF(T331="UNRESOLVED","G DECISION REQUIRED",IF(T331="NOT APPLICABLE","G N/A","G ACTIONABLE")))</x:f>
        <x:v>HELD — COVERAGE</x:v>
      </x:c>
      <x:c r="AC331" s="13" t="str">
        <x:f>IF(L331="UNRESOLVED","COVERAGE FIRST",IF(OR(L331="EXCLUDED",L331="OUT OF SCOPE"),"CLOSED BY COVERAGE",IF(AND(L331="COVERED",T331&lt;&gt;"UNRESOLVED"),"PARTIALLY ADOPTED","DECISIONS REMAIN")))</x:f>
        <x:v>COVERAGE FIRST</x:v>
      </x:c>
    </x:row>
    <x:row r="332">
      <x:c r="A332" s="13" t="str">
        <x:v>NAAFTC-HS6-040221</x:v>
      </x:c>
      <x:c r="B332" s="13" t="str">
        <x:v>040221</x:v>
      </x:c>
      <x:c r="C332" s="13" t="str">
        <x:v>04</x:v>
      </x:c>
      <x:c r="D332" s="13" t="str">
        <x:v>TRILATERAL_SPLIT_MERGE</x:v>
      </x:c>
      <x:c r="E332" s="13" t="str">
        <x:v>Pending</x:v>
      </x:c>
      <x:c r="F332" s="13" t="n">
        <x:v>9</x:v>
      </x:c>
      <x:c r="G332" s="13" t="n">
        <x:v>2</x:v>
      </x:c>
      <x:c r="H332" s="13" t="n">
        <x:v>4</x:v>
      </x:c>
      <x:c r="I332" s="13" t="str">
        <x:v>0402210200; 0402210500; 0402212500; 0402212700; 0402213000; 0402215000; +3 more</x:v>
      </x:c>
      <x:c r="J332" s="13" t="str">
        <x:v>0402210100; 0402219900</x:v>
      </x:c>
      <x:c r="K332" s="13" t="str">
        <x:v>0402211100; 0402211200; 0402212100; 0402212200</x:v>
      </x:c>
      <x:c r="L332" s="13" t="str">
        <x:v>UNRESOLVED</x:v>
      </x:c>
      <x:c r="M332" s="13" t="str"/>
      <x:c r="N332" s="13" t="str">
        <x:v>NO / DEFAULT</x:v>
      </x:c>
      <x:c r="O332" s="13" t="str"/>
      <x:c r="P332" s="13" t="str">
        <x:v>NO / DEFAULT</x:v>
      </x:c>
      <x:c r="Q332" s="13" t="str"/>
      <x:c r="R332" s="13" t="str">
        <x:v>INDEPENDENT / DEFAULT</x:v>
      </x:c>
      <x:c r="S332" s="13" t="str"/>
      <x:c r="T332" s="13" t="str">
        <x:v>UNRESOLVED</x:v>
      </x:c>
      <x:c r="U332" s="13" t="str"/>
      <x:c r="V332" s="13" t="str"/>
      <x:c r="W332" s="13" t="str"/>
      <x:c r="X332" s="13" t="str">
        <x:f>IF(L332&lt;&gt;"COVERED","HELD — COVERAGE",IF(N332="YES — SENSITIVE","C ACTIONABLE","CHAPTER 5 DEFAULT"))</x:f>
        <x:v>HELD — COVERAGE</x:v>
      </x:c>
      <x:c r="Y332" s="13" t="str">
        <x:f>IF(L332&lt;&gt;"COVERED","HELD — COVERAGE",IF(P332="YES — MANAGED ACCESS","D ACTIONABLE","NO D FIELD"))</x:f>
        <x:v>HELD — COVERAGE</x:v>
      </x:c>
      <x:c r="Z332" s="13" t="str">
        <x:f>IF(L332&lt;&gt;"COVERED","HELD — COVERAGE",IF(OR(R332="PAIRED SYNCHRONIZED",R332="TRILATERAL SYNCHRONIZED"),"E ACTIONABLE","INDEPENDENT"))</x:f>
        <x:v>HELD — COVERAGE</x:v>
      </x:c>
      <x:c r="AA332" s="13" t="str">
        <x:f>IF(L332&lt;&gt;"COVERED","HELD — COVERAGE","WAIT FOR UPSTREAM COMPLETION")</x:f>
        <x:v>HELD — COVERAGE</x:v>
      </x:c>
      <x:c r="AB332" s="13" t="str">
        <x:f>IF(L332&lt;&gt;"COVERED","HELD — COVERAGE",IF(T332="UNRESOLVED","G DECISION REQUIRED",IF(T332="NOT APPLICABLE","G N/A","G ACTIONABLE")))</x:f>
        <x:v>HELD — COVERAGE</x:v>
      </x:c>
      <x:c r="AC332" s="13" t="str">
        <x:f>IF(L332="UNRESOLVED","COVERAGE FIRST",IF(OR(L332="EXCLUDED",L332="OUT OF SCOPE"),"CLOSED BY COVERAGE",IF(AND(L332="COVERED",T332&lt;&gt;"UNRESOLVED"),"PARTIALLY ADOPTED","DECISIONS REMAIN")))</x:f>
        <x:v>COVERAGE FIRST</x:v>
      </x:c>
    </x:row>
    <x:row r="333">
      <x:c r="A333" s="13" t="str">
        <x:v>NAAFTC-HS6-040229</x:v>
      </x:c>
      <x:c r="B333" s="13" t="str">
        <x:v>040229</x:v>
      </x:c>
      <x:c r="C333" s="13" t="str">
        <x:v>04</x:v>
      </x:c>
      <x:c r="D333" s="13" t="str">
        <x:v>TRILATERAL_SPLIT_MERGE</x:v>
      </x:c>
      <x:c r="E333" s="13" t="str">
        <x:v>Pending</x:v>
      </x:c>
      <x:c r="F333" s="13" t="n">
        <x:v>3</x:v>
      </x:c>
      <x:c r="G333" s="13" t="n">
        <x:v>1</x:v>
      </x:c>
      <x:c r="H333" s="13" t="n">
        <x:v>2</x:v>
      </x:c>
      <x:c r="I333" s="13" t="str">
        <x:v>0402290500; 0402291000; 0402295000</x:v>
      </x:c>
      <x:c r="J333" s="13" t="str">
        <x:v>0402299900</x:v>
      </x:c>
      <x:c r="K333" s="13" t="str">
        <x:v>0402291100; 0402291200</x:v>
      </x:c>
      <x:c r="L333" s="13" t="str">
        <x:v>UNRESOLVED</x:v>
      </x:c>
      <x:c r="M333" s="13" t="str"/>
      <x:c r="N333" s="13" t="str">
        <x:v>NO / DEFAULT</x:v>
      </x:c>
      <x:c r="O333" s="13" t="str"/>
      <x:c r="P333" s="13" t="str">
        <x:v>NO / DEFAULT</x:v>
      </x:c>
      <x:c r="Q333" s="13" t="str"/>
      <x:c r="R333" s="13" t="str">
        <x:v>INDEPENDENT / DEFAULT</x:v>
      </x:c>
      <x:c r="S333" s="13" t="str"/>
      <x:c r="T333" s="13" t="str">
        <x:v>UNRESOLVED</x:v>
      </x:c>
      <x:c r="U333" s="13" t="str"/>
      <x:c r="V333" s="13" t="str"/>
      <x:c r="W333" s="13" t="str"/>
      <x:c r="X333" s="13" t="str">
        <x:f>IF(L333&lt;&gt;"COVERED","HELD — COVERAGE",IF(N333="YES — SENSITIVE","C ACTIONABLE","CHAPTER 5 DEFAULT"))</x:f>
        <x:v>HELD — COVERAGE</x:v>
      </x:c>
      <x:c r="Y333" s="13" t="str">
        <x:f>IF(L333&lt;&gt;"COVERED","HELD — COVERAGE",IF(P333="YES — MANAGED ACCESS","D ACTIONABLE","NO D FIELD"))</x:f>
        <x:v>HELD — COVERAGE</x:v>
      </x:c>
      <x:c r="Z333" s="13" t="str">
        <x:f>IF(L333&lt;&gt;"COVERED","HELD — COVERAGE",IF(OR(R333="PAIRED SYNCHRONIZED",R333="TRILATERAL SYNCHRONIZED"),"E ACTIONABLE","INDEPENDENT"))</x:f>
        <x:v>HELD — COVERAGE</x:v>
      </x:c>
      <x:c r="AA333" s="13" t="str">
        <x:f>IF(L333&lt;&gt;"COVERED","HELD — COVERAGE","WAIT FOR UPSTREAM COMPLETION")</x:f>
        <x:v>HELD — COVERAGE</x:v>
      </x:c>
      <x:c r="AB333" s="13" t="str">
        <x:f>IF(L333&lt;&gt;"COVERED","HELD — COVERAGE",IF(T333="UNRESOLVED","G DECISION REQUIRED",IF(T333="NOT APPLICABLE","G N/A","G ACTIONABLE")))</x:f>
        <x:v>HELD — COVERAGE</x:v>
      </x:c>
      <x:c r="AC333" s="13" t="str">
        <x:f>IF(L333="UNRESOLVED","COVERAGE FIRST",IF(OR(L333="EXCLUDED",L333="OUT OF SCOPE"),"CLOSED BY COVERAGE",IF(AND(L333="COVERED",T333&lt;&gt;"UNRESOLVED"),"PARTIALLY ADOPTED","DECISIONS REMAIN")))</x:f>
        <x:v>COVERAGE FIRST</x:v>
      </x:c>
    </x:row>
    <x:row r="334">
      <x:c r="A334" s="13" t="str">
        <x:v>NAAFTC-HS6-040291</x:v>
      </x:c>
      <x:c r="B334" s="13" t="str">
        <x:v>040291</x:v>
      </x:c>
      <x:c r="C334" s="13" t="str">
        <x:v>04</x:v>
      </x:c>
      <x:c r="D334" s="13" t="str">
        <x:v>TRILATERAL_SPLIT_MERGE</x:v>
      </x:c>
      <x:c r="E334" s="13" t="str">
        <x:v>Pending</x:v>
      </x:c>
      <x:c r="F334" s="13" t="n">
        <x:v>6</x:v>
      </x:c>
      <x:c r="G334" s="13" t="n">
        <x:v>2</x:v>
      </x:c>
      <x:c r="H334" s="13" t="n">
        <x:v>2</x:v>
      </x:c>
      <x:c r="I334" s="13" t="str">
        <x:v>0402910300; 0402910600; 0402911000; 0402913000; 0402917000; 0402919000</x:v>
      </x:c>
      <x:c r="J334" s="13" t="str">
        <x:v>0402910100; 0402919900</x:v>
      </x:c>
      <x:c r="K334" s="13" t="str">
        <x:v>0402911000; 0402912000</x:v>
      </x:c>
      <x:c r="L334" s="13" t="str">
        <x:v>UNRESOLVED</x:v>
      </x:c>
      <x:c r="M334" s="13" t="str"/>
      <x:c r="N334" s="13" t="str">
        <x:v>NO / DEFAULT</x:v>
      </x:c>
      <x:c r="O334" s="13" t="str"/>
      <x:c r="P334" s="13" t="str">
        <x:v>NO / DEFAULT</x:v>
      </x:c>
      <x:c r="Q334" s="13" t="str"/>
      <x:c r="R334" s="13" t="str">
        <x:v>INDEPENDENT / DEFAULT</x:v>
      </x:c>
      <x:c r="S334" s="13" t="str"/>
      <x:c r="T334" s="13" t="str">
        <x:v>UNRESOLVED</x:v>
      </x:c>
      <x:c r="U334" s="13" t="str"/>
      <x:c r="V334" s="13" t="str"/>
      <x:c r="W334" s="13" t="str"/>
      <x:c r="X334" s="13" t="str">
        <x:f>IF(L334&lt;&gt;"COVERED","HELD — COVERAGE",IF(N334="YES — SENSITIVE","C ACTIONABLE","CHAPTER 5 DEFAULT"))</x:f>
        <x:v>HELD — COVERAGE</x:v>
      </x:c>
      <x:c r="Y334" s="13" t="str">
        <x:f>IF(L334&lt;&gt;"COVERED","HELD — COVERAGE",IF(P334="YES — MANAGED ACCESS","D ACTIONABLE","NO D FIELD"))</x:f>
        <x:v>HELD — COVERAGE</x:v>
      </x:c>
      <x:c r="Z334" s="13" t="str">
        <x:f>IF(L334&lt;&gt;"COVERED","HELD — COVERAGE",IF(OR(R334="PAIRED SYNCHRONIZED",R334="TRILATERAL SYNCHRONIZED"),"E ACTIONABLE","INDEPENDENT"))</x:f>
        <x:v>HELD — COVERAGE</x:v>
      </x:c>
      <x:c r="AA334" s="13" t="str">
        <x:f>IF(L334&lt;&gt;"COVERED","HELD — COVERAGE","WAIT FOR UPSTREAM COMPLETION")</x:f>
        <x:v>HELD — COVERAGE</x:v>
      </x:c>
      <x:c r="AB334" s="13" t="str">
        <x:f>IF(L334&lt;&gt;"COVERED","HELD — COVERAGE",IF(T334="UNRESOLVED","G DECISION REQUIRED",IF(T334="NOT APPLICABLE","G N/A","G ACTIONABLE")))</x:f>
        <x:v>HELD — COVERAGE</x:v>
      </x:c>
      <x:c r="AC334" s="13" t="str">
        <x:f>IF(L334="UNRESOLVED","COVERAGE FIRST",IF(OR(L334="EXCLUDED",L334="OUT OF SCOPE"),"CLOSED BY COVERAGE",IF(AND(L334="COVERED",T334&lt;&gt;"UNRESOLVED"),"PARTIALLY ADOPTED","DECISIONS REMAIN")))</x:f>
        <x:v>COVERAGE FIRST</x:v>
      </x:c>
    </x:row>
    <x:row r="335">
      <x:c r="A335" s="13" t="str">
        <x:v>NAAFTC-HS6-040299</x:v>
      </x:c>
      <x:c r="B335" s="13" t="str">
        <x:v>040299</x:v>
      </x:c>
      <x:c r="C335" s="13" t="str">
        <x:v>04</x:v>
      </x:c>
      <x:c r="D335" s="13" t="str">
        <x:v>TRILATERAL_SPLIT_MERGE</x:v>
      </x:c>
      <x:c r="E335" s="13" t="str">
        <x:v>Pending</x:v>
      </x:c>
      <x:c r="F335" s="13" t="n">
        <x:v>9</x:v>
      </x:c>
      <x:c r="G335" s="13" t="n">
        <x:v>2</x:v>
      </x:c>
      <x:c r="H335" s="13" t="n">
        <x:v>2</x:v>
      </x:c>
      <x:c r="I335" s="13" t="str">
        <x:v>0402990300; 0402990600; 0402991000; 0402993000; 0402994500; 0402995500; +3 more</x:v>
      </x:c>
      <x:c r="J335" s="13" t="str">
        <x:v>0402990100; 0402999900</x:v>
      </x:c>
      <x:c r="K335" s="13" t="str">
        <x:v>0402991000; 0402992000</x:v>
      </x:c>
      <x:c r="L335" s="13" t="str">
        <x:v>UNRESOLVED</x:v>
      </x:c>
      <x:c r="M335" s="13" t="str"/>
      <x:c r="N335" s="13" t="str">
        <x:v>NO / DEFAULT</x:v>
      </x:c>
      <x:c r="O335" s="13" t="str"/>
      <x:c r="P335" s="13" t="str">
        <x:v>NO / DEFAULT</x:v>
      </x:c>
      <x:c r="Q335" s="13" t="str"/>
      <x:c r="R335" s="13" t="str">
        <x:v>INDEPENDENT / DEFAULT</x:v>
      </x:c>
      <x:c r="S335" s="13" t="str"/>
      <x:c r="T335" s="13" t="str">
        <x:v>UNRESOLVED</x:v>
      </x:c>
      <x:c r="U335" s="13" t="str"/>
      <x:c r="V335" s="13" t="str"/>
      <x:c r="W335" s="13" t="str"/>
      <x:c r="X335" s="13" t="str">
        <x:f>IF(L335&lt;&gt;"COVERED","HELD — COVERAGE",IF(N335="YES — SENSITIVE","C ACTIONABLE","CHAPTER 5 DEFAULT"))</x:f>
        <x:v>HELD — COVERAGE</x:v>
      </x:c>
      <x:c r="Y335" s="13" t="str">
        <x:f>IF(L335&lt;&gt;"COVERED","HELD — COVERAGE",IF(P335="YES — MANAGED ACCESS","D ACTIONABLE","NO D FIELD"))</x:f>
        <x:v>HELD — COVERAGE</x:v>
      </x:c>
      <x:c r="Z335" s="13" t="str">
        <x:f>IF(L335&lt;&gt;"COVERED","HELD — COVERAGE",IF(OR(R335="PAIRED SYNCHRONIZED",R335="TRILATERAL SYNCHRONIZED"),"E ACTIONABLE","INDEPENDENT"))</x:f>
        <x:v>HELD — COVERAGE</x:v>
      </x:c>
      <x:c r="AA335" s="13" t="str">
        <x:f>IF(L335&lt;&gt;"COVERED","HELD — COVERAGE","WAIT FOR UPSTREAM COMPLETION")</x:f>
        <x:v>HELD — COVERAGE</x:v>
      </x:c>
      <x:c r="AB335" s="13" t="str">
        <x:f>IF(L335&lt;&gt;"COVERED","HELD — COVERAGE",IF(T335="UNRESOLVED","G DECISION REQUIRED",IF(T335="NOT APPLICABLE","G N/A","G ACTIONABLE")))</x:f>
        <x:v>HELD — COVERAGE</x:v>
      </x:c>
      <x:c r="AC335" s="13" t="str">
        <x:f>IF(L335="UNRESOLVED","COVERAGE FIRST",IF(OR(L335="EXCLUDED",L335="OUT OF SCOPE"),"CLOSED BY COVERAGE",IF(AND(L335="COVERED",T335&lt;&gt;"UNRESOLVED"),"PARTIALLY ADOPTED","DECISIONS REMAIN")))</x:f>
        <x:v>COVERAGE FIRST</x:v>
      </x:c>
    </x:row>
    <x:row r="336">
      <x:c r="A336" s="13" t="str">
        <x:v>NAAFTC-HS6-040320</x:v>
      </x:c>
      <x:c r="B336" s="13" t="str">
        <x:v>040320</x:v>
      </x:c>
      <x:c r="C336" s="13" t="str">
        <x:v>04</x:v>
      </x:c>
      <x:c r="D336" s="13" t="str">
        <x:v>TRILATERAL_SPLIT_MERGE</x:v>
      </x:c>
      <x:c r="E336" s="13" t="str">
        <x:v>Pending</x:v>
      </x:c>
      <x:c r="F336" s="13" t="n">
        <x:v>4</x:v>
      </x:c>
      <x:c r="G336" s="13" t="n">
        <x:v>2</x:v>
      </x:c>
      <x:c r="H336" s="13" t="n">
        <x:v>4</x:v>
      </x:c>
      <x:c r="I336" s="13" t="str">
        <x:v>0403200500; 0403201000; 0403205000; 0403209000</x:v>
      </x:c>
      <x:c r="J336" s="13" t="str">
        <x:v>0403200100; 0403209900</x:v>
      </x:c>
      <x:c r="K336" s="13" t="str">
        <x:v>0403202100; 04032029; 0403203100; 04032039</x:v>
      </x:c>
      <x:c r="L336" s="13" t="str">
        <x:v>UNRESOLVED</x:v>
      </x:c>
      <x:c r="M336" s="13" t="str"/>
      <x:c r="N336" s="13" t="str">
        <x:v>NO / DEFAULT</x:v>
      </x:c>
      <x:c r="O336" s="13" t="str"/>
      <x:c r="P336" s="13" t="str">
        <x:v>NO / DEFAULT</x:v>
      </x:c>
      <x:c r="Q336" s="13" t="str"/>
      <x:c r="R336" s="13" t="str">
        <x:v>INDEPENDENT / DEFAULT</x:v>
      </x:c>
      <x:c r="S336" s="13" t="str"/>
      <x:c r="T336" s="13" t="str">
        <x:v>UNRESOLVED</x:v>
      </x:c>
      <x:c r="U336" s="13" t="str"/>
      <x:c r="V336" s="13" t="str"/>
      <x:c r="W336" s="13" t="str"/>
      <x:c r="X336" s="13" t="str">
        <x:f>IF(L336&lt;&gt;"COVERED","HELD — COVERAGE",IF(N336="YES — SENSITIVE","C ACTIONABLE","CHAPTER 5 DEFAULT"))</x:f>
        <x:v>HELD — COVERAGE</x:v>
      </x:c>
      <x:c r="Y336" s="13" t="str">
        <x:f>IF(L336&lt;&gt;"COVERED","HELD — COVERAGE",IF(P336="YES — MANAGED ACCESS","D ACTIONABLE","NO D FIELD"))</x:f>
        <x:v>HELD — COVERAGE</x:v>
      </x:c>
      <x:c r="Z336" s="13" t="str">
        <x:f>IF(L336&lt;&gt;"COVERED","HELD — COVERAGE",IF(OR(R336="PAIRED SYNCHRONIZED",R336="TRILATERAL SYNCHRONIZED"),"E ACTIONABLE","INDEPENDENT"))</x:f>
        <x:v>HELD — COVERAGE</x:v>
      </x:c>
      <x:c r="AA336" s="13" t="str">
        <x:f>IF(L336&lt;&gt;"COVERED","HELD — COVERAGE","WAIT FOR UPSTREAM COMPLETION")</x:f>
        <x:v>HELD — COVERAGE</x:v>
      </x:c>
      <x:c r="AB336" s="13" t="str">
        <x:f>IF(L336&lt;&gt;"COVERED","HELD — COVERAGE",IF(T336="UNRESOLVED","G DECISION REQUIRED",IF(T336="NOT APPLICABLE","G N/A","G ACTIONABLE")))</x:f>
        <x:v>HELD — COVERAGE</x:v>
      </x:c>
      <x:c r="AC336" s="13" t="str">
        <x:f>IF(L336="UNRESOLVED","COVERAGE FIRST",IF(OR(L336="EXCLUDED",L336="OUT OF SCOPE"),"CLOSED BY COVERAGE",IF(AND(L336="COVERED",T336&lt;&gt;"UNRESOLVED"),"PARTIALLY ADOPTED","DECISIONS REMAIN")))</x:f>
        <x:v>COVERAGE FIRST</x:v>
      </x:c>
    </x:row>
    <x:row r="337">
      <x:c r="A337" s="13" t="str">
        <x:v>NAAFTC-HS6-040390</x:v>
      </x:c>
      <x:c r="B337" s="13" t="str">
        <x:v>040390</x:v>
      </x:c>
      <x:c r="C337" s="13" t="str">
        <x:v>04</x:v>
      </x:c>
      <x:c r="D337" s="13" t="str">
        <x:v>TRILATERAL_SPLIT_MERGE</x:v>
      </x:c>
      <x:c r="E337" s="13" t="str">
        <x:v>Pending</x:v>
      </x:c>
      <x:c r="F337" s="13" t="n">
        <x:v>21</x:v>
      </x:c>
      <x:c r="G337" s="13" t="n">
        <x:v>1</x:v>
      </x:c>
      <x:c r="H337" s="13" t="n">
        <x:v>4</x:v>
      </x:c>
      <x:c r="I337" s="13" t="str">
        <x:v>0403900200; 0403900400; 0403901600; 0403902000; 0403903700; 0403904110; +15 more</x:v>
      </x:c>
      <x:c r="J337" s="13" t="str">
        <x:v>0403909900</x:v>
      </x:c>
      <x:c r="K337" s="13" t="str">
        <x:v>0403901100; 0403901200; 0403909100; 0403909200</x:v>
      </x:c>
      <x:c r="L337" s="13" t="str">
        <x:v>UNRESOLVED</x:v>
      </x:c>
      <x:c r="M337" s="13" t="str"/>
      <x:c r="N337" s="13" t="str">
        <x:v>NO / DEFAULT</x:v>
      </x:c>
      <x:c r="O337" s="13" t="str"/>
      <x:c r="P337" s="13" t="str">
        <x:v>NO / DEFAULT</x:v>
      </x:c>
      <x:c r="Q337" s="13" t="str"/>
      <x:c r="R337" s="13" t="str">
        <x:v>INDEPENDENT / DEFAULT</x:v>
      </x:c>
      <x:c r="S337" s="13" t="str"/>
      <x:c r="T337" s="13" t="str">
        <x:v>UNRESOLVED</x:v>
      </x:c>
      <x:c r="U337" s="13" t="str"/>
      <x:c r="V337" s="13" t="str"/>
      <x:c r="W337" s="13" t="str"/>
      <x:c r="X337" s="13" t="str">
        <x:f>IF(L337&lt;&gt;"COVERED","HELD — COVERAGE",IF(N337="YES — SENSITIVE","C ACTIONABLE","CHAPTER 5 DEFAULT"))</x:f>
        <x:v>HELD — COVERAGE</x:v>
      </x:c>
      <x:c r="Y337" s="13" t="str">
        <x:f>IF(L337&lt;&gt;"COVERED","HELD — COVERAGE",IF(P337="YES — MANAGED ACCESS","D ACTIONABLE","NO D FIELD"))</x:f>
        <x:v>HELD — COVERAGE</x:v>
      </x:c>
      <x:c r="Z337" s="13" t="str">
        <x:f>IF(L337&lt;&gt;"COVERED","HELD — COVERAGE",IF(OR(R337="PAIRED SYNCHRONIZED",R337="TRILATERAL SYNCHRONIZED"),"E ACTIONABLE","INDEPENDENT"))</x:f>
        <x:v>HELD — COVERAGE</x:v>
      </x:c>
      <x:c r="AA337" s="13" t="str">
        <x:f>IF(L337&lt;&gt;"COVERED","HELD — COVERAGE","WAIT FOR UPSTREAM COMPLETION")</x:f>
        <x:v>HELD — COVERAGE</x:v>
      </x:c>
      <x:c r="AB337" s="13" t="str">
        <x:f>IF(L337&lt;&gt;"COVERED","HELD — COVERAGE",IF(T337="UNRESOLVED","G DECISION REQUIRED",IF(T337="NOT APPLICABLE","G N/A","G ACTIONABLE")))</x:f>
        <x:v>HELD — COVERAGE</x:v>
      </x:c>
      <x:c r="AC337" s="13" t="str">
        <x:f>IF(L337="UNRESOLVED","COVERAGE FIRST",IF(OR(L337="EXCLUDED",L337="OUT OF SCOPE"),"CLOSED BY COVERAGE",IF(AND(L337="COVERED",T337&lt;&gt;"UNRESOLVED"),"PARTIALLY ADOPTED","DECISIONS REMAIN")))</x:f>
        <x:v>COVERAGE FIRST</x:v>
      </x:c>
    </x:row>
    <x:row r="338">
      <x:c r="A338" s="13" t="str">
        <x:v>NAAFTC-HS6-040410</x:v>
      </x:c>
      <x:c r="B338" s="13" t="str">
        <x:v>040410</x:v>
      </x:c>
      <x:c r="C338" s="13" t="str">
        <x:v>04</x:v>
      </x:c>
      <x:c r="D338" s="13" t="str">
        <x:v>TRILATERAL_SPLIT_MERGE</x:v>
      </x:c>
      <x:c r="E338" s="13" t="str">
        <x:v>Pending</x:v>
      </x:c>
      <x:c r="F338" s="13" t="n">
        <x:v>9</x:v>
      </x:c>
      <x:c r="G338" s="13" t="n">
        <x:v>2</x:v>
      </x:c>
      <x:c r="H338" s="13" t="n">
        <x:v>1</x:v>
      </x:c>
      <x:c r="I338" s="13" t="str">
        <x:v>0404100500; 0404100800; 0404101100; 0404101500; 0404102000; 0404104800; +3 more</x:v>
      </x:c>
      <x:c r="J338" s="13" t="str">
        <x:v>0404100100; 0404109900</x:v>
      </x:c>
      <x:c r="K338" s="13" t="str">
        <x:v>04041021</x:v>
      </x:c>
      <x:c r="L338" s="13" t="str">
        <x:v>UNRESOLVED</x:v>
      </x:c>
      <x:c r="M338" s="13" t="str"/>
      <x:c r="N338" s="13" t="str">
        <x:v>NO / DEFAULT</x:v>
      </x:c>
      <x:c r="O338" s="13" t="str"/>
      <x:c r="P338" s="13" t="str">
        <x:v>NO / DEFAULT</x:v>
      </x:c>
      <x:c r="Q338" s="13" t="str"/>
      <x:c r="R338" s="13" t="str">
        <x:v>INDEPENDENT / DEFAULT</x:v>
      </x:c>
      <x:c r="S338" s="13" t="str"/>
      <x:c r="T338" s="13" t="str">
        <x:v>UNRESOLVED</x:v>
      </x:c>
      <x:c r="U338" s="13" t="str"/>
      <x:c r="V338" s="13" t="str"/>
      <x:c r="W338" s="13" t="str"/>
      <x:c r="X338" s="13" t="str">
        <x:f>IF(L338&lt;&gt;"COVERED","HELD — COVERAGE",IF(N338="YES — SENSITIVE","C ACTIONABLE","CHAPTER 5 DEFAULT"))</x:f>
        <x:v>HELD — COVERAGE</x:v>
      </x:c>
      <x:c r="Y338" s="13" t="str">
        <x:f>IF(L338&lt;&gt;"COVERED","HELD — COVERAGE",IF(P338="YES — MANAGED ACCESS","D ACTIONABLE","NO D FIELD"))</x:f>
        <x:v>HELD — COVERAGE</x:v>
      </x:c>
      <x:c r="Z338" s="13" t="str">
        <x:f>IF(L338&lt;&gt;"COVERED","HELD — COVERAGE",IF(OR(R338="PAIRED SYNCHRONIZED",R338="TRILATERAL SYNCHRONIZED"),"E ACTIONABLE","INDEPENDENT"))</x:f>
        <x:v>HELD — COVERAGE</x:v>
      </x:c>
      <x:c r="AA338" s="13" t="str">
        <x:f>IF(L338&lt;&gt;"COVERED","HELD — COVERAGE","WAIT FOR UPSTREAM COMPLETION")</x:f>
        <x:v>HELD — COVERAGE</x:v>
      </x:c>
      <x:c r="AB338" s="13" t="str">
        <x:f>IF(L338&lt;&gt;"COVERED","HELD — COVERAGE",IF(T338="UNRESOLVED","G DECISION REQUIRED",IF(T338="NOT APPLICABLE","G N/A","G ACTIONABLE")))</x:f>
        <x:v>HELD — COVERAGE</x:v>
      </x:c>
      <x:c r="AC338" s="13" t="str">
        <x:f>IF(L338="UNRESOLVED","COVERAGE FIRST",IF(OR(L338="EXCLUDED",L338="OUT OF SCOPE"),"CLOSED BY COVERAGE",IF(AND(L338="COVERED",T338&lt;&gt;"UNRESOLVED"),"PARTIALLY ADOPTED","DECISIONS REMAIN")))</x:f>
        <x:v>COVERAGE FIRST</x:v>
      </x:c>
    </x:row>
    <x:row r="339">
      <x:c r="A339" s="13" t="str">
        <x:v>NAAFTC-HS6-040490</x:v>
      </x:c>
      <x:c r="B339" s="13" t="str">
        <x:v>040490</x:v>
      </x:c>
      <x:c r="C339" s="13" t="str">
        <x:v>04</x:v>
      </x:c>
      <x:c r="D339" s="13" t="str">
        <x:v>TRILATERAL_SPLIT_MERGE</x:v>
      </x:c>
      <x:c r="E339" s="13" t="str">
        <x:v>Pending</x:v>
      </x:c>
      <x:c r="F339" s="13" t="n">
        <x:v>5</x:v>
      </x:c>
      <x:c r="G339" s="13" t="n">
        <x:v>1</x:v>
      </x:c>
      <x:c r="H339" s="13" t="n">
        <x:v>2</x:v>
      </x:c>
      <x:c r="I339" s="13" t="str">
        <x:v>0404901000; 0404902800; 0404903000; 0404905000; 0404907000</x:v>
      </x:c>
      <x:c r="J339" s="13" t="str">
        <x:v>0404909900</x:v>
      </x:c>
      <x:c r="K339" s="13" t="str">
        <x:v>04049010; 04049020</x:v>
      </x:c>
      <x:c r="L339" s="13" t="str">
        <x:v>UNRESOLVED</x:v>
      </x:c>
      <x:c r="M339" s="13" t="str"/>
      <x:c r="N339" s="13" t="str">
        <x:v>NO / DEFAULT</x:v>
      </x:c>
      <x:c r="O339" s="13" t="str"/>
      <x:c r="P339" s="13" t="str">
        <x:v>NO / DEFAULT</x:v>
      </x:c>
      <x:c r="Q339" s="13" t="str"/>
      <x:c r="R339" s="13" t="str">
        <x:v>INDEPENDENT / DEFAULT</x:v>
      </x:c>
      <x:c r="S339" s="13" t="str"/>
      <x:c r="T339" s="13" t="str">
        <x:v>UNRESOLVED</x:v>
      </x:c>
      <x:c r="U339" s="13" t="str"/>
      <x:c r="V339" s="13" t="str"/>
      <x:c r="W339" s="13" t="str"/>
      <x:c r="X339" s="13" t="str">
        <x:f>IF(L339&lt;&gt;"COVERED","HELD — COVERAGE",IF(N339="YES — SENSITIVE","C ACTIONABLE","CHAPTER 5 DEFAULT"))</x:f>
        <x:v>HELD — COVERAGE</x:v>
      </x:c>
      <x:c r="Y339" s="13" t="str">
        <x:f>IF(L339&lt;&gt;"COVERED","HELD — COVERAGE",IF(P339="YES — MANAGED ACCESS","D ACTIONABLE","NO D FIELD"))</x:f>
        <x:v>HELD — COVERAGE</x:v>
      </x:c>
      <x:c r="Z339" s="13" t="str">
        <x:f>IF(L339&lt;&gt;"COVERED","HELD — COVERAGE",IF(OR(R339="PAIRED SYNCHRONIZED",R339="TRILATERAL SYNCHRONIZED"),"E ACTIONABLE","INDEPENDENT"))</x:f>
        <x:v>HELD — COVERAGE</x:v>
      </x:c>
      <x:c r="AA339" s="13" t="str">
        <x:f>IF(L339&lt;&gt;"COVERED","HELD — COVERAGE","WAIT FOR UPSTREAM COMPLETION")</x:f>
        <x:v>HELD — COVERAGE</x:v>
      </x:c>
      <x:c r="AB339" s="13" t="str">
        <x:f>IF(L339&lt;&gt;"COVERED","HELD — COVERAGE",IF(T339="UNRESOLVED","G DECISION REQUIRED",IF(T339="NOT APPLICABLE","G N/A","G ACTIONABLE")))</x:f>
        <x:v>HELD — COVERAGE</x:v>
      </x:c>
      <x:c r="AC339" s="13" t="str">
        <x:f>IF(L339="UNRESOLVED","COVERAGE FIRST",IF(OR(L339="EXCLUDED",L339="OUT OF SCOPE"),"CLOSED BY COVERAGE",IF(AND(L339="COVERED",T339&lt;&gt;"UNRESOLVED"),"PARTIALLY ADOPTED","DECISIONS REMAIN")))</x:f>
        <x:v>COVERAGE FIRST</x:v>
      </x:c>
    </x:row>
    <x:row r="340">
      <x:c r="A340" s="13" t="str">
        <x:v>NAAFTC-HS6-040510</x:v>
      </x:c>
      <x:c r="B340" s="13" t="str">
        <x:v>040510</x:v>
      </x:c>
      <x:c r="C340" s="13" t="str">
        <x:v>04</x:v>
      </x:c>
      <x:c r="D340" s="13" t="str">
        <x:v>TRILATERAL_SPLIT_MERGE</x:v>
      </x:c>
      <x:c r="E340" s="13" t="str">
        <x:v>Pending</x:v>
      </x:c>
      <x:c r="F340" s="13" t="n">
        <x:v>3</x:v>
      </x:c>
      <x:c r="G340" s="13" t="n">
        <x:v>2</x:v>
      </x:c>
      <x:c r="H340" s="13" t="n">
        <x:v>2</x:v>
      </x:c>
      <x:c r="I340" s="13" t="str">
        <x:v>0405100500; 0405101000; 0405102000</x:v>
      </x:c>
      <x:c r="J340" s="13" t="str">
        <x:v>0405100201; 0405100299</x:v>
      </x:c>
      <x:c r="K340" s="13" t="str">
        <x:v>0405101000; 0405102000</x:v>
      </x:c>
      <x:c r="L340" s="13" t="str">
        <x:v>UNRESOLVED</x:v>
      </x:c>
      <x:c r="M340" s="13" t="str"/>
      <x:c r="N340" s="13" t="str">
        <x:v>NO / DEFAULT</x:v>
      </x:c>
      <x:c r="O340" s="13" t="str"/>
      <x:c r="P340" s="13" t="str">
        <x:v>NO / DEFAULT</x:v>
      </x:c>
      <x:c r="Q340" s="13" t="str"/>
      <x:c r="R340" s="13" t="str">
        <x:v>INDEPENDENT / DEFAULT</x:v>
      </x:c>
      <x:c r="S340" s="13" t="str"/>
      <x:c r="T340" s="13" t="str">
        <x:v>UNRESOLVED</x:v>
      </x:c>
      <x:c r="U340" s="13" t="str"/>
      <x:c r="V340" s="13" t="str"/>
      <x:c r="W340" s="13" t="str"/>
      <x:c r="X340" s="13" t="str">
        <x:f>IF(L340&lt;&gt;"COVERED","HELD — COVERAGE",IF(N340="YES — SENSITIVE","C ACTIONABLE","CHAPTER 5 DEFAULT"))</x:f>
        <x:v>HELD — COVERAGE</x:v>
      </x:c>
      <x:c r="Y340" s="13" t="str">
        <x:f>IF(L340&lt;&gt;"COVERED","HELD — COVERAGE",IF(P340="YES — MANAGED ACCESS","D ACTIONABLE","NO D FIELD"))</x:f>
        <x:v>HELD — COVERAGE</x:v>
      </x:c>
      <x:c r="Z340" s="13" t="str">
        <x:f>IF(L340&lt;&gt;"COVERED","HELD — COVERAGE",IF(OR(R340="PAIRED SYNCHRONIZED",R340="TRILATERAL SYNCHRONIZED"),"E ACTIONABLE","INDEPENDENT"))</x:f>
        <x:v>HELD — COVERAGE</x:v>
      </x:c>
      <x:c r="AA340" s="13" t="str">
        <x:f>IF(L340&lt;&gt;"COVERED","HELD — COVERAGE","WAIT FOR UPSTREAM COMPLETION")</x:f>
        <x:v>HELD — COVERAGE</x:v>
      </x:c>
      <x:c r="AB340" s="13" t="str">
        <x:f>IF(L340&lt;&gt;"COVERED","HELD — COVERAGE",IF(T340="UNRESOLVED","G DECISION REQUIRED",IF(T340="NOT APPLICABLE","G N/A","G ACTIONABLE")))</x:f>
        <x:v>HELD — COVERAGE</x:v>
      </x:c>
      <x:c r="AC340" s="13" t="str">
        <x:f>IF(L340="UNRESOLVED","COVERAGE FIRST",IF(OR(L340="EXCLUDED",L340="OUT OF SCOPE"),"CLOSED BY COVERAGE",IF(AND(L340="COVERED",T340&lt;&gt;"UNRESOLVED"),"PARTIALLY ADOPTED","DECISIONS REMAIN")))</x:f>
        <x:v>COVERAGE FIRST</x:v>
      </x:c>
    </x:row>
    <x:row r="341">
      <x:c r="A341" s="13" t="str">
        <x:v>NAAFTC-HS6-040520</x:v>
      </x:c>
      <x:c r="B341" s="13" t="str">
        <x:v>040520</x:v>
      </x:c>
      <x:c r="C341" s="13" t="str">
        <x:v>04</x:v>
      </x:c>
      <x:c r="D341" s="13" t="str">
        <x:v>TRILATERAL_SPLIT_MERGE</x:v>
      </x:c>
      <x:c r="E341" s="13" t="str">
        <x:v>Pending</x:v>
      </x:c>
      <x:c r="F341" s="13" t="n">
        <x:v>8</x:v>
      </x:c>
      <x:c r="G341" s="13" t="n">
        <x:v>1</x:v>
      </x:c>
      <x:c r="H341" s="13" t="n">
        <x:v>2</x:v>
      </x:c>
      <x:c r="I341" s="13" t="str">
        <x:v>0405201000; 0405202000; 0405203000; 0405204000; 0405205000; 0405206000; +2 more</x:v>
      </x:c>
      <x:c r="J341" s="13" t="str">
        <x:v>0405200100</x:v>
      </x:c>
      <x:c r="K341" s="13" t="str">
        <x:v>0405201000; 0405202000</x:v>
      </x:c>
      <x:c r="L341" s="13" t="str">
        <x:v>UNRESOLVED</x:v>
      </x:c>
      <x:c r="M341" s="13" t="str"/>
      <x:c r="N341" s="13" t="str">
        <x:v>NO / DEFAULT</x:v>
      </x:c>
      <x:c r="O341" s="13" t="str"/>
      <x:c r="P341" s="13" t="str">
        <x:v>NO / DEFAULT</x:v>
      </x:c>
      <x:c r="Q341" s="13" t="str"/>
      <x:c r="R341" s="13" t="str">
        <x:v>INDEPENDENT / DEFAULT</x:v>
      </x:c>
      <x:c r="S341" s="13" t="str"/>
      <x:c r="T341" s="13" t="str">
        <x:v>UNRESOLVED</x:v>
      </x:c>
      <x:c r="U341" s="13" t="str"/>
      <x:c r="V341" s="13" t="str"/>
      <x:c r="W341" s="13" t="str"/>
      <x:c r="X341" s="13" t="str">
        <x:f>IF(L341&lt;&gt;"COVERED","HELD — COVERAGE",IF(N341="YES — SENSITIVE","C ACTIONABLE","CHAPTER 5 DEFAULT"))</x:f>
        <x:v>HELD — COVERAGE</x:v>
      </x:c>
      <x:c r="Y341" s="13" t="str">
        <x:f>IF(L341&lt;&gt;"COVERED","HELD — COVERAGE",IF(P341="YES — MANAGED ACCESS","D ACTIONABLE","NO D FIELD"))</x:f>
        <x:v>HELD — COVERAGE</x:v>
      </x:c>
      <x:c r="Z341" s="13" t="str">
        <x:f>IF(L341&lt;&gt;"COVERED","HELD — COVERAGE",IF(OR(R341="PAIRED SYNCHRONIZED",R341="TRILATERAL SYNCHRONIZED"),"E ACTIONABLE","INDEPENDENT"))</x:f>
        <x:v>HELD — COVERAGE</x:v>
      </x:c>
      <x:c r="AA341" s="13" t="str">
        <x:f>IF(L341&lt;&gt;"COVERED","HELD — COVERAGE","WAIT FOR UPSTREAM COMPLETION")</x:f>
        <x:v>HELD — COVERAGE</x:v>
      </x:c>
      <x:c r="AB341" s="13" t="str">
        <x:f>IF(L341&lt;&gt;"COVERED","HELD — COVERAGE",IF(T341="UNRESOLVED","G DECISION REQUIRED",IF(T341="NOT APPLICABLE","G N/A","G ACTIONABLE")))</x:f>
        <x:v>HELD — COVERAGE</x:v>
      </x:c>
      <x:c r="AC341" s="13" t="str">
        <x:f>IF(L341="UNRESOLVED","COVERAGE FIRST",IF(OR(L341="EXCLUDED",L341="OUT OF SCOPE"),"CLOSED BY COVERAGE",IF(AND(L341="COVERED",T341&lt;&gt;"UNRESOLVED"),"PARTIALLY ADOPTED","DECISIONS REMAIN")))</x:f>
        <x:v>COVERAGE FIRST</x:v>
      </x:c>
    </x:row>
    <x:row r="342">
      <x:c r="A342" s="13" t="str">
        <x:v>NAAFTC-HS6-040590</x:v>
      </x:c>
      <x:c r="B342" s="13" t="str">
        <x:v>040590</x:v>
      </x:c>
      <x:c r="C342" s="13" t="str">
        <x:v>04</x:v>
      </x:c>
      <x:c r="D342" s="13" t="str">
        <x:v>TRILATERAL_SPLIT_MERGE</x:v>
      </x:c>
      <x:c r="E342" s="13" t="str">
        <x:v>Pending</x:v>
      </x:c>
      <x:c r="F342" s="13" t="n">
        <x:v>6</x:v>
      </x:c>
      <x:c r="G342" s="13" t="n">
        <x:v>2</x:v>
      </x:c>
      <x:c r="H342" s="13" t="n">
        <x:v>2</x:v>
      </x:c>
      <x:c r="I342" s="13" t="str">
        <x:v>0405900520; 0405900540; 0405901020; 0405901040; 0405902020; 0405902040</x:v>
      </x:c>
      <x:c r="J342" s="13" t="str">
        <x:v>0405900100; 0405909900</x:v>
      </x:c>
      <x:c r="K342" s="13" t="str">
        <x:v>0405901000; 0405902000</x:v>
      </x:c>
      <x:c r="L342" s="13" t="str">
        <x:v>UNRESOLVED</x:v>
      </x:c>
      <x:c r="M342" s="13" t="str"/>
      <x:c r="N342" s="13" t="str">
        <x:v>NO / DEFAULT</x:v>
      </x:c>
      <x:c r="O342" s="13" t="str"/>
      <x:c r="P342" s="13" t="str">
        <x:v>NO / DEFAULT</x:v>
      </x:c>
      <x:c r="Q342" s="13" t="str"/>
      <x:c r="R342" s="13" t="str">
        <x:v>INDEPENDENT / DEFAULT</x:v>
      </x:c>
      <x:c r="S342" s="13" t="str"/>
      <x:c r="T342" s="13" t="str">
        <x:v>UNRESOLVED</x:v>
      </x:c>
      <x:c r="U342" s="13" t="str"/>
      <x:c r="V342" s="13" t="str"/>
      <x:c r="W342" s="13" t="str"/>
      <x:c r="X342" s="13" t="str">
        <x:f>IF(L342&lt;&gt;"COVERED","HELD — COVERAGE",IF(N342="YES — SENSITIVE","C ACTIONABLE","CHAPTER 5 DEFAULT"))</x:f>
        <x:v>HELD — COVERAGE</x:v>
      </x:c>
      <x:c r="Y342" s="13" t="str">
        <x:f>IF(L342&lt;&gt;"COVERED","HELD — COVERAGE",IF(P342="YES — MANAGED ACCESS","D ACTIONABLE","NO D FIELD"))</x:f>
        <x:v>HELD — COVERAGE</x:v>
      </x:c>
      <x:c r="Z342" s="13" t="str">
        <x:f>IF(L342&lt;&gt;"COVERED","HELD — COVERAGE",IF(OR(R342="PAIRED SYNCHRONIZED",R342="TRILATERAL SYNCHRONIZED"),"E ACTIONABLE","INDEPENDENT"))</x:f>
        <x:v>HELD — COVERAGE</x:v>
      </x:c>
      <x:c r="AA342" s="13" t="str">
        <x:f>IF(L342&lt;&gt;"COVERED","HELD — COVERAGE","WAIT FOR UPSTREAM COMPLETION")</x:f>
        <x:v>HELD — COVERAGE</x:v>
      </x:c>
      <x:c r="AB342" s="13" t="str">
        <x:f>IF(L342&lt;&gt;"COVERED","HELD — COVERAGE",IF(T342="UNRESOLVED","G DECISION REQUIRED",IF(T342="NOT APPLICABLE","G N/A","G ACTIONABLE")))</x:f>
        <x:v>HELD — COVERAGE</x:v>
      </x:c>
      <x:c r="AC342" s="13" t="str">
        <x:f>IF(L342="UNRESOLVED","COVERAGE FIRST",IF(OR(L342="EXCLUDED",L342="OUT OF SCOPE"),"CLOSED BY COVERAGE",IF(AND(L342="COVERED",T342&lt;&gt;"UNRESOLVED"),"PARTIALLY ADOPTED","DECISIONS REMAIN")))</x:f>
        <x:v>COVERAGE FIRST</x:v>
      </x:c>
    </x:row>
    <x:row r="343">
      <x:c r="A343" s="13" t="str">
        <x:v>NAAFTC-HS6-040610</x:v>
      </x:c>
      <x:c r="B343" s="13" t="str">
        <x:v>040610</x:v>
      </x:c>
      <x:c r="C343" s="13" t="str">
        <x:v>04</x:v>
      </x:c>
      <x:c r="D343" s="13" t="str">
        <x:v>TRILATERAL_SPLIT_MERGE</x:v>
      </x:c>
      <x:c r="E343" s="13" t="str">
        <x:v>Pending</x:v>
      </x:c>
      <x:c r="F343" s="13" t="n">
        <x:v>21</x:v>
      </x:c>
      <x:c r="G343" s="13" t="n">
        <x:v>1</x:v>
      </x:c>
      <x:c r="H343" s="13" t="n">
        <x:v>1</x:v>
      </x:c>
      <x:c r="I343" s="13" t="str">
        <x:v>0406100200; 0406100400; 0406100800; 0406101200; 0406101400; 0406101800; +15 more</x:v>
      </x:c>
      <x:c r="J343" s="13" t="str">
        <x:v>0406100100</x:v>
      </x:c>
      <x:c r="K343" s="13" t="str">
        <x:v>04061010</x:v>
      </x:c>
      <x:c r="L343" s="13" t="str">
        <x:v>UNRESOLVED</x:v>
      </x:c>
      <x:c r="M343" s="13" t="str"/>
      <x:c r="N343" s="13" t="str">
        <x:v>NO / DEFAULT</x:v>
      </x:c>
      <x:c r="O343" s="13" t="str"/>
      <x:c r="P343" s="13" t="str">
        <x:v>NO / DEFAULT</x:v>
      </x:c>
      <x:c r="Q343" s="13" t="str"/>
      <x:c r="R343" s="13" t="str">
        <x:v>INDEPENDENT / DEFAULT</x:v>
      </x:c>
      <x:c r="S343" s="13" t="str"/>
      <x:c r="T343" s="13" t="str">
        <x:v>UNRESOLVED</x:v>
      </x:c>
      <x:c r="U343" s="13" t="str"/>
      <x:c r="V343" s="13" t="str"/>
      <x:c r="W343" s="13" t="str"/>
      <x:c r="X343" s="13" t="str">
        <x:f>IF(L343&lt;&gt;"COVERED","HELD — COVERAGE",IF(N343="YES — SENSITIVE","C ACTIONABLE","CHAPTER 5 DEFAULT"))</x:f>
        <x:v>HELD — COVERAGE</x:v>
      </x:c>
      <x:c r="Y343" s="13" t="str">
        <x:f>IF(L343&lt;&gt;"COVERED","HELD — COVERAGE",IF(P343="YES — MANAGED ACCESS","D ACTIONABLE","NO D FIELD"))</x:f>
        <x:v>HELD — COVERAGE</x:v>
      </x:c>
      <x:c r="Z343" s="13" t="str">
        <x:f>IF(L343&lt;&gt;"COVERED","HELD — COVERAGE",IF(OR(R343="PAIRED SYNCHRONIZED",R343="TRILATERAL SYNCHRONIZED"),"E ACTIONABLE","INDEPENDENT"))</x:f>
        <x:v>HELD — COVERAGE</x:v>
      </x:c>
      <x:c r="AA343" s="13" t="str">
        <x:f>IF(L343&lt;&gt;"COVERED","HELD — COVERAGE","WAIT FOR UPSTREAM COMPLETION")</x:f>
        <x:v>HELD — COVERAGE</x:v>
      </x:c>
      <x:c r="AB343" s="13" t="str">
        <x:f>IF(L343&lt;&gt;"COVERED","HELD — COVERAGE",IF(T343="UNRESOLVED","G DECISION REQUIRED",IF(T343="NOT APPLICABLE","G N/A","G ACTIONABLE")))</x:f>
        <x:v>HELD — COVERAGE</x:v>
      </x:c>
      <x:c r="AC343" s="13" t="str">
        <x:f>IF(L343="UNRESOLVED","COVERAGE FIRST",IF(OR(L343="EXCLUDED",L343="OUT OF SCOPE"),"CLOSED BY COVERAGE",IF(AND(L343="COVERED",T343&lt;&gt;"UNRESOLVED"),"PARTIALLY ADOPTED","DECISIONS REMAIN")))</x:f>
        <x:v>COVERAGE FIRST</x:v>
      </x:c>
    </x:row>
    <x:row r="344">
      <x:c r="A344" s="13" t="str">
        <x:v>NAAFTC-HS6-040620</x:v>
      </x:c>
      <x:c r="B344" s="13" t="str">
        <x:v>040620</x:v>
      </x:c>
      <x:c r="C344" s="13" t="str">
        <x:v>04</x:v>
      </x:c>
      <x:c r="D344" s="13" t="str">
        <x:v>TRILATERAL_SPLIT_MERGE</x:v>
      </x:c>
      <x:c r="E344" s="13" t="str">
        <x:v>Pending</x:v>
      </x:c>
      <x:c r="F344" s="13" t="n">
        <x:v>39</x:v>
      </x:c>
      <x:c r="G344" s="13" t="n">
        <x:v>1</x:v>
      </x:c>
      <x:c r="H344" s="13" t="n">
        <x:v>4</x:v>
      </x:c>
      <x:c r="I344" s="13" t="str">
        <x:v>0406201000; 0406201500; 0406202200; 0406202400; 0406202800; 0406202900; +33 more</x:v>
      </x:c>
      <x:c r="J344" s="13" t="str">
        <x:v>0406200100</x:v>
      </x:c>
      <x:c r="K344" s="13" t="str">
        <x:v>04062011; 0406201200; 04062091; 0406209200</x:v>
      </x:c>
      <x:c r="L344" s="13" t="str">
        <x:v>UNRESOLVED</x:v>
      </x:c>
      <x:c r="M344" s="13" t="str"/>
      <x:c r="N344" s="13" t="str">
        <x:v>NO / DEFAULT</x:v>
      </x:c>
      <x:c r="O344" s="13" t="str"/>
      <x:c r="P344" s="13" t="str">
        <x:v>NO / DEFAULT</x:v>
      </x:c>
      <x:c r="Q344" s="13" t="str"/>
      <x:c r="R344" s="13" t="str">
        <x:v>INDEPENDENT / DEFAULT</x:v>
      </x:c>
      <x:c r="S344" s="13" t="str"/>
      <x:c r="T344" s="13" t="str">
        <x:v>UNRESOLVED</x:v>
      </x:c>
      <x:c r="U344" s="13" t="str"/>
      <x:c r="V344" s="13" t="str"/>
      <x:c r="W344" s="13" t="str"/>
      <x:c r="X344" s="13" t="str">
        <x:f>IF(L344&lt;&gt;"COVERED","HELD — COVERAGE",IF(N344="YES — SENSITIVE","C ACTIONABLE","CHAPTER 5 DEFAULT"))</x:f>
        <x:v>HELD — COVERAGE</x:v>
      </x:c>
      <x:c r="Y344" s="13" t="str">
        <x:f>IF(L344&lt;&gt;"COVERED","HELD — COVERAGE",IF(P344="YES — MANAGED ACCESS","D ACTIONABLE","NO D FIELD"))</x:f>
        <x:v>HELD — COVERAGE</x:v>
      </x:c>
      <x:c r="Z344" s="13" t="str">
        <x:f>IF(L344&lt;&gt;"COVERED","HELD — COVERAGE",IF(OR(R344="PAIRED SYNCHRONIZED",R344="TRILATERAL SYNCHRONIZED"),"E ACTIONABLE","INDEPENDENT"))</x:f>
        <x:v>HELD — COVERAGE</x:v>
      </x:c>
      <x:c r="AA344" s="13" t="str">
        <x:f>IF(L344&lt;&gt;"COVERED","HELD — COVERAGE","WAIT FOR UPSTREAM COMPLETION")</x:f>
        <x:v>HELD — COVERAGE</x:v>
      </x:c>
      <x:c r="AB344" s="13" t="str">
        <x:f>IF(L344&lt;&gt;"COVERED","HELD — COVERAGE",IF(T344="UNRESOLVED","G DECISION REQUIRED",IF(T344="NOT APPLICABLE","G N/A","G ACTIONABLE")))</x:f>
        <x:v>HELD — COVERAGE</x:v>
      </x:c>
      <x:c r="AC344" s="13" t="str">
        <x:f>IF(L344="UNRESOLVED","COVERAGE FIRST",IF(OR(L344="EXCLUDED",L344="OUT OF SCOPE"),"CLOSED BY COVERAGE",IF(AND(L344="COVERED",T344&lt;&gt;"UNRESOLVED"),"PARTIALLY ADOPTED","DECISIONS REMAIN")))</x:f>
        <x:v>COVERAGE FIRST</x:v>
      </x:c>
    </x:row>
    <x:row r="345">
      <x:c r="A345" s="13" t="str">
        <x:v>NAAFTC-HS6-040630</x:v>
      </x:c>
      <x:c r="B345" s="13" t="str">
        <x:v>040630</x:v>
      </x:c>
      <x:c r="C345" s="13" t="str">
        <x:v>04</x:v>
      </x:c>
      <x:c r="D345" s="13" t="str">
        <x:v>TRILATERAL_SPLIT_MERGE</x:v>
      </x:c>
      <x:c r="E345" s="13" t="str">
        <x:v>Pending</x:v>
      </x:c>
      <x:c r="F345" s="13" t="n">
        <x:v>36</x:v>
      </x:c>
      <x:c r="G345" s="13" t="n">
        <x:v>1</x:v>
      </x:c>
      <x:c r="H345" s="13" t="n">
        <x:v>2</x:v>
      </x:c>
      <x:c r="I345" s="13" t="str">
        <x:v>0406300500; 0406301200; 0406301400; 0406301800; 0406302200; 0406302400; +30 more</x:v>
      </x:c>
      <x:c r="J345" s="13" t="str">
        <x:v>0406300200</x:v>
      </x:c>
      <x:c r="K345" s="13" t="str">
        <x:v>04063010; 0406302000</x:v>
      </x:c>
      <x:c r="L345" s="13" t="str">
        <x:v>UNRESOLVED</x:v>
      </x:c>
      <x:c r="M345" s="13" t="str"/>
      <x:c r="N345" s="13" t="str">
        <x:v>NO / DEFAULT</x:v>
      </x:c>
      <x:c r="O345" s="13" t="str"/>
      <x:c r="P345" s="13" t="str">
        <x:v>NO / DEFAULT</x:v>
      </x:c>
      <x:c r="Q345" s="13" t="str"/>
      <x:c r="R345" s="13" t="str">
        <x:v>INDEPENDENT / DEFAULT</x:v>
      </x:c>
      <x:c r="S345" s="13" t="str"/>
      <x:c r="T345" s="13" t="str">
        <x:v>UNRESOLVED</x:v>
      </x:c>
      <x:c r="U345" s="13" t="str"/>
      <x:c r="V345" s="13" t="str"/>
      <x:c r="W345" s="13" t="str"/>
      <x:c r="X345" s="13" t="str">
        <x:f>IF(L345&lt;&gt;"COVERED","HELD — COVERAGE",IF(N345="YES — SENSITIVE","C ACTIONABLE","CHAPTER 5 DEFAULT"))</x:f>
        <x:v>HELD — COVERAGE</x:v>
      </x:c>
      <x:c r="Y345" s="13" t="str">
        <x:f>IF(L345&lt;&gt;"COVERED","HELD — COVERAGE",IF(P345="YES — MANAGED ACCESS","D ACTIONABLE","NO D FIELD"))</x:f>
        <x:v>HELD — COVERAGE</x:v>
      </x:c>
      <x:c r="Z345" s="13" t="str">
        <x:f>IF(L345&lt;&gt;"COVERED","HELD — COVERAGE",IF(OR(R345="PAIRED SYNCHRONIZED",R345="TRILATERAL SYNCHRONIZED"),"E ACTIONABLE","INDEPENDENT"))</x:f>
        <x:v>HELD — COVERAGE</x:v>
      </x:c>
      <x:c r="AA345" s="13" t="str">
        <x:f>IF(L345&lt;&gt;"COVERED","HELD — COVERAGE","WAIT FOR UPSTREAM COMPLETION")</x:f>
        <x:v>HELD — COVERAGE</x:v>
      </x:c>
      <x:c r="AB345" s="13" t="str">
        <x:f>IF(L345&lt;&gt;"COVERED","HELD — COVERAGE",IF(T345="UNRESOLVED","G DECISION REQUIRED",IF(T345="NOT APPLICABLE","G N/A","G ACTIONABLE")))</x:f>
        <x:v>HELD — COVERAGE</x:v>
      </x:c>
      <x:c r="AC345" s="13" t="str">
        <x:f>IF(L345="UNRESOLVED","COVERAGE FIRST",IF(OR(L345="EXCLUDED",L345="OUT OF SCOPE"),"CLOSED BY COVERAGE",IF(AND(L345="COVERED",T345&lt;&gt;"UNRESOLVED"),"PARTIALLY ADOPTED","DECISIONS REMAIN")))</x:f>
        <x:v>COVERAGE FIRST</x:v>
      </x:c>
    </x:row>
    <x:row r="346">
      <x:c r="A346" s="13" t="str">
        <x:v>NAAFTC-HS6-040640</x:v>
      </x:c>
      <x:c r="B346" s="13" t="str">
        <x:v>040640</x:v>
      </x:c>
      <x:c r="C346" s="13" t="str">
        <x:v>04</x:v>
      </x:c>
      <x:c r="D346" s="13" t="str">
        <x:v>TRILATERAL_SPLIT_MERGE</x:v>
      </x:c>
      <x:c r="E346" s="13" t="str">
        <x:v>Pending</x:v>
      </x:c>
      <x:c r="F346" s="13" t="n">
        <x:v>9</x:v>
      </x:c>
      <x:c r="G346" s="13" t="n">
        <x:v>1</x:v>
      </x:c>
      <x:c r="H346" s="13" t="n">
        <x:v>2</x:v>
      </x:c>
      <x:c r="I346" s="13" t="str">
        <x:v>0406402000; 0406404000; 0406404400; 0406404800; 0406405100; 0406405200; +3 more</x:v>
      </x:c>
      <x:c r="J346" s="13" t="str">
        <x:v>0406400100</x:v>
      </x:c>
      <x:c r="K346" s="13" t="str">
        <x:v>0406401000; 0406402000</x:v>
      </x:c>
      <x:c r="L346" s="13" t="str">
        <x:v>UNRESOLVED</x:v>
      </x:c>
      <x:c r="M346" s="13" t="str"/>
      <x:c r="N346" s="13" t="str">
        <x:v>NO / DEFAULT</x:v>
      </x:c>
      <x:c r="O346" s="13" t="str"/>
      <x:c r="P346" s="13" t="str">
        <x:v>NO / DEFAULT</x:v>
      </x:c>
      <x:c r="Q346" s="13" t="str"/>
      <x:c r="R346" s="13" t="str">
        <x:v>INDEPENDENT / DEFAULT</x:v>
      </x:c>
      <x:c r="S346" s="13" t="str"/>
      <x:c r="T346" s="13" t="str">
        <x:v>UNRESOLVED</x:v>
      </x:c>
      <x:c r="U346" s="13" t="str"/>
      <x:c r="V346" s="13" t="str"/>
      <x:c r="W346" s="13" t="str"/>
      <x:c r="X346" s="13" t="str">
        <x:f>IF(L346&lt;&gt;"COVERED","HELD — COVERAGE",IF(N346="YES — SENSITIVE","C ACTIONABLE","CHAPTER 5 DEFAULT"))</x:f>
        <x:v>HELD — COVERAGE</x:v>
      </x:c>
      <x:c r="Y346" s="13" t="str">
        <x:f>IF(L346&lt;&gt;"COVERED","HELD — COVERAGE",IF(P346="YES — MANAGED ACCESS","D ACTIONABLE","NO D FIELD"))</x:f>
        <x:v>HELD — COVERAGE</x:v>
      </x:c>
      <x:c r="Z346" s="13" t="str">
        <x:f>IF(L346&lt;&gt;"COVERED","HELD — COVERAGE",IF(OR(R346="PAIRED SYNCHRONIZED",R346="TRILATERAL SYNCHRONIZED"),"E ACTIONABLE","INDEPENDENT"))</x:f>
        <x:v>HELD — COVERAGE</x:v>
      </x:c>
      <x:c r="AA346" s="13" t="str">
        <x:f>IF(L346&lt;&gt;"COVERED","HELD — COVERAGE","WAIT FOR UPSTREAM COMPLETION")</x:f>
        <x:v>HELD — COVERAGE</x:v>
      </x:c>
      <x:c r="AB346" s="13" t="str">
        <x:f>IF(L346&lt;&gt;"COVERED","HELD — COVERAGE",IF(T346="UNRESOLVED","G DECISION REQUIRED",IF(T346="NOT APPLICABLE","G N/A","G ACTIONABLE")))</x:f>
        <x:v>HELD — COVERAGE</x:v>
      </x:c>
      <x:c r="AC346" s="13" t="str">
        <x:f>IF(L346="UNRESOLVED","COVERAGE FIRST",IF(OR(L346="EXCLUDED",L346="OUT OF SCOPE"),"CLOSED BY COVERAGE",IF(AND(L346="COVERED",T346&lt;&gt;"UNRESOLVED"),"PARTIALLY ADOPTED","DECISIONS REMAIN")))</x:f>
        <x:v>COVERAGE FIRST</x:v>
      </x:c>
    </x:row>
    <x:row r="347">
      <x:c r="A347" s="13" t="str">
        <x:v>NAAFTC-HS6-040690</x:v>
      </x:c>
      <x:c r="B347" s="13" t="str">
        <x:v>040690</x:v>
      </x:c>
      <x:c r="C347" s="13" t="str">
        <x:v>04</x:v>
      </x:c>
      <x:c r="D347" s="13" t="str">
        <x:v>TRILATERAL_SPLIT_MERGE</x:v>
      </x:c>
      <x:c r="E347" s="13" t="str">
        <x:v>Pending</x:v>
      </x:c>
      <x:c r="F347" s="13" t="n">
        <x:v>51</x:v>
      </x:c>
      <x:c r="G347" s="13" t="n">
        <x:v>5</x:v>
      </x:c>
      <x:c r="H347" s="13" t="n">
        <x:v>15</x:v>
      </x:c>
      <x:c r="I347" s="13" t="str">
        <x:v>0406900500; 0406900600; 0406900810; 0406900890; 0406901200; 0406901400; +45 more</x:v>
      </x:c>
      <x:c r="J347" s="13" t="str">
        <x:v>0406900100; 0406900200; 0406900400; 0406909901; 0406909999</x:v>
      </x:c>
      <x:c r="K347" s="13" t="str">
        <x:v>04069011; 0406901200; 04069021; 0406902200; 04069031; 0406903200; +9 more</x:v>
      </x:c>
      <x:c r="L347" s="13" t="str">
        <x:v>UNRESOLVED</x:v>
      </x:c>
      <x:c r="M347" s="13" t="str"/>
      <x:c r="N347" s="13" t="str">
        <x:v>NO / DEFAULT</x:v>
      </x:c>
      <x:c r="O347" s="13" t="str"/>
      <x:c r="P347" s="13" t="str">
        <x:v>NO / DEFAULT</x:v>
      </x:c>
      <x:c r="Q347" s="13" t="str"/>
      <x:c r="R347" s="13" t="str">
        <x:v>INDEPENDENT / DEFAULT</x:v>
      </x:c>
      <x:c r="S347" s="13" t="str"/>
      <x:c r="T347" s="13" t="str">
        <x:v>UNRESOLVED</x:v>
      </x:c>
      <x:c r="U347" s="13" t="str"/>
      <x:c r="V347" s="13" t="str"/>
      <x:c r="W347" s="13" t="str"/>
      <x:c r="X347" s="13" t="str">
        <x:f>IF(L347&lt;&gt;"COVERED","HELD — COVERAGE",IF(N347="YES — SENSITIVE","C ACTIONABLE","CHAPTER 5 DEFAULT"))</x:f>
        <x:v>HELD — COVERAGE</x:v>
      </x:c>
      <x:c r="Y347" s="13" t="str">
        <x:f>IF(L347&lt;&gt;"COVERED","HELD — COVERAGE",IF(P347="YES — MANAGED ACCESS","D ACTIONABLE","NO D FIELD"))</x:f>
        <x:v>HELD — COVERAGE</x:v>
      </x:c>
      <x:c r="Z347" s="13" t="str">
        <x:f>IF(L347&lt;&gt;"COVERED","HELD — COVERAGE",IF(OR(R347="PAIRED SYNCHRONIZED",R347="TRILATERAL SYNCHRONIZED"),"E ACTIONABLE","INDEPENDENT"))</x:f>
        <x:v>HELD — COVERAGE</x:v>
      </x:c>
      <x:c r="AA347" s="13" t="str">
        <x:f>IF(L347&lt;&gt;"COVERED","HELD — COVERAGE","WAIT FOR UPSTREAM COMPLETION")</x:f>
        <x:v>HELD — COVERAGE</x:v>
      </x:c>
      <x:c r="AB347" s="13" t="str">
        <x:f>IF(L347&lt;&gt;"COVERED","HELD — COVERAGE",IF(T347="UNRESOLVED","G DECISION REQUIRED",IF(T347="NOT APPLICABLE","G N/A","G ACTIONABLE")))</x:f>
        <x:v>HELD — COVERAGE</x:v>
      </x:c>
      <x:c r="AC347" s="13" t="str">
        <x:f>IF(L347="UNRESOLVED","COVERAGE FIRST",IF(OR(L347="EXCLUDED",L347="OUT OF SCOPE"),"CLOSED BY COVERAGE",IF(AND(L347="COVERED",T347&lt;&gt;"UNRESOLVED"),"PARTIALLY ADOPTED","DECISIONS REMAIN")))</x:f>
        <x:v>COVERAGE FIRST</x:v>
      </x:c>
    </x:row>
    <x:row r="348">
      <x:c r="A348" s="13" t="str">
        <x:v>NAAFTC-HS6-040711</x:v>
      </x:c>
      <x:c r="B348" s="13" t="str">
        <x:v>040711</x:v>
      </x:c>
      <x:c r="C348" s="13" t="str">
        <x:v>04</x:v>
      </x:c>
      <x:c r="D348" s="13" t="str">
        <x:v>TRILATERAL_SPLIT_MERGE</x:v>
      </x:c>
      <x:c r="E348" s="13" t="str">
        <x:v>Pending</x:v>
      </x:c>
      <x:c r="F348" s="13" t="n">
        <x:v>1</x:v>
      </x:c>
      <x:c r="G348" s="13" t="n">
        <x:v>3</x:v>
      </x:c>
      <x:c r="H348" s="13" t="n">
        <x:v>4</x:v>
      </x:c>
      <x:c r="I348" s="13" t="str">
        <x:v>0407110000</x:v>
      </x:c>
      <x:c r="J348" s="13" t="str">
        <x:v>0407110101; 0407110191; 0407110199</x:v>
      </x:c>
      <x:c r="K348" s="13" t="str">
        <x:v>0407111100; 0407111200; 0407119100; 0407119200</x:v>
      </x:c>
      <x:c r="L348" s="13" t="str">
        <x:v>UNRESOLVED</x:v>
      </x:c>
      <x:c r="M348" s="13" t="str"/>
      <x:c r="N348" s="13" t="str">
        <x:v>NO / DEFAULT</x:v>
      </x:c>
      <x:c r="O348" s="13" t="str"/>
      <x:c r="P348" s="13" t="str">
        <x:v>NO / DEFAULT</x:v>
      </x:c>
      <x:c r="Q348" s="13" t="str"/>
      <x:c r="R348" s="13" t="str">
        <x:v>INDEPENDENT / DEFAULT</x:v>
      </x:c>
      <x:c r="S348" s="13" t="str"/>
      <x:c r="T348" s="13" t="str">
        <x:v>UNRESOLVED</x:v>
      </x:c>
      <x:c r="U348" s="13" t="str"/>
      <x:c r="V348" s="13" t="str"/>
      <x:c r="W348" s="13" t="str"/>
      <x:c r="X348" s="13" t="str">
        <x:f>IF(L348&lt;&gt;"COVERED","HELD — COVERAGE",IF(N348="YES — SENSITIVE","C ACTIONABLE","CHAPTER 5 DEFAULT"))</x:f>
        <x:v>HELD — COVERAGE</x:v>
      </x:c>
      <x:c r="Y348" s="13" t="str">
        <x:f>IF(L348&lt;&gt;"COVERED","HELD — COVERAGE",IF(P348="YES — MANAGED ACCESS","D ACTIONABLE","NO D FIELD"))</x:f>
        <x:v>HELD — COVERAGE</x:v>
      </x:c>
      <x:c r="Z348" s="13" t="str">
        <x:f>IF(L348&lt;&gt;"COVERED","HELD — COVERAGE",IF(OR(R348="PAIRED SYNCHRONIZED",R348="TRILATERAL SYNCHRONIZED"),"E ACTIONABLE","INDEPENDENT"))</x:f>
        <x:v>HELD — COVERAGE</x:v>
      </x:c>
      <x:c r="AA348" s="13" t="str">
        <x:f>IF(L348&lt;&gt;"COVERED","HELD — COVERAGE","WAIT FOR UPSTREAM COMPLETION")</x:f>
        <x:v>HELD — COVERAGE</x:v>
      </x:c>
      <x:c r="AB348" s="13" t="str">
        <x:f>IF(L348&lt;&gt;"COVERED","HELD — COVERAGE",IF(T348="UNRESOLVED","G DECISION REQUIRED",IF(T348="NOT APPLICABLE","G N/A","G ACTIONABLE")))</x:f>
        <x:v>HELD — COVERAGE</x:v>
      </x:c>
      <x:c r="AC348" s="13" t="str">
        <x:f>IF(L348="UNRESOLVED","COVERAGE FIRST",IF(OR(L348="EXCLUDED",L348="OUT OF SCOPE"),"CLOSED BY COVERAGE",IF(AND(L348="COVERED",T348&lt;&gt;"UNRESOLVED"),"PARTIALLY ADOPTED","DECISIONS REMAIN")))</x:f>
        <x:v>COVERAGE FIRST</x:v>
      </x:c>
    </x:row>
    <x:row r="349">
      <x:c r="A349" s="13" t="str">
        <x:v>NAAFTC-HS6-040719</x:v>
      </x:c>
      <x:c r="B349" s="13" t="str">
        <x:v>040719</x:v>
      </x:c>
      <x:c r="C349" s="13" t="str">
        <x:v>04</x:v>
      </x:c>
      <x:c r="D349" s="13" t="str">
        <x:v>TRILATERAL_1_TO_1_TO_1</x:v>
      </x:c>
      <x:c r="E349" s="13" t="str">
        <x:v>Pending</x:v>
      </x:c>
      <x:c r="F349" s="13" t="n">
        <x:v>1</x:v>
      </x:c>
      <x:c r="G349" s="13" t="n">
        <x:v>1</x:v>
      </x:c>
      <x:c r="H349" s="13" t="n">
        <x:v>1</x:v>
      </x:c>
      <x:c r="I349" s="13" t="str">
        <x:v>0407190000</x:v>
      </x:c>
      <x:c r="J349" s="13" t="str">
        <x:v>0407199900</x:v>
      </x:c>
      <x:c r="K349" s="13" t="str">
        <x:v>04071900</x:v>
      </x:c>
      <x:c r="L349" s="13" t="str">
        <x:v>UNRESOLVED</x:v>
      </x:c>
      <x:c r="M349" s="13" t="str"/>
      <x:c r="N349" s="13" t="str">
        <x:v>NO / DEFAULT</x:v>
      </x:c>
      <x:c r="O349" s="13" t="str"/>
      <x:c r="P349" s="13" t="str">
        <x:v>NO / DEFAULT</x:v>
      </x:c>
      <x:c r="Q349" s="13" t="str"/>
      <x:c r="R349" s="13" t="str">
        <x:v>INDEPENDENT / DEFAULT</x:v>
      </x:c>
      <x:c r="S349" s="13" t="str"/>
      <x:c r="T349" s="13" t="str">
        <x:v>UNRESOLVED</x:v>
      </x:c>
      <x:c r="U349" s="13" t="str"/>
      <x:c r="V349" s="13" t="str"/>
      <x:c r="W349" s="13" t="str"/>
      <x:c r="X349" s="13" t="str">
        <x:f>IF(L349&lt;&gt;"COVERED","HELD — COVERAGE",IF(N349="YES — SENSITIVE","C ACTIONABLE","CHAPTER 5 DEFAULT"))</x:f>
        <x:v>HELD — COVERAGE</x:v>
      </x:c>
      <x:c r="Y349" s="13" t="str">
        <x:f>IF(L349&lt;&gt;"COVERED","HELD — COVERAGE",IF(P349="YES — MANAGED ACCESS","D ACTIONABLE","NO D FIELD"))</x:f>
        <x:v>HELD — COVERAGE</x:v>
      </x:c>
      <x:c r="Z349" s="13" t="str">
        <x:f>IF(L349&lt;&gt;"COVERED","HELD — COVERAGE",IF(OR(R349="PAIRED SYNCHRONIZED",R349="TRILATERAL SYNCHRONIZED"),"E ACTIONABLE","INDEPENDENT"))</x:f>
        <x:v>HELD — COVERAGE</x:v>
      </x:c>
      <x:c r="AA349" s="13" t="str">
        <x:f>IF(L349&lt;&gt;"COVERED","HELD — COVERAGE","WAIT FOR UPSTREAM COMPLETION")</x:f>
        <x:v>HELD — COVERAGE</x:v>
      </x:c>
      <x:c r="AB349" s="13" t="str">
        <x:f>IF(L349&lt;&gt;"COVERED","HELD — COVERAGE",IF(T349="UNRESOLVED","G DECISION REQUIRED",IF(T349="NOT APPLICABLE","G N/A","G ACTIONABLE")))</x:f>
        <x:v>HELD — COVERAGE</x:v>
      </x:c>
      <x:c r="AC349" s="13" t="str">
        <x:f>IF(L349="UNRESOLVED","COVERAGE FIRST",IF(OR(L349="EXCLUDED",L349="OUT OF SCOPE"),"CLOSED BY COVERAGE",IF(AND(L349="COVERED",T349&lt;&gt;"UNRESOLVED"),"PARTIALLY ADOPTED","DECISIONS REMAIN")))</x:f>
        <x:v>COVERAGE FIRST</x:v>
      </x:c>
    </x:row>
    <x:row r="350">
      <x:c r="A350" s="13" t="str">
        <x:v>NAAFTC-HS6-040721</x:v>
      </x:c>
      <x:c r="B350" s="13" t="str">
        <x:v>040721</x:v>
      </x:c>
      <x:c r="C350" s="13" t="str">
        <x:v>04</x:v>
      </x:c>
      <x:c r="D350" s="13" t="str">
        <x:v>TRILATERAL_SPLIT_MERGE</x:v>
      </x:c>
      <x:c r="E350" s="13" t="str">
        <x:v>Pending</x:v>
      </x:c>
      <x:c r="F350" s="13" t="n">
        <x:v>2</x:v>
      </x:c>
      <x:c r="G350" s="13" t="n">
        <x:v>2</x:v>
      </x:c>
      <x:c r="H350" s="13" t="n">
        <x:v>2</x:v>
      </x:c>
      <x:c r="I350" s="13" t="str">
        <x:v>0407210030; 0407210090</x:v>
      </x:c>
      <x:c r="J350" s="13" t="str">
        <x:v>0407210201; 0407210299</x:v>
      </x:c>
      <x:c r="K350" s="13" t="str">
        <x:v>04072110; 0407212000</x:v>
      </x:c>
      <x:c r="L350" s="13" t="str">
        <x:v>UNRESOLVED</x:v>
      </x:c>
      <x:c r="M350" s="13" t="str"/>
      <x:c r="N350" s="13" t="str">
        <x:v>NO / DEFAULT</x:v>
      </x:c>
      <x:c r="O350" s="13" t="str"/>
      <x:c r="P350" s="13" t="str">
        <x:v>NO / DEFAULT</x:v>
      </x:c>
      <x:c r="Q350" s="13" t="str"/>
      <x:c r="R350" s="13" t="str">
        <x:v>INDEPENDENT / DEFAULT</x:v>
      </x:c>
      <x:c r="S350" s="13" t="str"/>
      <x:c r="T350" s="13" t="str">
        <x:v>UNRESOLVED</x:v>
      </x:c>
      <x:c r="U350" s="13" t="str"/>
      <x:c r="V350" s="13" t="str"/>
      <x:c r="W350" s="13" t="str"/>
      <x:c r="X350" s="13" t="str">
        <x:f>IF(L350&lt;&gt;"COVERED","HELD — COVERAGE",IF(N350="YES — SENSITIVE","C ACTIONABLE","CHAPTER 5 DEFAULT"))</x:f>
        <x:v>HELD — COVERAGE</x:v>
      </x:c>
      <x:c r="Y350" s="13" t="str">
        <x:f>IF(L350&lt;&gt;"COVERED","HELD — COVERAGE",IF(P350="YES — MANAGED ACCESS","D ACTIONABLE","NO D FIELD"))</x:f>
        <x:v>HELD — COVERAGE</x:v>
      </x:c>
      <x:c r="Z350" s="13" t="str">
        <x:f>IF(L350&lt;&gt;"COVERED","HELD — COVERAGE",IF(OR(R350="PAIRED SYNCHRONIZED",R350="TRILATERAL SYNCHRONIZED"),"E ACTIONABLE","INDEPENDENT"))</x:f>
        <x:v>HELD — COVERAGE</x:v>
      </x:c>
      <x:c r="AA350" s="13" t="str">
        <x:f>IF(L350&lt;&gt;"COVERED","HELD — COVERAGE","WAIT FOR UPSTREAM COMPLETION")</x:f>
        <x:v>HELD — COVERAGE</x:v>
      </x:c>
      <x:c r="AB350" s="13" t="str">
        <x:f>IF(L350&lt;&gt;"COVERED","HELD — COVERAGE",IF(T350="UNRESOLVED","G DECISION REQUIRED",IF(T350="NOT APPLICABLE","G N/A","G ACTIONABLE")))</x:f>
        <x:v>HELD — COVERAGE</x:v>
      </x:c>
      <x:c r="AC350" s="13" t="str">
        <x:f>IF(L350="UNRESOLVED","COVERAGE FIRST",IF(OR(L350="EXCLUDED",L350="OUT OF SCOPE"),"CLOSED BY COVERAGE",IF(AND(L350="COVERED",T350&lt;&gt;"UNRESOLVED"),"PARTIALLY ADOPTED","DECISIONS REMAIN")))</x:f>
        <x:v>COVERAGE FIRST</x:v>
      </x:c>
    </x:row>
    <x:row r="351">
      <x:c r="A351" s="13" t="str">
        <x:v>NAAFTC-HS6-040729</x:v>
      </x:c>
      <x:c r="B351" s="13" t="str">
        <x:v>040729</x:v>
      </x:c>
      <x:c r="C351" s="13" t="str">
        <x:v>04</x:v>
      </x:c>
      <x:c r="D351" s="13" t="str">
        <x:v>TRILATERAL_SPLIT_MERGE</x:v>
      </x:c>
      <x:c r="E351" s="13" t="str">
        <x:v>Pending</x:v>
      </x:c>
      <x:c r="F351" s="13" t="n">
        <x:v>1</x:v>
      </x:c>
      <x:c r="G351" s="13" t="n">
        <x:v>2</x:v>
      </x:c>
      <x:c r="H351" s="13" t="n">
        <x:v>1</x:v>
      </x:c>
      <x:c r="I351" s="13" t="str">
        <x:v>0407290000</x:v>
      </x:c>
      <x:c r="J351" s="13" t="str">
        <x:v>0407290100; 0407299900</x:v>
      </x:c>
      <x:c r="K351" s="13" t="str">
        <x:v>0407290000</x:v>
      </x:c>
      <x:c r="L351" s="13" t="str">
        <x:v>UNRESOLVED</x:v>
      </x:c>
      <x:c r="M351" s="13" t="str"/>
      <x:c r="N351" s="13" t="str">
        <x:v>NO / DEFAULT</x:v>
      </x:c>
      <x:c r="O351" s="13" t="str"/>
      <x:c r="P351" s="13" t="str">
        <x:v>NO / DEFAULT</x:v>
      </x:c>
      <x:c r="Q351" s="13" t="str"/>
      <x:c r="R351" s="13" t="str">
        <x:v>INDEPENDENT / DEFAULT</x:v>
      </x:c>
      <x:c r="S351" s="13" t="str"/>
      <x:c r="T351" s="13" t="str">
        <x:v>UNRESOLVED</x:v>
      </x:c>
      <x:c r="U351" s="13" t="str"/>
      <x:c r="V351" s="13" t="str"/>
      <x:c r="W351" s="13" t="str"/>
      <x:c r="X351" s="13" t="str">
        <x:f>IF(L351&lt;&gt;"COVERED","HELD — COVERAGE",IF(N351="YES — SENSITIVE","C ACTIONABLE","CHAPTER 5 DEFAULT"))</x:f>
        <x:v>HELD — COVERAGE</x:v>
      </x:c>
      <x:c r="Y351" s="13" t="str">
        <x:f>IF(L351&lt;&gt;"COVERED","HELD — COVERAGE",IF(P351="YES — MANAGED ACCESS","D ACTIONABLE","NO D FIELD"))</x:f>
        <x:v>HELD — COVERAGE</x:v>
      </x:c>
      <x:c r="Z351" s="13" t="str">
        <x:f>IF(L351&lt;&gt;"COVERED","HELD — COVERAGE",IF(OR(R351="PAIRED SYNCHRONIZED",R351="TRILATERAL SYNCHRONIZED"),"E ACTIONABLE","INDEPENDENT"))</x:f>
        <x:v>HELD — COVERAGE</x:v>
      </x:c>
      <x:c r="AA351" s="13" t="str">
        <x:f>IF(L351&lt;&gt;"COVERED","HELD — COVERAGE","WAIT FOR UPSTREAM COMPLETION")</x:f>
        <x:v>HELD — COVERAGE</x:v>
      </x:c>
      <x:c r="AB351" s="13" t="str">
        <x:f>IF(L351&lt;&gt;"COVERED","HELD — COVERAGE",IF(T351="UNRESOLVED","G DECISION REQUIRED",IF(T351="NOT APPLICABLE","G N/A","G ACTIONABLE")))</x:f>
        <x:v>HELD — COVERAGE</x:v>
      </x:c>
      <x:c r="AC351" s="13" t="str">
        <x:f>IF(L351="UNRESOLVED","COVERAGE FIRST",IF(OR(L351="EXCLUDED",L351="OUT OF SCOPE"),"CLOSED BY COVERAGE",IF(AND(L351="COVERED",T351&lt;&gt;"UNRESOLVED"),"PARTIALLY ADOPTED","DECISIONS REMAIN")))</x:f>
        <x:v>COVERAGE FIRST</x:v>
      </x:c>
    </x:row>
    <x:row r="352">
      <x:c r="A352" s="13" t="str">
        <x:v>NAAFTC-HS6-040790</x:v>
      </x:c>
      <x:c r="B352" s="13" t="str">
        <x:v>040790</x:v>
      </x:c>
      <x:c r="C352" s="13" t="str">
        <x:v>04</x:v>
      </x:c>
      <x:c r="D352" s="13" t="str">
        <x:v>TRILATERAL_SPLIT_MERGE</x:v>
      </x:c>
      <x:c r="E352" s="13" t="str">
        <x:v>Pending</x:v>
      </x:c>
      <x:c r="F352" s="13" t="n">
        <x:v>1</x:v>
      </x:c>
      <x:c r="G352" s="13" t="n">
        <x:v>1</x:v>
      </x:c>
      <x:c r="H352" s="13" t="n">
        <x:v>3</x:v>
      </x:c>
      <x:c r="I352" s="13" t="str">
        <x:v>0407900000</x:v>
      </x:c>
      <x:c r="J352" s="13" t="str">
        <x:v>0407909900</x:v>
      </x:c>
      <x:c r="K352" s="13" t="str">
        <x:v>0407901100; 0407901200; 0407909000</x:v>
      </x:c>
      <x:c r="L352" s="13" t="str">
        <x:v>UNRESOLVED</x:v>
      </x:c>
      <x:c r="M352" s="13" t="str"/>
      <x:c r="N352" s="13" t="str">
        <x:v>NO / DEFAULT</x:v>
      </x:c>
      <x:c r="O352" s="13" t="str"/>
      <x:c r="P352" s="13" t="str">
        <x:v>NO / DEFAULT</x:v>
      </x:c>
      <x:c r="Q352" s="13" t="str"/>
      <x:c r="R352" s="13" t="str">
        <x:v>INDEPENDENT / DEFAULT</x:v>
      </x:c>
      <x:c r="S352" s="13" t="str"/>
      <x:c r="T352" s="13" t="str">
        <x:v>UNRESOLVED</x:v>
      </x:c>
      <x:c r="U352" s="13" t="str"/>
      <x:c r="V352" s="13" t="str"/>
      <x:c r="W352" s="13" t="str"/>
      <x:c r="X352" s="13" t="str">
        <x:f>IF(L352&lt;&gt;"COVERED","HELD — COVERAGE",IF(N352="YES — SENSITIVE","C ACTIONABLE","CHAPTER 5 DEFAULT"))</x:f>
        <x:v>HELD — COVERAGE</x:v>
      </x:c>
      <x:c r="Y352" s="13" t="str">
        <x:f>IF(L352&lt;&gt;"COVERED","HELD — COVERAGE",IF(P352="YES — MANAGED ACCESS","D ACTIONABLE","NO D FIELD"))</x:f>
        <x:v>HELD — COVERAGE</x:v>
      </x:c>
      <x:c r="Z352" s="13" t="str">
        <x:f>IF(L352&lt;&gt;"COVERED","HELD — COVERAGE",IF(OR(R352="PAIRED SYNCHRONIZED",R352="TRILATERAL SYNCHRONIZED"),"E ACTIONABLE","INDEPENDENT"))</x:f>
        <x:v>HELD — COVERAGE</x:v>
      </x:c>
      <x:c r="AA352" s="13" t="str">
        <x:f>IF(L352&lt;&gt;"COVERED","HELD — COVERAGE","WAIT FOR UPSTREAM COMPLETION")</x:f>
        <x:v>HELD — COVERAGE</x:v>
      </x:c>
      <x:c r="AB352" s="13" t="str">
        <x:f>IF(L352&lt;&gt;"COVERED","HELD — COVERAGE",IF(T352="UNRESOLVED","G DECISION REQUIRED",IF(T352="NOT APPLICABLE","G N/A","G ACTIONABLE")))</x:f>
        <x:v>HELD — COVERAGE</x:v>
      </x:c>
      <x:c r="AC352" s="13" t="str">
        <x:f>IF(L352="UNRESOLVED","COVERAGE FIRST",IF(OR(L352="EXCLUDED",L352="OUT OF SCOPE"),"CLOSED BY COVERAGE",IF(AND(L352="COVERED",T352&lt;&gt;"UNRESOLVED"),"PARTIALLY ADOPTED","DECISIONS REMAIN")))</x:f>
        <x:v>COVERAGE FIRST</x:v>
      </x:c>
    </x:row>
    <x:row r="353">
      <x:c r="A353" s="13" t="str">
        <x:v>NAAFTC-HS6-040811</x:v>
      </x:c>
      <x:c r="B353" s="13" t="str">
        <x:v>040811</x:v>
      </x:c>
      <x:c r="C353" s="13" t="str">
        <x:v>04</x:v>
      </x:c>
      <x:c r="D353" s="13" t="str">
        <x:v>TRILATERAL_1_TO_1_TO_1</x:v>
      </x:c>
      <x:c r="E353" s="13" t="str">
        <x:v>Pending</x:v>
      </x:c>
      <x:c r="F353" s="13" t="n">
        <x:v>1</x:v>
      </x:c>
      <x:c r="G353" s="13" t="n">
        <x:v>1</x:v>
      </x:c>
      <x:c r="H353" s="13" t="n">
        <x:v>1</x:v>
      </x:c>
      <x:c r="I353" s="13" t="str">
        <x:v>0408110000</x:v>
      </x:c>
      <x:c r="J353" s="13" t="str">
        <x:v>0408110100</x:v>
      </x:c>
      <x:c r="K353" s="13" t="str">
        <x:v>0408111000</x:v>
      </x:c>
      <x:c r="L353" s="13" t="str">
        <x:v>UNRESOLVED</x:v>
      </x:c>
      <x:c r="M353" s="13" t="str"/>
      <x:c r="N353" s="13" t="str">
        <x:v>NO / DEFAULT</x:v>
      </x:c>
      <x:c r="O353" s="13" t="str"/>
      <x:c r="P353" s="13" t="str">
        <x:v>NO / DEFAULT</x:v>
      </x:c>
      <x:c r="Q353" s="13" t="str"/>
      <x:c r="R353" s="13" t="str">
        <x:v>INDEPENDENT / DEFAULT</x:v>
      </x:c>
      <x:c r="S353" s="13" t="str"/>
      <x:c r="T353" s="13" t="str">
        <x:v>UNRESOLVED</x:v>
      </x:c>
      <x:c r="U353" s="13" t="str"/>
      <x:c r="V353" s="13" t="str"/>
      <x:c r="W353" s="13" t="str"/>
      <x:c r="X353" s="13" t="str">
        <x:f>IF(L353&lt;&gt;"COVERED","HELD — COVERAGE",IF(N353="YES — SENSITIVE","C ACTIONABLE","CHAPTER 5 DEFAULT"))</x:f>
        <x:v>HELD — COVERAGE</x:v>
      </x:c>
      <x:c r="Y353" s="13" t="str">
        <x:f>IF(L353&lt;&gt;"COVERED","HELD — COVERAGE",IF(P353="YES — MANAGED ACCESS","D ACTIONABLE","NO D FIELD"))</x:f>
        <x:v>HELD — COVERAGE</x:v>
      </x:c>
      <x:c r="Z353" s="13" t="str">
        <x:f>IF(L353&lt;&gt;"COVERED","HELD — COVERAGE",IF(OR(R353="PAIRED SYNCHRONIZED",R353="TRILATERAL SYNCHRONIZED"),"E ACTIONABLE","INDEPENDENT"))</x:f>
        <x:v>HELD — COVERAGE</x:v>
      </x:c>
      <x:c r="AA353" s="13" t="str">
        <x:f>IF(L353&lt;&gt;"COVERED","HELD — COVERAGE","WAIT FOR UPSTREAM COMPLETION")</x:f>
        <x:v>HELD — COVERAGE</x:v>
      </x:c>
      <x:c r="AB353" s="13" t="str">
        <x:f>IF(L353&lt;&gt;"COVERED","HELD — COVERAGE",IF(T353="UNRESOLVED","G DECISION REQUIRED",IF(T353="NOT APPLICABLE","G N/A","G ACTIONABLE")))</x:f>
        <x:v>HELD — COVERAGE</x:v>
      </x:c>
      <x:c r="AC353" s="13" t="str">
        <x:f>IF(L353="UNRESOLVED","COVERAGE FIRST",IF(OR(L353="EXCLUDED",L353="OUT OF SCOPE"),"CLOSED BY COVERAGE",IF(AND(L353="COVERED",T353&lt;&gt;"UNRESOLVED"),"PARTIALLY ADOPTED","DECISIONS REMAIN")))</x:f>
        <x:v>COVERAGE FIRST</x:v>
      </x:c>
    </x:row>
    <x:row r="354">
      <x:c r="A354" s="13" t="str">
        <x:v>NAAFTC-HS6-040819</x:v>
      </x:c>
      <x:c r="B354" s="13" t="str">
        <x:v>040819</x:v>
      </x:c>
      <x:c r="C354" s="13" t="str">
        <x:v>04</x:v>
      </x:c>
      <x:c r="D354" s="13" t="str">
        <x:v>TRILATERAL_SPLIT_MERGE</x:v>
      </x:c>
      <x:c r="E354" s="13" t="str">
        <x:v>Pending</x:v>
      </x:c>
      <x:c r="F354" s="13" t="n">
        <x:v>1</x:v>
      </x:c>
      <x:c r="G354" s="13" t="n">
        <x:v>1</x:v>
      </x:c>
      <x:c r="H354" s="13" t="n">
        <x:v>2</x:v>
      </x:c>
      <x:c r="I354" s="13" t="str">
        <x:v>0408190000</x:v>
      </x:c>
      <x:c r="J354" s="13" t="str">
        <x:v>0408199900</x:v>
      </x:c>
      <x:c r="K354" s="13" t="str">
        <x:v>0408191000; 0408192000</x:v>
      </x:c>
      <x:c r="L354" s="13" t="str">
        <x:v>UNRESOLVED</x:v>
      </x:c>
      <x:c r="M354" s="13" t="str"/>
      <x:c r="N354" s="13" t="str">
        <x:v>NO / DEFAULT</x:v>
      </x:c>
      <x:c r="O354" s="13" t="str"/>
      <x:c r="P354" s="13" t="str">
        <x:v>NO / DEFAULT</x:v>
      </x:c>
      <x:c r="Q354" s="13" t="str"/>
      <x:c r="R354" s="13" t="str">
        <x:v>INDEPENDENT / DEFAULT</x:v>
      </x:c>
      <x:c r="S354" s="13" t="str"/>
      <x:c r="T354" s="13" t="str">
        <x:v>UNRESOLVED</x:v>
      </x:c>
      <x:c r="U354" s="13" t="str"/>
      <x:c r="V354" s="13" t="str"/>
      <x:c r="W354" s="13" t="str"/>
      <x:c r="X354" s="13" t="str">
        <x:f>IF(L354&lt;&gt;"COVERED","HELD — COVERAGE",IF(N354="YES — SENSITIVE","C ACTIONABLE","CHAPTER 5 DEFAULT"))</x:f>
        <x:v>HELD — COVERAGE</x:v>
      </x:c>
      <x:c r="Y354" s="13" t="str">
        <x:f>IF(L354&lt;&gt;"COVERED","HELD — COVERAGE",IF(P354="YES — MANAGED ACCESS","D ACTIONABLE","NO D FIELD"))</x:f>
        <x:v>HELD — COVERAGE</x:v>
      </x:c>
      <x:c r="Z354" s="13" t="str">
        <x:f>IF(L354&lt;&gt;"COVERED","HELD — COVERAGE",IF(OR(R354="PAIRED SYNCHRONIZED",R354="TRILATERAL SYNCHRONIZED"),"E ACTIONABLE","INDEPENDENT"))</x:f>
        <x:v>HELD — COVERAGE</x:v>
      </x:c>
      <x:c r="AA354" s="13" t="str">
        <x:f>IF(L354&lt;&gt;"COVERED","HELD — COVERAGE","WAIT FOR UPSTREAM COMPLETION")</x:f>
        <x:v>HELD — COVERAGE</x:v>
      </x:c>
      <x:c r="AB354" s="13" t="str">
        <x:f>IF(L354&lt;&gt;"COVERED","HELD — COVERAGE",IF(T354="UNRESOLVED","G DECISION REQUIRED",IF(T354="NOT APPLICABLE","G N/A","G ACTIONABLE")))</x:f>
        <x:v>HELD — COVERAGE</x:v>
      </x:c>
      <x:c r="AC354" s="13" t="str">
        <x:f>IF(L354="UNRESOLVED","COVERAGE FIRST",IF(OR(L354="EXCLUDED",L354="OUT OF SCOPE"),"CLOSED BY COVERAGE",IF(AND(L354="COVERED",T354&lt;&gt;"UNRESOLVED"),"PARTIALLY ADOPTED","DECISIONS REMAIN")))</x:f>
        <x:v>COVERAGE FIRST</x:v>
      </x:c>
    </x:row>
    <x:row r="355">
      <x:c r="A355" s="13" t="str">
        <x:v>NAAFTC-HS6-040891</x:v>
      </x:c>
      <x:c r="B355" s="13" t="str">
        <x:v>040891</x:v>
      </x:c>
      <x:c r="C355" s="13" t="str">
        <x:v>04</x:v>
      </x:c>
      <x:c r="D355" s="13" t="str">
        <x:v>TRILATERAL_SPLIT_MERGE</x:v>
      </x:c>
      <x:c r="E355" s="13" t="str">
        <x:v>Pending</x:v>
      </x:c>
      <x:c r="F355" s="13" t="n">
        <x:v>1</x:v>
      </x:c>
      <x:c r="G355" s="13" t="n">
        <x:v>2</x:v>
      </x:c>
      <x:c r="H355" s="13" t="n">
        <x:v>2</x:v>
      </x:c>
      <x:c r="I355" s="13" t="str">
        <x:v>0408910000</x:v>
      </x:c>
      <x:c r="J355" s="13" t="str">
        <x:v>0408910201; 0408910299</x:v>
      </x:c>
      <x:c r="K355" s="13" t="str">
        <x:v>0408911000; 0408912000</x:v>
      </x:c>
      <x:c r="L355" s="13" t="str">
        <x:v>UNRESOLVED</x:v>
      </x:c>
      <x:c r="M355" s="13" t="str"/>
      <x:c r="N355" s="13" t="str">
        <x:v>NO / DEFAULT</x:v>
      </x:c>
      <x:c r="O355" s="13" t="str"/>
      <x:c r="P355" s="13" t="str">
        <x:v>NO / DEFAULT</x:v>
      </x:c>
      <x:c r="Q355" s="13" t="str"/>
      <x:c r="R355" s="13" t="str">
        <x:v>INDEPENDENT / DEFAULT</x:v>
      </x:c>
      <x:c r="S355" s="13" t="str"/>
      <x:c r="T355" s="13" t="str">
        <x:v>UNRESOLVED</x:v>
      </x:c>
      <x:c r="U355" s="13" t="str"/>
      <x:c r="V355" s="13" t="str"/>
      <x:c r="W355" s="13" t="str"/>
      <x:c r="X355" s="13" t="str">
        <x:f>IF(L355&lt;&gt;"COVERED","HELD — COVERAGE",IF(N355="YES — SENSITIVE","C ACTIONABLE","CHAPTER 5 DEFAULT"))</x:f>
        <x:v>HELD — COVERAGE</x:v>
      </x:c>
      <x:c r="Y355" s="13" t="str">
        <x:f>IF(L355&lt;&gt;"COVERED","HELD — COVERAGE",IF(P355="YES — MANAGED ACCESS","D ACTIONABLE","NO D FIELD"))</x:f>
        <x:v>HELD — COVERAGE</x:v>
      </x:c>
      <x:c r="Z355" s="13" t="str">
        <x:f>IF(L355&lt;&gt;"COVERED","HELD — COVERAGE",IF(OR(R355="PAIRED SYNCHRONIZED",R355="TRILATERAL SYNCHRONIZED"),"E ACTIONABLE","INDEPENDENT"))</x:f>
        <x:v>HELD — COVERAGE</x:v>
      </x:c>
      <x:c r="AA355" s="13" t="str">
        <x:f>IF(L355&lt;&gt;"COVERED","HELD — COVERAGE","WAIT FOR UPSTREAM COMPLETION")</x:f>
        <x:v>HELD — COVERAGE</x:v>
      </x:c>
      <x:c r="AB355" s="13" t="str">
        <x:f>IF(L355&lt;&gt;"COVERED","HELD — COVERAGE",IF(T355="UNRESOLVED","G DECISION REQUIRED",IF(T355="NOT APPLICABLE","G N/A","G ACTIONABLE")))</x:f>
        <x:v>HELD — COVERAGE</x:v>
      </x:c>
      <x:c r="AC355" s="13" t="str">
        <x:f>IF(L355="UNRESOLVED","COVERAGE FIRST",IF(OR(L355="EXCLUDED",L355="OUT OF SCOPE"),"CLOSED BY COVERAGE",IF(AND(L355="COVERED",T355&lt;&gt;"UNRESOLVED"),"PARTIALLY ADOPTED","DECISIONS REMAIN")))</x:f>
        <x:v>COVERAGE FIRST</x:v>
      </x:c>
    </x:row>
    <x:row r="356">
      <x:c r="A356" s="13" t="str">
        <x:v>NAAFTC-HS6-040899</x:v>
      </x:c>
      <x:c r="B356" s="13" t="str">
        <x:v>040899</x:v>
      </x:c>
      <x:c r="C356" s="13" t="str">
        <x:v>04</x:v>
      </x:c>
      <x:c r="D356" s="13" t="str">
        <x:v>TRILATERAL_SPLIT_MERGE</x:v>
      </x:c>
      <x:c r="E356" s="13" t="str">
        <x:v>Pending</x:v>
      </x:c>
      <x:c r="F356" s="13" t="n">
        <x:v>1</x:v>
      </x:c>
      <x:c r="G356" s="13" t="n">
        <x:v>2</x:v>
      </x:c>
      <x:c r="H356" s="13" t="n">
        <x:v>2</x:v>
      </x:c>
      <x:c r="I356" s="13" t="str">
        <x:v>0408990000</x:v>
      </x:c>
      <x:c r="J356" s="13" t="str">
        <x:v>0408990200; 0408999900</x:v>
      </x:c>
      <x:c r="K356" s="13" t="str">
        <x:v>04089910; 0408992000</x:v>
      </x:c>
      <x:c r="L356" s="13" t="str">
        <x:v>UNRESOLVED</x:v>
      </x:c>
      <x:c r="M356" s="13" t="str"/>
      <x:c r="N356" s="13" t="str">
        <x:v>NO / DEFAULT</x:v>
      </x:c>
      <x:c r="O356" s="13" t="str"/>
      <x:c r="P356" s="13" t="str">
        <x:v>NO / DEFAULT</x:v>
      </x:c>
      <x:c r="Q356" s="13" t="str"/>
      <x:c r="R356" s="13" t="str">
        <x:v>INDEPENDENT / DEFAULT</x:v>
      </x:c>
      <x:c r="S356" s="13" t="str"/>
      <x:c r="T356" s="13" t="str">
        <x:v>UNRESOLVED</x:v>
      </x:c>
      <x:c r="U356" s="13" t="str"/>
      <x:c r="V356" s="13" t="str"/>
      <x:c r="W356" s="13" t="str"/>
      <x:c r="X356" s="13" t="str">
        <x:f>IF(L356&lt;&gt;"COVERED","HELD — COVERAGE",IF(N356="YES — SENSITIVE","C ACTIONABLE","CHAPTER 5 DEFAULT"))</x:f>
        <x:v>HELD — COVERAGE</x:v>
      </x:c>
      <x:c r="Y356" s="13" t="str">
        <x:f>IF(L356&lt;&gt;"COVERED","HELD — COVERAGE",IF(P356="YES — MANAGED ACCESS","D ACTIONABLE","NO D FIELD"))</x:f>
        <x:v>HELD — COVERAGE</x:v>
      </x:c>
      <x:c r="Z356" s="13" t="str">
        <x:f>IF(L356&lt;&gt;"COVERED","HELD — COVERAGE",IF(OR(R356="PAIRED SYNCHRONIZED",R356="TRILATERAL SYNCHRONIZED"),"E ACTIONABLE","INDEPENDENT"))</x:f>
        <x:v>HELD — COVERAGE</x:v>
      </x:c>
      <x:c r="AA356" s="13" t="str">
        <x:f>IF(L356&lt;&gt;"COVERED","HELD — COVERAGE","WAIT FOR UPSTREAM COMPLETION")</x:f>
        <x:v>HELD — COVERAGE</x:v>
      </x:c>
      <x:c r="AB356" s="13" t="str">
        <x:f>IF(L356&lt;&gt;"COVERED","HELD — COVERAGE",IF(T356="UNRESOLVED","G DECISION REQUIRED",IF(T356="NOT APPLICABLE","G N/A","G ACTIONABLE")))</x:f>
        <x:v>HELD — COVERAGE</x:v>
      </x:c>
      <x:c r="AC356" s="13" t="str">
        <x:f>IF(L356="UNRESOLVED","COVERAGE FIRST",IF(OR(L356="EXCLUDED",L356="OUT OF SCOPE"),"CLOSED BY COVERAGE",IF(AND(L356="COVERED",T356&lt;&gt;"UNRESOLVED"),"PARTIALLY ADOPTED","DECISIONS REMAIN")))</x:f>
        <x:v>COVERAGE FIRST</x:v>
      </x:c>
    </x:row>
    <x:row r="357">
      <x:c r="A357" s="13" t="str">
        <x:v>NAAFTC-HS6-040900</x:v>
      </x:c>
      <x:c r="B357" s="13" t="str">
        <x:v>040900</x:v>
      </x:c>
      <x:c r="C357" s="13" t="str">
        <x:v>04</x:v>
      </x:c>
      <x:c r="D357" s="13" t="str">
        <x:v>TRILATERAL_SPLIT_MERGE</x:v>
      </x:c>
      <x:c r="E357" s="13" t="str">
        <x:v>Pending</x:v>
      </x:c>
      <x:c r="F357" s="13" t="n">
        <x:v>6</x:v>
      </x:c>
      <x:c r="G357" s="13" t="n">
        <x:v>1</x:v>
      </x:c>
      <x:c r="H357" s="13" t="n">
        <x:v>1</x:v>
      </x:c>
      <x:c r="I357" s="13" t="str">
        <x:v>0409000005; 0409000010; 0409000035; 0409000045; 0409000056; 0409000065</x:v>
      </x:c>
      <x:c r="J357" s="13" t="str">
        <x:v>0409000100</x:v>
      </x:c>
      <x:c r="K357" s="13" t="str">
        <x:v>04090000</x:v>
      </x:c>
      <x:c r="L357" s="13" t="str">
        <x:v>UNRESOLVED</x:v>
      </x:c>
      <x:c r="M357" s="13" t="str"/>
      <x:c r="N357" s="13" t="str">
        <x:v>NO / DEFAULT</x:v>
      </x:c>
      <x:c r="O357" s="13" t="str"/>
      <x:c r="P357" s="13" t="str">
        <x:v>NO / DEFAULT</x:v>
      </x:c>
      <x:c r="Q357" s="13" t="str"/>
      <x:c r="R357" s="13" t="str">
        <x:v>INDEPENDENT / DEFAULT</x:v>
      </x:c>
      <x:c r="S357" s="13" t="str"/>
      <x:c r="T357" s="13" t="str">
        <x:v>UNRESOLVED</x:v>
      </x:c>
      <x:c r="U357" s="13" t="str"/>
      <x:c r="V357" s="13" t="str"/>
      <x:c r="W357" s="13" t="str"/>
      <x:c r="X357" s="13" t="str">
        <x:f>IF(L357&lt;&gt;"COVERED","HELD — COVERAGE",IF(N357="YES — SENSITIVE","C ACTIONABLE","CHAPTER 5 DEFAULT"))</x:f>
        <x:v>HELD — COVERAGE</x:v>
      </x:c>
      <x:c r="Y357" s="13" t="str">
        <x:f>IF(L357&lt;&gt;"COVERED","HELD — COVERAGE",IF(P357="YES — MANAGED ACCESS","D ACTIONABLE","NO D FIELD"))</x:f>
        <x:v>HELD — COVERAGE</x:v>
      </x:c>
      <x:c r="Z357" s="13" t="str">
        <x:f>IF(L357&lt;&gt;"COVERED","HELD — COVERAGE",IF(OR(R357="PAIRED SYNCHRONIZED",R357="TRILATERAL SYNCHRONIZED"),"E ACTIONABLE","INDEPENDENT"))</x:f>
        <x:v>HELD — COVERAGE</x:v>
      </x:c>
      <x:c r="AA357" s="13" t="str">
        <x:f>IF(L357&lt;&gt;"COVERED","HELD — COVERAGE","WAIT FOR UPSTREAM COMPLETION")</x:f>
        <x:v>HELD — COVERAGE</x:v>
      </x:c>
      <x:c r="AB357" s="13" t="str">
        <x:f>IF(L357&lt;&gt;"COVERED","HELD — COVERAGE",IF(T357="UNRESOLVED","G DECISION REQUIRED",IF(T357="NOT APPLICABLE","G N/A","G ACTIONABLE")))</x:f>
        <x:v>HELD — COVERAGE</x:v>
      </x:c>
      <x:c r="AC357" s="13" t="str">
        <x:f>IF(L357="UNRESOLVED","COVERAGE FIRST",IF(OR(L357="EXCLUDED",L357="OUT OF SCOPE"),"CLOSED BY COVERAGE",IF(AND(L357="COVERED",T357&lt;&gt;"UNRESOLVED"),"PARTIALLY ADOPTED","DECISIONS REMAIN")))</x:f>
        <x:v>COVERAGE FIRST</x:v>
      </x:c>
    </x:row>
    <x:row r="358">
      <x:c r="A358" s="13" t="str">
        <x:v>NAAFTC-HS6-041010</x:v>
      </x:c>
      <x:c r="B358" s="13" t="str">
        <x:v>041010</x:v>
      </x:c>
      <x:c r="C358" s="13" t="str">
        <x:v>04</x:v>
      </x:c>
      <x:c r="D358" s="13" t="str">
        <x:v>TRILATERAL_SPLIT_MERGE</x:v>
      </x:c>
      <x:c r="E358" s="13" t="str">
        <x:v>Pending</x:v>
      </x:c>
      <x:c r="F358" s="13" t="n">
        <x:v>1</x:v>
      </x:c>
      <x:c r="G358" s="13" t="n">
        <x:v>1</x:v>
      </x:c>
      <x:c r="H358" s="13" t="n">
        <x:v>2</x:v>
      </x:c>
      <x:c r="I358" s="13" t="str">
        <x:v>0410100000</x:v>
      </x:c>
      <x:c r="J358" s="13" t="str">
        <x:v>0410100100</x:v>
      </x:c>
      <x:c r="K358" s="13" t="str">
        <x:v>0410101000; 0410109000</x:v>
      </x:c>
      <x:c r="L358" s="13" t="str">
        <x:v>UNRESOLVED</x:v>
      </x:c>
      <x:c r="M358" s="13" t="str"/>
      <x:c r="N358" s="13" t="str">
        <x:v>NO / DEFAULT</x:v>
      </x:c>
      <x:c r="O358" s="13" t="str"/>
      <x:c r="P358" s="13" t="str">
        <x:v>NO / DEFAULT</x:v>
      </x:c>
      <x:c r="Q358" s="13" t="str"/>
      <x:c r="R358" s="13" t="str">
        <x:v>INDEPENDENT / DEFAULT</x:v>
      </x:c>
      <x:c r="S358" s="13" t="str"/>
      <x:c r="T358" s="13" t="str">
        <x:v>UNRESOLVED</x:v>
      </x:c>
      <x:c r="U358" s="13" t="str"/>
      <x:c r="V358" s="13" t="str"/>
      <x:c r="W358" s="13" t="str"/>
      <x:c r="X358" s="13" t="str">
        <x:f>IF(L358&lt;&gt;"COVERED","HELD — COVERAGE",IF(N358="YES — SENSITIVE","C ACTIONABLE","CHAPTER 5 DEFAULT"))</x:f>
        <x:v>HELD — COVERAGE</x:v>
      </x:c>
      <x:c r="Y358" s="13" t="str">
        <x:f>IF(L358&lt;&gt;"COVERED","HELD — COVERAGE",IF(P358="YES — MANAGED ACCESS","D ACTIONABLE","NO D FIELD"))</x:f>
        <x:v>HELD — COVERAGE</x:v>
      </x:c>
      <x:c r="Z358" s="13" t="str">
        <x:f>IF(L358&lt;&gt;"COVERED","HELD — COVERAGE",IF(OR(R358="PAIRED SYNCHRONIZED",R358="TRILATERAL SYNCHRONIZED"),"E ACTIONABLE","INDEPENDENT"))</x:f>
        <x:v>HELD — COVERAGE</x:v>
      </x:c>
      <x:c r="AA358" s="13" t="str">
        <x:f>IF(L358&lt;&gt;"COVERED","HELD — COVERAGE","WAIT FOR UPSTREAM COMPLETION")</x:f>
        <x:v>HELD — COVERAGE</x:v>
      </x:c>
      <x:c r="AB358" s="13" t="str">
        <x:f>IF(L358&lt;&gt;"COVERED","HELD — COVERAGE",IF(T358="UNRESOLVED","G DECISION REQUIRED",IF(T358="NOT APPLICABLE","G N/A","G ACTIONABLE")))</x:f>
        <x:v>HELD — COVERAGE</x:v>
      </x:c>
      <x:c r="AC358" s="13" t="str">
        <x:f>IF(L358="UNRESOLVED","COVERAGE FIRST",IF(OR(L358="EXCLUDED",L358="OUT OF SCOPE"),"CLOSED BY COVERAGE",IF(AND(L358="COVERED",T358&lt;&gt;"UNRESOLVED"),"PARTIALLY ADOPTED","DECISIONS REMAIN")))</x:f>
        <x:v>COVERAGE FIRST</x:v>
      </x:c>
    </x:row>
    <x:row r="359">
      <x:c r="A359" s="13" t="str">
        <x:v>NAAFTC-HS6-041090</x:v>
      </x:c>
      <x:c r="B359" s="13" t="str">
        <x:v>041090</x:v>
      </x:c>
      <x:c r="C359" s="13" t="str">
        <x:v>04</x:v>
      </x:c>
      <x:c r="D359" s="13" t="str">
        <x:v>TRILATERAL_SPLIT_MERGE</x:v>
      </x:c>
      <x:c r="E359" s="13" t="str">
        <x:v>Pending</x:v>
      </x:c>
      <x:c r="F359" s="13" t="n">
        <x:v>1</x:v>
      </x:c>
      <x:c r="G359" s="13" t="n">
        <x:v>2</x:v>
      </x:c>
      <x:c r="H359" s="13" t="n">
        <x:v>1</x:v>
      </x:c>
      <x:c r="I359" s="13" t="str">
        <x:v>0410900000</x:v>
      </x:c>
      <x:c r="J359" s="13" t="str">
        <x:v>0410900100; 0410909900</x:v>
      </x:c>
      <x:c r="K359" s="13" t="str">
        <x:v>0410900000</x:v>
      </x:c>
      <x:c r="L359" s="13" t="str">
        <x:v>UNRESOLVED</x:v>
      </x:c>
      <x:c r="M359" s="13" t="str"/>
      <x:c r="N359" s="13" t="str">
        <x:v>NO / DEFAULT</x:v>
      </x:c>
      <x:c r="O359" s="13" t="str"/>
      <x:c r="P359" s="13" t="str">
        <x:v>NO / DEFAULT</x:v>
      </x:c>
      <x:c r="Q359" s="13" t="str"/>
      <x:c r="R359" s="13" t="str">
        <x:v>INDEPENDENT / DEFAULT</x:v>
      </x:c>
      <x:c r="S359" s="13" t="str"/>
      <x:c r="T359" s="13" t="str">
        <x:v>UNRESOLVED</x:v>
      </x:c>
      <x:c r="U359" s="13" t="str"/>
      <x:c r="V359" s="13" t="str"/>
      <x:c r="W359" s="13" t="str"/>
      <x:c r="X359" s="13" t="str">
        <x:f>IF(L359&lt;&gt;"COVERED","HELD — COVERAGE",IF(N359="YES — SENSITIVE","C ACTIONABLE","CHAPTER 5 DEFAULT"))</x:f>
        <x:v>HELD — COVERAGE</x:v>
      </x:c>
      <x:c r="Y359" s="13" t="str">
        <x:f>IF(L359&lt;&gt;"COVERED","HELD — COVERAGE",IF(P359="YES — MANAGED ACCESS","D ACTIONABLE","NO D FIELD"))</x:f>
        <x:v>HELD — COVERAGE</x:v>
      </x:c>
      <x:c r="Z359" s="13" t="str">
        <x:f>IF(L359&lt;&gt;"COVERED","HELD — COVERAGE",IF(OR(R359="PAIRED SYNCHRONIZED",R359="TRILATERAL SYNCHRONIZED"),"E ACTIONABLE","INDEPENDENT"))</x:f>
        <x:v>HELD — COVERAGE</x:v>
      </x:c>
      <x:c r="AA359" s="13" t="str">
        <x:f>IF(L359&lt;&gt;"COVERED","HELD — COVERAGE","WAIT FOR UPSTREAM COMPLETION")</x:f>
        <x:v>HELD — COVERAGE</x:v>
      </x:c>
      <x:c r="AB359" s="13" t="str">
        <x:f>IF(L359&lt;&gt;"COVERED","HELD — COVERAGE",IF(T359="UNRESOLVED","G DECISION REQUIRED",IF(T359="NOT APPLICABLE","G N/A","G ACTIONABLE")))</x:f>
        <x:v>HELD — COVERAGE</x:v>
      </x:c>
      <x:c r="AC359" s="13" t="str">
        <x:f>IF(L359="UNRESOLVED","COVERAGE FIRST",IF(OR(L359="EXCLUDED",L359="OUT OF SCOPE"),"CLOSED BY COVERAGE",IF(AND(L359="COVERED",T359&lt;&gt;"UNRESOLVED"),"PARTIALLY ADOPTED","DECISIONS REMAIN")))</x:f>
        <x:v>COVERAGE FIRST</x:v>
      </x:c>
    </x:row>
    <x:row r="360">
      <x:c r="A360" s="13" t="str">
        <x:v>NAAFTC-HS6-050100</x:v>
      </x:c>
      <x:c r="B360" s="13" t="str">
        <x:v>050100</x:v>
      </x:c>
      <x:c r="C360" s="13" t="str">
        <x:v>05</x:v>
      </x:c>
      <x:c r="D360" s="13" t="str">
        <x:v>TRILATERAL_1_TO_1_TO_1</x:v>
      </x:c>
      <x:c r="E360" s="13" t="str">
        <x:v>Pending</x:v>
      </x:c>
      <x:c r="F360" s="13" t="n">
        <x:v>1</x:v>
      </x:c>
      <x:c r="G360" s="13" t="n">
        <x:v>1</x:v>
      </x:c>
      <x:c r="H360" s="13" t="n">
        <x:v>1</x:v>
      </x:c>
      <x:c r="I360" s="13" t="str">
        <x:v>0501000000</x:v>
      </x:c>
      <x:c r="J360" s="13" t="str">
        <x:v>0501000100</x:v>
      </x:c>
      <x:c r="K360" s="13" t="str">
        <x:v>0501000000</x:v>
      </x:c>
      <x:c r="L360" s="13" t="str">
        <x:v>UNRESOLVED</x:v>
      </x:c>
      <x:c r="M360" s="13" t="str"/>
      <x:c r="N360" s="13" t="str">
        <x:v>NO / DEFAULT</x:v>
      </x:c>
      <x:c r="O360" s="13" t="str"/>
      <x:c r="P360" s="13" t="str">
        <x:v>NO / DEFAULT</x:v>
      </x:c>
      <x:c r="Q360" s="13" t="str"/>
      <x:c r="R360" s="13" t="str">
        <x:v>INDEPENDENT / DEFAULT</x:v>
      </x:c>
      <x:c r="S360" s="13" t="str"/>
      <x:c r="T360" s="13" t="str">
        <x:v>UNRESOLVED</x:v>
      </x:c>
      <x:c r="U360" s="13" t="str"/>
      <x:c r="V360" s="13" t="str"/>
      <x:c r="W360" s="13" t="str"/>
      <x:c r="X360" s="13" t="str">
        <x:f>IF(L360&lt;&gt;"COVERED","HELD — COVERAGE",IF(N360="YES — SENSITIVE","C ACTIONABLE","CHAPTER 5 DEFAULT"))</x:f>
        <x:v>HELD — COVERAGE</x:v>
      </x:c>
      <x:c r="Y360" s="13" t="str">
        <x:f>IF(L360&lt;&gt;"COVERED","HELD — COVERAGE",IF(P360="YES — MANAGED ACCESS","D ACTIONABLE","NO D FIELD"))</x:f>
        <x:v>HELD — COVERAGE</x:v>
      </x:c>
      <x:c r="Z360" s="13" t="str">
        <x:f>IF(L360&lt;&gt;"COVERED","HELD — COVERAGE",IF(OR(R360="PAIRED SYNCHRONIZED",R360="TRILATERAL SYNCHRONIZED"),"E ACTIONABLE","INDEPENDENT"))</x:f>
        <x:v>HELD — COVERAGE</x:v>
      </x:c>
      <x:c r="AA360" s="13" t="str">
        <x:f>IF(L360&lt;&gt;"COVERED","HELD — COVERAGE","WAIT FOR UPSTREAM COMPLETION")</x:f>
        <x:v>HELD — COVERAGE</x:v>
      </x:c>
      <x:c r="AB360" s="13" t="str">
        <x:f>IF(L360&lt;&gt;"COVERED","HELD — COVERAGE",IF(T360="UNRESOLVED","G DECISION REQUIRED",IF(T360="NOT APPLICABLE","G N/A","G ACTIONABLE")))</x:f>
        <x:v>HELD — COVERAGE</x:v>
      </x:c>
      <x:c r="AC360" s="13" t="str">
        <x:f>IF(L360="UNRESOLVED","COVERAGE FIRST",IF(OR(L360="EXCLUDED",L360="OUT OF SCOPE"),"CLOSED BY COVERAGE",IF(AND(L360="COVERED",T360&lt;&gt;"UNRESOLVED"),"PARTIALLY ADOPTED","DECISIONS REMAIN")))</x:f>
        <x:v>COVERAGE FIRST</x:v>
      </x:c>
    </x:row>
    <x:row r="361">
      <x:c r="A361" s="13" t="str">
        <x:v>NAAFTC-HS6-050210</x:v>
      </x:c>
      <x:c r="B361" s="13" t="str">
        <x:v>050210</x:v>
      </x:c>
      <x:c r="C361" s="13" t="str">
        <x:v>05</x:v>
      </x:c>
      <x:c r="D361" s="13" t="str">
        <x:v>TRILATERAL_1_TO_1_TO_1</x:v>
      </x:c>
      <x:c r="E361" s="13" t="str">
        <x:v>Pending</x:v>
      </x:c>
      <x:c r="F361" s="13" t="n">
        <x:v>1</x:v>
      </x:c>
      <x:c r="G361" s="13" t="n">
        <x:v>1</x:v>
      </x:c>
      <x:c r="H361" s="13" t="n">
        <x:v>1</x:v>
      </x:c>
      <x:c r="I361" s="13" t="str">
        <x:v>0502100000</x:v>
      </x:c>
      <x:c r="J361" s="13" t="str">
        <x:v>0502100100</x:v>
      </x:c>
      <x:c r="K361" s="13" t="str">
        <x:v>0502100000</x:v>
      </x:c>
      <x:c r="L361" s="13" t="str">
        <x:v>UNRESOLVED</x:v>
      </x:c>
      <x:c r="M361" s="13" t="str"/>
      <x:c r="N361" s="13" t="str">
        <x:v>NO / DEFAULT</x:v>
      </x:c>
      <x:c r="O361" s="13" t="str"/>
      <x:c r="P361" s="13" t="str">
        <x:v>NO / DEFAULT</x:v>
      </x:c>
      <x:c r="Q361" s="13" t="str"/>
      <x:c r="R361" s="13" t="str">
        <x:v>INDEPENDENT / DEFAULT</x:v>
      </x:c>
      <x:c r="S361" s="13" t="str"/>
      <x:c r="T361" s="13" t="str">
        <x:v>UNRESOLVED</x:v>
      </x:c>
      <x:c r="U361" s="13" t="str"/>
      <x:c r="V361" s="13" t="str"/>
      <x:c r="W361" s="13" t="str"/>
      <x:c r="X361" s="13" t="str">
        <x:f>IF(L361&lt;&gt;"COVERED","HELD — COVERAGE",IF(N361="YES — SENSITIVE","C ACTIONABLE","CHAPTER 5 DEFAULT"))</x:f>
        <x:v>HELD — COVERAGE</x:v>
      </x:c>
      <x:c r="Y361" s="13" t="str">
        <x:f>IF(L361&lt;&gt;"COVERED","HELD — COVERAGE",IF(P361="YES — MANAGED ACCESS","D ACTIONABLE","NO D FIELD"))</x:f>
        <x:v>HELD — COVERAGE</x:v>
      </x:c>
      <x:c r="Z361" s="13" t="str">
        <x:f>IF(L361&lt;&gt;"COVERED","HELD — COVERAGE",IF(OR(R361="PAIRED SYNCHRONIZED",R361="TRILATERAL SYNCHRONIZED"),"E ACTIONABLE","INDEPENDENT"))</x:f>
        <x:v>HELD — COVERAGE</x:v>
      </x:c>
      <x:c r="AA361" s="13" t="str">
        <x:f>IF(L361&lt;&gt;"COVERED","HELD — COVERAGE","WAIT FOR UPSTREAM COMPLETION")</x:f>
        <x:v>HELD — COVERAGE</x:v>
      </x:c>
      <x:c r="AB361" s="13" t="str">
        <x:f>IF(L361&lt;&gt;"COVERED","HELD — COVERAGE",IF(T361="UNRESOLVED","G DECISION REQUIRED",IF(T361="NOT APPLICABLE","G N/A","G ACTIONABLE")))</x:f>
        <x:v>HELD — COVERAGE</x:v>
      </x:c>
      <x:c r="AC361" s="13" t="str">
        <x:f>IF(L361="UNRESOLVED","COVERAGE FIRST",IF(OR(L361="EXCLUDED",L361="OUT OF SCOPE"),"CLOSED BY COVERAGE",IF(AND(L361="COVERED",T361&lt;&gt;"UNRESOLVED"),"PARTIALLY ADOPTED","DECISIONS REMAIN")))</x:f>
        <x:v>COVERAGE FIRST</x:v>
      </x:c>
    </x:row>
    <x:row r="362">
      <x:c r="A362" s="13" t="str">
        <x:v>NAAFTC-HS6-050290</x:v>
      </x:c>
      <x:c r="B362" s="13" t="str">
        <x:v>050290</x:v>
      </x:c>
      <x:c r="C362" s="13" t="str">
        <x:v>05</x:v>
      </x:c>
      <x:c r="D362" s="13" t="str">
        <x:v>TRILATERAL_1_TO_1_TO_1</x:v>
      </x:c>
      <x:c r="E362" s="13" t="str">
        <x:v>Pending</x:v>
      </x:c>
      <x:c r="F362" s="13" t="n">
        <x:v>1</x:v>
      </x:c>
      <x:c r="G362" s="13" t="n">
        <x:v>1</x:v>
      </x:c>
      <x:c r="H362" s="13" t="n">
        <x:v>1</x:v>
      </x:c>
      <x:c r="I362" s="13" t="str">
        <x:v>0502900000</x:v>
      </x:c>
      <x:c r="J362" s="13" t="str">
        <x:v>0502909900</x:v>
      </x:c>
      <x:c r="K362" s="13" t="str">
        <x:v>0502900000</x:v>
      </x:c>
      <x:c r="L362" s="13" t="str">
        <x:v>UNRESOLVED</x:v>
      </x:c>
      <x:c r="M362" s="13" t="str"/>
      <x:c r="N362" s="13" t="str">
        <x:v>NO / DEFAULT</x:v>
      </x:c>
      <x:c r="O362" s="13" t="str"/>
      <x:c r="P362" s="13" t="str">
        <x:v>NO / DEFAULT</x:v>
      </x:c>
      <x:c r="Q362" s="13" t="str"/>
      <x:c r="R362" s="13" t="str">
        <x:v>INDEPENDENT / DEFAULT</x:v>
      </x:c>
      <x:c r="S362" s="13" t="str"/>
      <x:c r="T362" s="13" t="str">
        <x:v>UNRESOLVED</x:v>
      </x:c>
      <x:c r="U362" s="13" t="str"/>
      <x:c r="V362" s="13" t="str"/>
      <x:c r="W362" s="13" t="str"/>
      <x:c r="X362" s="13" t="str">
        <x:f>IF(L362&lt;&gt;"COVERED","HELD — COVERAGE",IF(N362="YES — SENSITIVE","C ACTIONABLE","CHAPTER 5 DEFAULT"))</x:f>
        <x:v>HELD — COVERAGE</x:v>
      </x:c>
      <x:c r="Y362" s="13" t="str">
        <x:f>IF(L362&lt;&gt;"COVERED","HELD — COVERAGE",IF(P362="YES — MANAGED ACCESS","D ACTIONABLE","NO D FIELD"))</x:f>
        <x:v>HELD — COVERAGE</x:v>
      </x:c>
      <x:c r="Z362" s="13" t="str">
        <x:f>IF(L362&lt;&gt;"COVERED","HELD — COVERAGE",IF(OR(R362="PAIRED SYNCHRONIZED",R362="TRILATERAL SYNCHRONIZED"),"E ACTIONABLE","INDEPENDENT"))</x:f>
        <x:v>HELD — COVERAGE</x:v>
      </x:c>
      <x:c r="AA362" s="13" t="str">
        <x:f>IF(L362&lt;&gt;"COVERED","HELD — COVERAGE","WAIT FOR UPSTREAM COMPLETION")</x:f>
        <x:v>HELD — COVERAGE</x:v>
      </x:c>
      <x:c r="AB362" s="13" t="str">
        <x:f>IF(L362&lt;&gt;"COVERED","HELD — COVERAGE",IF(T362="UNRESOLVED","G DECISION REQUIRED",IF(T362="NOT APPLICABLE","G N/A","G ACTIONABLE")))</x:f>
        <x:v>HELD — COVERAGE</x:v>
      </x:c>
      <x:c r="AC362" s="13" t="str">
        <x:f>IF(L362="UNRESOLVED","COVERAGE FIRST",IF(OR(L362="EXCLUDED",L362="OUT OF SCOPE"),"CLOSED BY COVERAGE",IF(AND(L362="COVERED",T362&lt;&gt;"UNRESOLVED"),"PARTIALLY ADOPTED","DECISIONS REMAIN")))</x:f>
        <x:v>COVERAGE FIRST</x:v>
      </x:c>
    </x:row>
    <x:row r="363">
      <x:c r="A363" s="13" t="str">
        <x:v>NAAFTC-HS6-050400</x:v>
      </x:c>
      <x:c r="B363" s="13" t="str">
        <x:v>050400</x:v>
      </x:c>
      <x:c r="C363" s="13" t="str">
        <x:v>05</x:v>
      </x:c>
      <x:c r="D363" s="13" t="str">
        <x:v>TRILATERAL_SPLIT_MERGE</x:v>
      </x:c>
      <x:c r="E363" s="13" t="str">
        <x:v>Pending</x:v>
      </x:c>
      <x:c r="F363" s="13" t="n">
        <x:v>3</x:v>
      </x:c>
      <x:c r="G363" s="13" t="n">
        <x:v>1</x:v>
      </x:c>
      <x:c r="H363" s="13" t="n">
        <x:v>1</x:v>
      </x:c>
      <x:c r="I363" s="13" t="str">
        <x:v>0504000020; 0504000040; 0504000060</x:v>
      </x:c>
      <x:c r="J363" s="13" t="str">
        <x:v>0504000100</x:v>
      </x:c>
      <x:c r="K363" s="13" t="str">
        <x:v>05040000</x:v>
      </x:c>
      <x:c r="L363" s="13" t="str">
        <x:v>UNRESOLVED</x:v>
      </x:c>
      <x:c r="M363" s="13" t="str"/>
      <x:c r="N363" s="13" t="str">
        <x:v>NO / DEFAULT</x:v>
      </x:c>
      <x:c r="O363" s="13" t="str"/>
      <x:c r="P363" s="13" t="str">
        <x:v>NO / DEFAULT</x:v>
      </x:c>
      <x:c r="Q363" s="13" t="str"/>
      <x:c r="R363" s="13" t="str">
        <x:v>INDEPENDENT / DEFAULT</x:v>
      </x:c>
      <x:c r="S363" s="13" t="str"/>
      <x:c r="T363" s="13" t="str">
        <x:v>UNRESOLVED</x:v>
      </x:c>
      <x:c r="U363" s="13" t="str"/>
      <x:c r="V363" s="13" t="str"/>
      <x:c r="W363" s="13" t="str"/>
      <x:c r="X363" s="13" t="str">
        <x:f>IF(L363&lt;&gt;"COVERED","HELD — COVERAGE",IF(N363="YES — SENSITIVE","C ACTIONABLE","CHAPTER 5 DEFAULT"))</x:f>
        <x:v>HELD — COVERAGE</x:v>
      </x:c>
      <x:c r="Y363" s="13" t="str">
        <x:f>IF(L363&lt;&gt;"COVERED","HELD — COVERAGE",IF(P363="YES — MANAGED ACCESS","D ACTIONABLE","NO D FIELD"))</x:f>
        <x:v>HELD — COVERAGE</x:v>
      </x:c>
      <x:c r="Z363" s="13" t="str">
        <x:f>IF(L363&lt;&gt;"COVERED","HELD — COVERAGE",IF(OR(R363="PAIRED SYNCHRONIZED",R363="TRILATERAL SYNCHRONIZED"),"E ACTIONABLE","INDEPENDENT"))</x:f>
        <x:v>HELD — COVERAGE</x:v>
      </x:c>
      <x:c r="AA363" s="13" t="str">
        <x:f>IF(L363&lt;&gt;"COVERED","HELD — COVERAGE","WAIT FOR UPSTREAM COMPLETION")</x:f>
        <x:v>HELD — COVERAGE</x:v>
      </x:c>
      <x:c r="AB363" s="13" t="str">
        <x:f>IF(L363&lt;&gt;"COVERED","HELD — COVERAGE",IF(T363="UNRESOLVED","G DECISION REQUIRED",IF(T363="NOT APPLICABLE","G N/A","G ACTIONABLE")))</x:f>
        <x:v>HELD — COVERAGE</x:v>
      </x:c>
      <x:c r="AC363" s="13" t="str">
        <x:f>IF(L363="UNRESOLVED","COVERAGE FIRST",IF(OR(L363="EXCLUDED",L363="OUT OF SCOPE"),"CLOSED BY COVERAGE",IF(AND(L363="COVERED",T363&lt;&gt;"UNRESOLVED"),"PARTIALLY ADOPTED","DECISIONS REMAIN")))</x:f>
        <x:v>COVERAGE FIRST</x:v>
      </x:c>
    </x:row>
    <x:row r="364">
      <x:c r="A364" s="13" t="str">
        <x:v>NAAFTC-HS6-050510</x:v>
      </x:c>
      <x:c r="B364" s="13" t="str">
        <x:v>050510</x:v>
      </x:c>
      <x:c r="C364" s="13" t="str">
        <x:v>05</x:v>
      </x:c>
      <x:c r="D364" s="13" t="str">
        <x:v>TRILATERAL_SPLIT_MERGE</x:v>
      </x:c>
      <x:c r="E364" s="13" t="str">
        <x:v>Pending</x:v>
      </x:c>
      <x:c r="F364" s="13" t="n">
        <x:v>4</x:v>
      </x:c>
      <x:c r="G364" s="13" t="n">
        <x:v>1</x:v>
      </x:c>
      <x:c r="H364" s="13" t="n">
        <x:v>1</x:v>
      </x:c>
      <x:c r="I364" s="13" t="str">
        <x:v>0505100050; 0505100055; 0505100060; 0505100065</x:v>
      </x:c>
      <x:c r="J364" s="13" t="str">
        <x:v>0505100100</x:v>
      </x:c>
      <x:c r="K364" s="13" t="str">
        <x:v>0505100000</x:v>
      </x:c>
      <x:c r="L364" s="13" t="str">
        <x:v>UNRESOLVED</x:v>
      </x:c>
      <x:c r="M364" s="13" t="str"/>
      <x:c r="N364" s="13" t="str">
        <x:v>NO / DEFAULT</x:v>
      </x:c>
      <x:c r="O364" s="13" t="str"/>
      <x:c r="P364" s="13" t="str">
        <x:v>NO / DEFAULT</x:v>
      </x:c>
      <x:c r="Q364" s="13" t="str"/>
      <x:c r="R364" s="13" t="str">
        <x:v>INDEPENDENT / DEFAULT</x:v>
      </x:c>
      <x:c r="S364" s="13" t="str"/>
      <x:c r="T364" s="13" t="str">
        <x:v>UNRESOLVED</x:v>
      </x:c>
      <x:c r="U364" s="13" t="str"/>
      <x:c r="V364" s="13" t="str"/>
      <x:c r="W364" s="13" t="str"/>
      <x:c r="X364" s="13" t="str">
        <x:f>IF(L364&lt;&gt;"COVERED","HELD — COVERAGE",IF(N364="YES — SENSITIVE","C ACTIONABLE","CHAPTER 5 DEFAULT"))</x:f>
        <x:v>HELD — COVERAGE</x:v>
      </x:c>
      <x:c r="Y364" s="13" t="str">
        <x:f>IF(L364&lt;&gt;"COVERED","HELD — COVERAGE",IF(P364="YES — MANAGED ACCESS","D ACTIONABLE","NO D FIELD"))</x:f>
        <x:v>HELD — COVERAGE</x:v>
      </x:c>
      <x:c r="Z364" s="13" t="str">
        <x:f>IF(L364&lt;&gt;"COVERED","HELD — COVERAGE",IF(OR(R364="PAIRED SYNCHRONIZED",R364="TRILATERAL SYNCHRONIZED"),"E ACTIONABLE","INDEPENDENT"))</x:f>
        <x:v>HELD — COVERAGE</x:v>
      </x:c>
      <x:c r="AA364" s="13" t="str">
        <x:f>IF(L364&lt;&gt;"COVERED","HELD — COVERAGE","WAIT FOR UPSTREAM COMPLETION")</x:f>
        <x:v>HELD — COVERAGE</x:v>
      </x:c>
      <x:c r="AB364" s="13" t="str">
        <x:f>IF(L364&lt;&gt;"COVERED","HELD — COVERAGE",IF(T364="UNRESOLVED","G DECISION REQUIRED",IF(T364="NOT APPLICABLE","G N/A","G ACTIONABLE")))</x:f>
        <x:v>HELD — COVERAGE</x:v>
      </x:c>
      <x:c r="AC364" s="13" t="str">
        <x:f>IF(L364="UNRESOLVED","COVERAGE FIRST",IF(OR(L364="EXCLUDED",L364="OUT OF SCOPE"),"CLOSED BY COVERAGE",IF(AND(L364="COVERED",T364&lt;&gt;"UNRESOLVED"),"PARTIALLY ADOPTED","DECISIONS REMAIN")))</x:f>
        <x:v>COVERAGE FIRST</x:v>
      </x:c>
    </x:row>
    <x:row r="365">
      <x:c r="A365" s="13" t="str">
        <x:v>NAAFTC-HS6-050590</x:v>
      </x:c>
      <x:c r="B365" s="13" t="str">
        <x:v>050590</x:v>
      </x:c>
      <x:c r="C365" s="13" t="str">
        <x:v>05</x:v>
      </x:c>
      <x:c r="D365" s="13" t="str">
        <x:v>TRILATERAL_SPLIT_MERGE</x:v>
      </x:c>
      <x:c r="E365" s="13" t="str">
        <x:v>Pending</x:v>
      </x:c>
      <x:c r="F365" s="13" t="n">
        <x:v>3</x:v>
      </x:c>
      <x:c r="G365" s="13" t="n">
        <x:v>1</x:v>
      </x:c>
      <x:c r="H365" s="13" t="n">
        <x:v>1</x:v>
      </x:c>
      <x:c r="I365" s="13" t="str">
        <x:v>0505902020; 0505902040; 0505906000</x:v>
      </x:c>
      <x:c r="J365" s="13" t="str">
        <x:v>0505909900</x:v>
      </x:c>
      <x:c r="K365" s="13" t="str">
        <x:v>05059000</x:v>
      </x:c>
      <x:c r="L365" s="13" t="str">
        <x:v>UNRESOLVED</x:v>
      </x:c>
      <x:c r="M365" s="13" t="str"/>
      <x:c r="N365" s="13" t="str">
        <x:v>NO / DEFAULT</x:v>
      </x:c>
      <x:c r="O365" s="13" t="str"/>
      <x:c r="P365" s="13" t="str">
        <x:v>NO / DEFAULT</x:v>
      </x:c>
      <x:c r="Q365" s="13" t="str"/>
      <x:c r="R365" s="13" t="str">
        <x:v>INDEPENDENT / DEFAULT</x:v>
      </x:c>
      <x:c r="S365" s="13" t="str"/>
      <x:c r="T365" s="13" t="str">
        <x:v>UNRESOLVED</x:v>
      </x:c>
      <x:c r="U365" s="13" t="str"/>
      <x:c r="V365" s="13" t="str"/>
      <x:c r="W365" s="13" t="str"/>
      <x:c r="X365" s="13" t="str">
        <x:f>IF(L365&lt;&gt;"COVERED","HELD — COVERAGE",IF(N365="YES — SENSITIVE","C ACTIONABLE","CHAPTER 5 DEFAULT"))</x:f>
        <x:v>HELD — COVERAGE</x:v>
      </x:c>
      <x:c r="Y365" s="13" t="str">
        <x:f>IF(L365&lt;&gt;"COVERED","HELD — COVERAGE",IF(P365="YES — MANAGED ACCESS","D ACTIONABLE","NO D FIELD"))</x:f>
        <x:v>HELD — COVERAGE</x:v>
      </x:c>
      <x:c r="Z365" s="13" t="str">
        <x:f>IF(L365&lt;&gt;"COVERED","HELD — COVERAGE",IF(OR(R365="PAIRED SYNCHRONIZED",R365="TRILATERAL SYNCHRONIZED"),"E ACTIONABLE","INDEPENDENT"))</x:f>
        <x:v>HELD — COVERAGE</x:v>
      </x:c>
      <x:c r="AA365" s="13" t="str">
        <x:f>IF(L365&lt;&gt;"COVERED","HELD — COVERAGE","WAIT FOR UPSTREAM COMPLETION")</x:f>
        <x:v>HELD — COVERAGE</x:v>
      </x:c>
      <x:c r="AB365" s="13" t="str">
        <x:f>IF(L365&lt;&gt;"COVERED","HELD — COVERAGE",IF(T365="UNRESOLVED","G DECISION REQUIRED",IF(T365="NOT APPLICABLE","G N/A","G ACTIONABLE")))</x:f>
        <x:v>HELD — COVERAGE</x:v>
      </x:c>
      <x:c r="AC365" s="13" t="str">
        <x:f>IF(L365="UNRESOLVED","COVERAGE FIRST",IF(OR(L365="EXCLUDED",L365="OUT OF SCOPE"),"CLOSED BY COVERAGE",IF(AND(L365="COVERED",T365&lt;&gt;"UNRESOLVED"),"PARTIALLY ADOPTED","DECISIONS REMAIN")))</x:f>
        <x:v>COVERAGE FIRST</x:v>
      </x:c>
    </x:row>
    <x:row r="366">
      <x:c r="A366" s="13" t="str">
        <x:v>NAAFTC-HS6-050610</x:v>
      </x:c>
      <x:c r="B366" s="13" t="str">
        <x:v>050610</x:v>
      </x:c>
      <x:c r="C366" s="13" t="str">
        <x:v>05</x:v>
      </x:c>
      <x:c r="D366" s="13" t="str">
        <x:v>TRILATERAL_1_TO_1_TO_1</x:v>
      </x:c>
      <x:c r="E366" s="13" t="str">
        <x:v>Pending</x:v>
      </x:c>
      <x:c r="F366" s="13" t="n">
        <x:v>1</x:v>
      </x:c>
      <x:c r="G366" s="13" t="n">
        <x:v>1</x:v>
      </x:c>
      <x:c r="H366" s="13" t="n">
        <x:v>1</x:v>
      </x:c>
      <x:c r="I366" s="13" t="str">
        <x:v>0506100000</x:v>
      </x:c>
      <x:c r="J366" s="13" t="str">
        <x:v>0506100100</x:v>
      </x:c>
      <x:c r="K366" s="13" t="str">
        <x:v>0506100000</x:v>
      </x:c>
      <x:c r="L366" s="13" t="str">
        <x:v>UNRESOLVED</x:v>
      </x:c>
      <x:c r="M366" s="13" t="str"/>
      <x:c r="N366" s="13" t="str">
        <x:v>NO / DEFAULT</x:v>
      </x:c>
      <x:c r="O366" s="13" t="str"/>
      <x:c r="P366" s="13" t="str">
        <x:v>NO / DEFAULT</x:v>
      </x:c>
      <x:c r="Q366" s="13" t="str"/>
      <x:c r="R366" s="13" t="str">
        <x:v>INDEPENDENT / DEFAULT</x:v>
      </x:c>
      <x:c r="S366" s="13" t="str"/>
      <x:c r="T366" s="13" t="str">
        <x:v>UNRESOLVED</x:v>
      </x:c>
      <x:c r="U366" s="13" t="str"/>
      <x:c r="V366" s="13" t="str"/>
      <x:c r="W366" s="13" t="str"/>
      <x:c r="X366" s="13" t="str">
        <x:f>IF(L366&lt;&gt;"COVERED","HELD — COVERAGE",IF(N366="YES — SENSITIVE","C ACTIONABLE","CHAPTER 5 DEFAULT"))</x:f>
        <x:v>HELD — COVERAGE</x:v>
      </x:c>
      <x:c r="Y366" s="13" t="str">
        <x:f>IF(L366&lt;&gt;"COVERED","HELD — COVERAGE",IF(P366="YES — MANAGED ACCESS","D ACTIONABLE","NO D FIELD"))</x:f>
        <x:v>HELD — COVERAGE</x:v>
      </x:c>
      <x:c r="Z366" s="13" t="str">
        <x:f>IF(L366&lt;&gt;"COVERED","HELD — COVERAGE",IF(OR(R366="PAIRED SYNCHRONIZED",R366="TRILATERAL SYNCHRONIZED"),"E ACTIONABLE","INDEPENDENT"))</x:f>
        <x:v>HELD — COVERAGE</x:v>
      </x:c>
      <x:c r="AA366" s="13" t="str">
        <x:f>IF(L366&lt;&gt;"COVERED","HELD — COVERAGE","WAIT FOR UPSTREAM COMPLETION")</x:f>
        <x:v>HELD — COVERAGE</x:v>
      </x:c>
      <x:c r="AB366" s="13" t="str">
        <x:f>IF(L366&lt;&gt;"COVERED","HELD — COVERAGE",IF(T366="UNRESOLVED","G DECISION REQUIRED",IF(T366="NOT APPLICABLE","G N/A","G ACTIONABLE")))</x:f>
        <x:v>HELD — COVERAGE</x:v>
      </x:c>
      <x:c r="AC366" s="13" t="str">
        <x:f>IF(L366="UNRESOLVED","COVERAGE FIRST",IF(OR(L366="EXCLUDED",L366="OUT OF SCOPE"),"CLOSED BY COVERAGE",IF(AND(L366="COVERED",T366&lt;&gt;"UNRESOLVED"),"PARTIALLY ADOPTED","DECISIONS REMAIN")))</x:f>
        <x:v>COVERAGE FIRST</x:v>
      </x:c>
    </x:row>
    <x:row r="367">
      <x:c r="A367" s="13" t="str">
        <x:v>NAAFTC-HS6-050690</x:v>
      </x:c>
      <x:c r="B367" s="13" t="str">
        <x:v>050690</x:v>
      </x:c>
      <x:c r="C367" s="13" t="str">
        <x:v>05</x:v>
      </x:c>
      <x:c r="D367" s="13" t="str">
        <x:v>TRILATERAL_SPLIT_MERGE</x:v>
      </x:c>
      <x:c r="E367" s="13" t="str">
        <x:v>Pending</x:v>
      </x:c>
      <x:c r="F367" s="13" t="n">
        <x:v>2</x:v>
      </x:c>
      <x:c r="G367" s="13" t="n">
        <x:v>1</x:v>
      </x:c>
      <x:c r="H367" s="13" t="n">
        <x:v>1</x:v>
      </x:c>
      <x:c r="I367" s="13" t="str">
        <x:v>0506900020; 0506900040</x:v>
      </x:c>
      <x:c r="J367" s="13" t="str">
        <x:v>0506909900</x:v>
      </x:c>
      <x:c r="K367" s="13" t="str">
        <x:v>05069000</x:v>
      </x:c>
      <x:c r="L367" s="13" t="str">
        <x:v>UNRESOLVED</x:v>
      </x:c>
      <x:c r="M367" s="13" t="str"/>
      <x:c r="N367" s="13" t="str">
        <x:v>NO / DEFAULT</x:v>
      </x:c>
      <x:c r="O367" s="13" t="str"/>
      <x:c r="P367" s="13" t="str">
        <x:v>NO / DEFAULT</x:v>
      </x:c>
      <x:c r="Q367" s="13" t="str"/>
      <x:c r="R367" s="13" t="str">
        <x:v>INDEPENDENT / DEFAULT</x:v>
      </x:c>
      <x:c r="S367" s="13" t="str"/>
      <x:c r="T367" s="13" t="str">
        <x:v>UNRESOLVED</x:v>
      </x:c>
      <x:c r="U367" s="13" t="str"/>
      <x:c r="V367" s="13" t="str"/>
      <x:c r="W367" s="13" t="str"/>
      <x:c r="X367" s="13" t="str">
        <x:f>IF(L367&lt;&gt;"COVERED","HELD — COVERAGE",IF(N367="YES — SENSITIVE","C ACTIONABLE","CHAPTER 5 DEFAULT"))</x:f>
        <x:v>HELD — COVERAGE</x:v>
      </x:c>
      <x:c r="Y367" s="13" t="str">
        <x:f>IF(L367&lt;&gt;"COVERED","HELD — COVERAGE",IF(P367="YES — MANAGED ACCESS","D ACTIONABLE","NO D FIELD"))</x:f>
        <x:v>HELD — COVERAGE</x:v>
      </x:c>
      <x:c r="Z367" s="13" t="str">
        <x:f>IF(L367&lt;&gt;"COVERED","HELD — COVERAGE",IF(OR(R367="PAIRED SYNCHRONIZED",R367="TRILATERAL SYNCHRONIZED"),"E ACTIONABLE","INDEPENDENT"))</x:f>
        <x:v>HELD — COVERAGE</x:v>
      </x:c>
      <x:c r="AA367" s="13" t="str">
        <x:f>IF(L367&lt;&gt;"COVERED","HELD — COVERAGE","WAIT FOR UPSTREAM COMPLETION")</x:f>
        <x:v>HELD — COVERAGE</x:v>
      </x:c>
      <x:c r="AB367" s="13" t="str">
        <x:f>IF(L367&lt;&gt;"COVERED","HELD — COVERAGE",IF(T367="UNRESOLVED","G DECISION REQUIRED",IF(T367="NOT APPLICABLE","G N/A","G ACTIONABLE")))</x:f>
        <x:v>HELD — COVERAGE</x:v>
      </x:c>
      <x:c r="AC367" s="13" t="str">
        <x:f>IF(L367="UNRESOLVED","COVERAGE FIRST",IF(OR(L367="EXCLUDED",L367="OUT OF SCOPE"),"CLOSED BY COVERAGE",IF(AND(L367="COVERED",T367&lt;&gt;"UNRESOLVED"),"PARTIALLY ADOPTED","DECISIONS REMAIN")))</x:f>
        <x:v>COVERAGE FIRST</x:v>
      </x:c>
    </x:row>
    <x:row r="368">
      <x:c r="A368" s="13" t="str">
        <x:v>NAAFTC-HS6-050710</x:v>
      </x:c>
      <x:c r="B368" s="13" t="str">
        <x:v>050710</x:v>
      </x:c>
      <x:c r="C368" s="13" t="str">
        <x:v>05</x:v>
      </x:c>
      <x:c r="D368" s="13" t="str">
        <x:v>TRILATERAL_1_TO_1_TO_1</x:v>
      </x:c>
      <x:c r="E368" s="13" t="str">
        <x:v>Pending</x:v>
      </x:c>
      <x:c r="F368" s="13" t="n">
        <x:v>1</x:v>
      </x:c>
      <x:c r="G368" s="13" t="n">
        <x:v>1</x:v>
      </x:c>
      <x:c r="H368" s="13" t="n">
        <x:v>1</x:v>
      </x:c>
      <x:c r="I368" s="13" t="str">
        <x:v>0507100000</x:v>
      </x:c>
      <x:c r="J368" s="13" t="str">
        <x:v>0507100100</x:v>
      </x:c>
      <x:c r="K368" s="13" t="str">
        <x:v>0507100000</x:v>
      </x:c>
      <x:c r="L368" s="13" t="str">
        <x:v>UNRESOLVED</x:v>
      </x:c>
      <x:c r="M368" s="13" t="str"/>
      <x:c r="N368" s="13" t="str">
        <x:v>NO / DEFAULT</x:v>
      </x:c>
      <x:c r="O368" s="13" t="str"/>
      <x:c r="P368" s="13" t="str">
        <x:v>NO / DEFAULT</x:v>
      </x:c>
      <x:c r="Q368" s="13" t="str"/>
      <x:c r="R368" s="13" t="str">
        <x:v>INDEPENDENT / DEFAULT</x:v>
      </x:c>
      <x:c r="S368" s="13" t="str"/>
      <x:c r="T368" s="13" t="str">
        <x:v>UNRESOLVED</x:v>
      </x:c>
      <x:c r="U368" s="13" t="str"/>
      <x:c r="V368" s="13" t="str"/>
      <x:c r="W368" s="13" t="str"/>
      <x:c r="X368" s="13" t="str">
        <x:f>IF(L368&lt;&gt;"COVERED","HELD — COVERAGE",IF(N368="YES — SENSITIVE","C ACTIONABLE","CHAPTER 5 DEFAULT"))</x:f>
        <x:v>HELD — COVERAGE</x:v>
      </x:c>
      <x:c r="Y368" s="13" t="str">
        <x:f>IF(L368&lt;&gt;"COVERED","HELD — COVERAGE",IF(P368="YES — MANAGED ACCESS","D ACTIONABLE","NO D FIELD"))</x:f>
        <x:v>HELD — COVERAGE</x:v>
      </x:c>
      <x:c r="Z368" s="13" t="str">
        <x:f>IF(L368&lt;&gt;"COVERED","HELD — COVERAGE",IF(OR(R368="PAIRED SYNCHRONIZED",R368="TRILATERAL SYNCHRONIZED"),"E ACTIONABLE","INDEPENDENT"))</x:f>
        <x:v>HELD — COVERAGE</x:v>
      </x:c>
      <x:c r="AA368" s="13" t="str">
        <x:f>IF(L368&lt;&gt;"COVERED","HELD — COVERAGE","WAIT FOR UPSTREAM COMPLETION")</x:f>
        <x:v>HELD — COVERAGE</x:v>
      </x:c>
      <x:c r="AB368" s="13" t="str">
        <x:f>IF(L368&lt;&gt;"COVERED","HELD — COVERAGE",IF(T368="UNRESOLVED","G DECISION REQUIRED",IF(T368="NOT APPLICABLE","G N/A","G ACTIONABLE")))</x:f>
        <x:v>HELD — COVERAGE</x:v>
      </x:c>
      <x:c r="AC368" s="13" t="str">
        <x:f>IF(L368="UNRESOLVED","COVERAGE FIRST",IF(OR(L368="EXCLUDED",L368="OUT OF SCOPE"),"CLOSED BY COVERAGE",IF(AND(L368="COVERED",T368&lt;&gt;"UNRESOLVED"),"PARTIALLY ADOPTED","DECISIONS REMAIN")))</x:f>
        <x:v>COVERAGE FIRST</x:v>
      </x:c>
    </x:row>
    <x:row r="369">
      <x:c r="A369" s="13" t="str">
        <x:v>NAAFTC-HS6-050790</x:v>
      </x:c>
      <x:c r="B369" s="13" t="str">
        <x:v>050790</x:v>
      </x:c>
      <x:c r="C369" s="13" t="str">
        <x:v>05</x:v>
      </x:c>
      <x:c r="D369" s="13" t="str">
        <x:v>TRILATERAL_SPLIT_MERGE</x:v>
      </x:c>
      <x:c r="E369" s="13" t="str">
        <x:v>Pending</x:v>
      </x:c>
      <x:c r="F369" s="13" t="n">
        <x:v>2</x:v>
      </x:c>
      <x:c r="G369" s="13" t="n">
        <x:v>1</x:v>
      </x:c>
      <x:c r="H369" s="13" t="n">
        <x:v>1</x:v>
      </x:c>
      <x:c r="I369" s="13" t="str">
        <x:v>0507900010; 0507900090</x:v>
      </x:c>
      <x:c r="J369" s="13" t="str">
        <x:v>0507909900</x:v>
      </x:c>
      <x:c r="K369" s="13" t="str">
        <x:v>0507900000</x:v>
      </x:c>
      <x:c r="L369" s="13" t="str">
        <x:v>UNRESOLVED</x:v>
      </x:c>
      <x:c r="M369" s="13" t="str"/>
      <x:c r="N369" s="13" t="str">
        <x:v>NO / DEFAULT</x:v>
      </x:c>
      <x:c r="O369" s="13" t="str"/>
      <x:c r="P369" s="13" t="str">
        <x:v>NO / DEFAULT</x:v>
      </x:c>
      <x:c r="Q369" s="13" t="str"/>
      <x:c r="R369" s="13" t="str">
        <x:v>INDEPENDENT / DEFAULT</x:v>
      </x:c>
      <x:c r="S369" s="13" t="str"/>
      <x:c r="T369" s="13" t="str">
        <x:v>UNRESOLVED</x:v>
      </x:c>
      <x:c r="U369" s="13" t="str"/>
      <x:c r="V369" s="13" t="str"/>
      <x:c r="W369" s="13" t="str"/>
      <x:c r="X369" s="13" t="str">
        <x:f>IF(L369&lt;&gt;"COVERED","HELD — COVERAGE",IF(N369="YES — SENSITIVE","C ACTIONABLE","CHAPTER 5 DEFAULT"))</x:f>
        <x:v>HELD — COVERAGE</x:v>
      </x:c>
      <x:c r="Y369" s="13" t="str">
        <x:f>IF(L369&lt;&gt;"COVERED","HELD — COVERAGE",IF(P369="YES — MANAGED ACCESS","D ACTIONABLE","NO D FIELD"))</x:f>
        <x:v>HELD — COVERAGE</x:v>
      </x:c>
      <x:c r="Z369" s="13" t="str">
        <x:f>IF(L369&lt;&gt;"COVERED","HELD — COVERAGE",IF(OR(R369="PAIRED SYNCHRONIZED",R369="TRILATERAL SYNCHRONIZED"),"E ACTIONABLE","INDEPENDENT"))</x:f>
        <x:v>HELD — COVERAGE</x:v>
      </x:c>
      <x:c r="AA369" s="13" t="str">
        <x:f>IF(L369&lt;&gt;"COVERED","HELD — COVERAGE","WAIT FOR UPSTREAM COMPLETION")</x:f>
        <x:v>HELD — COVERAGE</x:v>
      </x:c>
      <x:c r="AB369" s="13" t="str">
        <x:f>IF(L369&lt;&gt;"COVERED","HELD — COVERAGE",IF(T369="UNRESOLVED","G DECISION REQUIRED",IF(T369="NOT APPLICABLE","G N/A","G ACTIONABLE")))</x:f>
        <x:v>HELD — COVERAGE</x:v>
      </x:c>
      <x:c r="AC369" s="13" t="str">
        <x:f>IF(L369="UNRESOLVED","COVERAGE FIRST",IF(OR(L369="EXCLUDED",L369="OUT OF SCOPE"),"CLOSED BY COVERAGE",IF(AND(L369="COVERED",T369&lt;&gt;"UNRESOLVED"),"PARTIALLY ADOPTED","DECISIONS REMAIN")))</x:f>
        <x:v>COVERAGE FIRST</x:v>
      </x:c>
    </x:row>
    <x:row r="370">
      <x:c r="A370" s="13" t="str">
        <x:v>NAAFTC-HS6-050800</x:v>
      </x:c>
      <x:c r="B370" s="13" t="str">
        <x:v>050800</x:v>
      </x:c>
      <x:c r="C370" s="13" t="str">
        <x:v>05</x:v>
      </x:c>
      <x:c r="D370" s="13" t="str">
        <x:v>TRILATERAL_1_TO_1_TO_1</x:v>
      </x:c>
      <x:c r="E370" s="13" t="str">
        <x:v>Pending</x:v>
      </x:c>
      <x:c r="F370" s="13" t="n">
        <x:v>1</x:v>
      </x:c>
      <x:c r="G370" s="13" t="n">
        <x:v>1</x:v>
      </x:c>
      <x:c r="H370" s="13" t="n">
        <x:v>1</x:v>
      </x:c>
      <x:c r="I370" s="13" t="str">
        <x:v>0508000000</x:v>
      </x:c>
      <x:c r="J370" s="13" t="str">
        <x:v>0508000200</x:v>
      </x:c>
      <x:c r="K370" s="13" t="str">
        <x:v>05080000</x:v>
      </x:c>
      <x:c r="L370" s="13" t="str">
        <x:v>UNRESOLVED</x:v>
      </x:c>
      <x:c r="M370" s="13" t="str"/>
      <x:c r="N370" s="13" t="str">
        <x:v>NO / DEFAULT</x:v>
      </x:c>
      <x:c r="O370" s="13" t="str"/>
      <x:c r="P370" s="13" t="str">
        <x:v>NO / DEFAULT</x:v>
      </x:c>
      <x:c r="Q370" s="13" t="str"/>
      <x:c r="R370" s="13" t="str">
        <x:v>INDEPENDENT / DEFAULT</x:v>
      </x:c>
      <x:c r="S370" s="13" t="str"/>
      <x:c r="T370" s="13" t="str">
        <x:v>UNRESOLVED</x:v>
      </x:c>
      <x:c r="U370" s="13" t="str"/>
      <x:c r="V370" s="13" t="str"/>
      <x:c r="W370" s="13" t="str"/>
      <x:c r="X370" s="13" t="str">
        <x:f>IF(L370&lt;&gt;"COVERED","HELD — COVERAGE",IF(N370="YES — SENSITIVE","C ACTIONABLE","CHAPTER 5 DEFAULT"))</x:f>
        <x:v>HELD — COVERAGE</x:v>
      </x:c>
      <x:c r="Y370" s="13" t="str">
        <x:f>IF(L370&lt;&gt;"COVERED","HELD — COVERAGE",IF(P370="YES — MANAGED ACCESS","D ACTIONABLE","NO D FIELD"))</x:f>
        <x:v>HELD — COVERAGE</x:v>
      </x:c>
      <x:c r="Z370" s="13" t="str">
        <x:f>IF(L370&lt;&gt;"COVERED","HELD — COVERAGE",IF(OR(R370="PAIRED SYNCHRONIZED",R370="TRILATERAL SYNCHRONIZED"),"E ACTIONABLE","INDEPENDENT"))</x:f>
        <x:v>HELD — COVERAGE</x:v>
      </x:c>
      <x:c r="AA370" s="13" t="str">
        <x:f>IF(L370&lt;&gt;"COVERED","HELD — COVERAGE","WAIT FOR UPSTREAM COMPLETION")</x:f>
        <x:v>HELD — COVERAGE</x:v>
      </x:c>
      <x:c r="AB370" s="13" t="str">
        <x:f>IF(L370&lt;&gt;"COVERED","HELD — COVERAGE",IF(T370="UNRESOLVED","G DECISION REQUIRED",IF(T370="NOT APPLICABLE","G N/A","G ACTIONABLE")))</x:f>
        <x:v>HELD — COVERAGE</x:v>
      </x:c>
      <x:c r="AC370" s="13" t="str">
        <x:f>IF(L370="UNRESOLVED","COVERAGE FIRST",IF(OR(L370="EXCLUDED",L370="OUT OF SCOPE"),"CLOSED BY COVERAGE",IF(AND(L370="COVERED",T370&lt;&gt;"UNRESOLVED"),"PARTIALLY ADOPTED","DECISIONS REMAIN")))</x:f>
        <x:v>COVERAGE FIRST</x:v>
      </x:c>
    </x:row>
    <x:row r="371">
      <x:c r="A371" s="13" t="str">
        <x:v>NAAFTC-HS6-051000</x:v>
      </x:c>
      <x:c r="B371" s="13" t="str">
        <x:v>051000</x:v>
      </x:c>
      <x:c r="C371" s="13" t="str">
        <x:v>05</x:v>
      </x:c>
      <x:c r="D371" s="13" t="str">
        <x:v>TRILATERAL_SPLIT_MERGE</x:v>
      </x:c>
      <x:c r="E371" s="13" t="str">
        <x:v>Pending</x:v>
      </x:c>
      <x:c r="F371" s="13" t="n">
        <x:v>4</x:v>
      </x:c>
      <x:c r="G371" s="13" t="n">
        <x:v>1</x:v>
      </x:c>
      <x:c r="H371" s="13" t="n">
        <x:v>1</x:v>
      </x:c>
      <x:c r="I371" s="13" t="str">
        <x:v>0510002000; 0510004010; 0510004020; 0510004040</x:v>
      </x:c>
      <x:c r="J371" s="13" t="str">
        <x:v>0510000400</x:v>
      </x:c>
      <x:c r="K371" s="13" t="str">
        <x:v>0510000000</x:v>
      </x:c>
      <x:c r="L371" s="13" t="str">
        <x:v>UNRESOLVED</x:v>
      </x:c>
      <x:c r="M371" s="13" t="str"/>
      <x:c r="N371" s="13" t="str">
        <x:v>NO / DEFAULT</x:v>
      </x:c>
      <x:c r="O371" s="13" t="str"/>
      <x:c r="P371" s="13" t="str">
        <x:v>NO / DEFAULT</x:v>
      </x:c>
      <x:c r="Q371" s="13" t="str"/>
      <x:c r="R371" s="13" t="str">
        <x:v>INDEPENDENT / DEFAULT</x:v>
      </x:c>
      <x:c r="S371" s="13" t="str"/>
      <x:c r="T371" s="13" t="str">
        <x:v>UNRESOLVED</x:v>
      </x:c>
      <x:c r="U371" s="13" t="str"/>
      <x:c r="V371" s="13" t="str"/>
      <x:c r="W371" s="13" t="str"/>
      <x:c r="X371" s="13" t="str">
        <x:f>IF(L371&lt;&gt;"COVERED","HELD — COVERAGE",IF(N371="YES — SENSITIVE","C ACTIONABLE","CHAPTER 5 DEFAULT"))</x:f>
        <x:v>HELD — COVERAGE</x:v>
      </x:c>
      <x:c r="Y371" s="13" t="str">
        <x:f>IF(L371&lt;&gt;"COVERED","HELD — COVERAGE",IF(P371="YES — MANAGED ACCESS","D ACTIONABLE","NO D FIELD"))</x:f>
        <x:v>HELD — COVERAGE</x:v>
      </x:c>
      <x:c r="Z371" s="13" t="str">
        <x:f>IF(L371&lt;&gt;"COVERED","HELD — COVERAGE",IF(OR(R371="PAIRED SYNCHRONIZED",R371="TRILATERAL SYNCHRONIZED"),"E ACTIONABLE","INDEPENDENT"))</x:f>
        <x:v>HELD — COVERAGE</x:v>
      </x:c>
      <x:c r="AA371" s="13" t="str">
        <x:f>IF(L371&lt;&gt;"COVERED","HELD — COVERAGE","WAIT FOR UPSTREAM COMPLETION")</x:f>
        <x:v>HELD — COVERAGE</x:v>
      </x:c>
      <x:c r="AB371" s="13" t="str">
        <x:f>IF(L371&lt;&gt;"COVERED","HELD — COVERAGE",IF(T371="UNRESOLVED","G DECISION REQUIRED",IF(T371="NOT APPLICABLE","G N/A","G ACTIONABLE")))</x:f>
        <x:v>HELD — COVERAGE</x:v>
      </x:c>
      <x:c r="AC371" s="13" t="str">
        <x:f>IF(L371="UNRESOLVED","COVERAGE FIRST",IF(OR(L371="EXCLUDED",L371="OUT OF SCOPE"),"CLOSED BY COVERAGE",IF(AND(L371="COVERED",T371&lt;&gt;"UNRESOLVED"),"PARTIALLY ADOPTED","DECISIONS REMAIN")))</x:f>
        <x:v>COVERAGE FIRST</x:v>
      </x:c>
    </x:row>
    <x:row r="372">
      <x:c r="A372" s="13" t="str">
        <x:v>NAAFTC-HS6-051110</x:v>
      </x:c>
      <x:c r="B372" s="13" t="str">
        <x:v>051110</x:v>
      </x:c>
      <x:c r="C372" s="13" t="str">
        <x:v>05</x:v>
      </x:c>
      <x:c r="D372" s="13" t="str">
        <x:v>TRILATERAL_SPLIT_MERGE</x:v>
      </x:c>
      <x:c r="E372" s="13" t="str">
        <x:v>Pending</x:v>
      </x:c>
      <x:c r="F372" s="13" t="n">
        <x:v>2</x:v>
      </x:c>
      <x:c r="G372" s="13" t="n">
        <x:v>1</x:v>
      </x:c>
      <x:c r="H372" s="13" t="n">
        <x:v>1</x:v>
      </x:c>
      <x:c r="I372" s="13" t="str">
        <x:v>0511100010; 0511100090</x:v>
      </x:c>
      <x:c r="J372" s="13" t="str">
        <x:v>0511100100</x:v>
      </x:c>
      <x:c r="K372" s="13" t="str">
        <x:v>05111000</x:v>
      </x:c>
      <x:c r="L372" s="13" t="str">
        <x:v>UNRESOLVED</x:v>
      </x:c>
      <x:c r="M372" s="13" t="str"/>
      <x:c r="N372" s="13" t="str">
        <x:v>NO / DEFAULT</x:v>
      </x:c>
      <x:c r="O372" s="13" t="str"/>
      <x:c r="P372" s="13" t="str">
        <x:v>NO / DEFAULT</x:v>
      </x:c>
      <x:c r="Q372" s="13" t="str"/>
      <x:c r="R372" s="13" t="str">
        <x:v>INDEPENDENT / DEFAULT</x:v>
      </x:c>
      <x:c r="S372" s="13" t="str"/>
      <x:c r="T372" s="13" t="str">
        <x:v>UNRESOLVED</x:v>
      </x:c>
      <x:c r="U372" s="13" t="str"/>
      <x:c r="V372" s="13" t="str"/>
      <x:c r="W372" s="13" t="str"/>
      <x:c r="X372" s="13" t="str">
        <x:f>IF(L372&lt;&gt;"COVERED","HELD — COVERAGE",IF(N372="YES — SENSITIVE","C ACTIONABLE","CHAPTER 5 DEFAULT"))</x:f>
        <x:v>HELD — COVERAGE</x:v>
      </x:c>
      <x:c r="Y372" s="13" t="str">
        <x:f>IF(L372&lt;&gt;"COVERED","HELD — COVERAGE",IF(P372="YES — MANAGED ACCESS","D ACTIONABLE","NO D FIELD"))</x:f>
        <x:v>HELD — COVERAGE</x:v>
      </x:c>
      <x:c r="Z372" s="13" t="str">
        <x:f>IF(L372&lt;&gt;"COVERED","HELD — COVERAGE",IF(OR(R372="PAIRED SYNCHRONIZED",R372="TRILATERAL SYNCHRONIZED"),"E ACTIONABLE","INDEPENDENT"))</x:f>
        <x:v>HELD — COVERAGE</x:v>
      </x:c>
      <x:c r="AA372" s="13" t="str">
        <x:f>IF(L372&lt;&gt;"COVERED","HELD — COVERAGE","WAIT FOR UPSTREAM COMPLETION")</x:f>
        <x:v>HELD — COVERAGE</x:v>
      </x:c>
      <x:c r="AB372" s="13" t="str">
        <x:f>IF(L372&lt;&gt;"COVERED","HELD — COVERAGE",IF(T372="UNRESOLVED","G DECISION REQUIRED",IF(T372="NOT APPLICABLE","G N/A","G ACTIONABLE")))</x:f>
        <x:v>HELD — COVERAGE</x:v>
      </x:c>
      <x:c r="AC372" s="13" t="str">
        <x:f>IF(L372="UNRESOLVED","COVERAGE FIRST",IF(OR(L372="EXCLUDED",L372="OUT OF SCOPE"),"CLOSED BY COVERAGE",IF(AND(L372="COVERED",T372&lt;&gt;"UNRESOLVED"),"PARTIALLY ADOPTED","DECISIONS REMAIN")))</x:f>
        <x:v>COVERAGE FIRST</x:v>
      </x:c>
    </x:row>
    <x:row r="373">
      <x:c r="A373" s="13" t="str">
        <x:v>NAAFTC-HS6-051191</x:v>
      </x:c>
      <x:c r="B373" s="13" t="str">
        <x:v>051191</x:v>
      </x:c>
      <x:c r="C373" s="13" t="str">
        <x:v>05</x:v>
      </x:c>
      <x:c r="D373" s="13" t="str">
        <x:v>TRILATERAL_SPLIT_MERGE</x:v>
      </x:c>
      <x:c r="E373" s="13" t="str">
        <x:v>Pending</x:v>
      </x:c>
      <x:c r="F373" s="13" t="n">
        <x:v>2</x:v>
      </x:c>
      <x:c r="G373" s="13" t="n">
        <x:v>3</x:v>
      </x:c>
      <x:c r="H373" s="13" t="n">
        <x:v>1</x:v>
      </x:c>
      <x:c r="I373" s="13" t="str">
        <x:v>0511910010; 0511910090</x:v>
      </x:c>
      <x:c r="J373" s="13" t="str">
        <x:v>0511910200; 0511919901; 0511919999</x:v>
      </x:c>
      <x:c r="K373" s="13" t="str">
        <x:v>05119100</x:v>
      </x:c>
      <x:c r="L373" s="13" t="str">
        <x:v>UNRESOLVED</x:v>
      </x:c>
      <x:c r="M373" s="13" t="str"/>
      <x:c r="N373" s="13" t="str">
        <x:v>NO / DEFAULT</x:v>
      </x:c>
      <x:c r="O373" s="13" t="str"/>
      <x:c r="P373" s="13" t="str">
        <x:v>NO / DEFAULT</x:v>
      </x:c>
      <x:c r="Q373" s="13" t="str"/>
      <x:c r="R373" s="13" t="str">
        <x:v>INDEPENDENT / DEFAULT</x:v>
      </x:c>
      <x:c r="S373" s="13" t="str"/>
      <x:c r="T373" s="13" t="str">
        <x:v>UNRESOLVED</x:v>
      </x:c>
      <x:c r="U373" s="13" t="str"/>
      <x:c r="V373" s="13" t="str"/>
      <x:c r="W373" s="13" t="str"/>
      <x:c r="X373" s="13" t="str">
        <x:f>IF(L373&lt;&gt;"COVERED","HELD — COVERAGE",IF(N373="YES — SENSITIVE","C ACTIONABLE","CHAPTER 5 DEFAULT"))</x:f>
        <x:v>HELD — COVERAGE</x:v>
      </x:c>
      <x:c r="Y373" s="13" t="str">
        <x:f>IF(L373&lt;&gt;"COVERED","HELD — COVERAGE",IF(P373="YES — MANAGED ACCESS","D ACTIONABLE","NO D FIELD"))</x:f>
        <x:v>HELD — COVERAGE</x:v>
      </x:c>
      <x:c r="Z373" s="13" t="str">
        <x:f>IF(L373&lt;&gt;"COVERED","HELD — COVERAGE",IF(OR(R373="PAIRED SYNCHRONIZED",R373="TRILATERAL SYNCHRONIZED"),"E ACTIONABLE","INDEPENDENT"))</x:f>
        <x:v>HELD — COVERAGE</x:v>
      </x:c>
      <x:c r="AA373" s="13" t="str">
        <x:f>IF(L373&lt;&gt;"COVERED","HELD — COVERAGE","WAIT FOR UPSTREAM COMPLETION")</x:f>
        <x:v>HELD — COVERAGE</x:v>
      </x:c>
      <x:c r="AB373" s="13" t="str">
        <x:f>IF(L373&lt;&gt;"COVERED","HELD — COVERAGE",IF(T373="UNRESOLVED","G DECISION REQUIRED",IF(T373="NOT APPLICABLE","G N/A","G ACTIONABLE")))</x:f>
        <x:v>HELD — COVERAGE</x:v>
      </x:c>
      <x:c r="AC373" s="13" t="str">
        <x:f>IF(L373="UNRESOLVED","COVERAGE FIRST",IF(OR(L373="EXCLUDED",L373="OUT OF SCOPE"),"CLOSED BY COVERAGE",IF(AND(L373="COVERED",T373&lt;&gt;"UNRESOLVED"),"PARTIALLY ADOPTED","DECISIONS REMAIN")))</x:f>
        <x:v>COVERAGE FIRST</x:v>
      </x:c>
    </x:row>
    <x:row r="374">
      <x:c r="A374" s="13" t="str">
        <x:v>NAAFTC-HS6-051199</x:v>
      </x:c>
      <x:c r="B374" s="13" t="str">
        <x:v>051199</x:v>
      </x:c>
      <x:c r="C374" s="13" t="str">
        <x:v>05</x:v>
      </x:c>
      <x:c r="D374" s="13" t="str">
        <x:v>TRILATERAL_SPLIT_MERGE</x:v>
      </x:c>
      <x:c r="E374" s="13" t="str">
        <x:v>Pending</x:v>
      </x:c>
      <x:c r="F374" s="13" t="n">
        <x:v>10</x:v>
      </x:c>
      <x:c r="G374" s="13" t="n">
        <x:v>8</x:v>
      </x:c>
      <x:c r="H374" s="13" t="n">
        <x:v>1</x:v>
      </x:c>
      <x:c r="I374" s="13" t="str">
        <x:v>0511992000; 0511993030; 0511993060; 0511993300; 0511993600; 0511994024; +4 more</x:v>
      </x:c>
      <x:c r="J374" s="13" t="str">
        <x:v>0511990100; 0511990300; 0511990400; 0511990500; 0511990800; 0511999901; +2 more</x:v>
      </x:c>
      <x:c r="K374" s="13" t="str">
        <x:v>05119900</x:v>
      </x:c>
      <x:c r="L374" s="13" t="str">
        <x:v>UNRESOLVED</x:v>
      </x:c>
      <x:c r="M374" s="13" t="str"/>
      <x:c r="N374" s="13" t="str">
        <x:v>NO / DEFAULT</x:v>
      </x:c>
      <x:c r="O374" s="13" t="str"/>
      <x:c r="P374" s="13" t="str">
        <x:v>NO / DEFAULT</x:v>
      </x:c>
      <x:c r="Q374" s="13" t="str"/>
      <x:c r="R374" s="13" t="str">
        <x:v>INDEPENDENT / DEFAULT</x:v>
      </x:c>
      <x:c r="S374" s="13" t="str"/>
      <x:c r="T374" s="13" t="str">
        <x:v>UNRESOLVED</x:v>
      </x:c>
      <x:c r="U374" s="13" t="str"/>
      <x:c r="V374" s="13" t="str"/>
      <x:c r="W374" s="13" t="str"/>
      <x:c r="X374" s="13" t="str">
        <x:f>IF(L374&lt;&gt;"COVERED","HELD — COVERAGE",IF(N374="YES — SENSITIVE","C ACTIONABLE","CHAPTER 5 DEFAULT"))</x:f>
        <x:v>HELD — COVERAGE</x:v>
      </x:c>
      <x:c r="Y374" s="13" t="str">
        <x:f>IF(L374&lt;&gt;"COVERED","HELD — COVERAGE",IF(P374="YES — MANAGED ACCESS","D ACTIONABLE","NO D FIELD"))</x:f>
        <x:v>HELD — COVERAGE</x:v>
      </x:c>
      <x:c r="Z374" s="13" t="str">
        <x:f>IF(L374&lt;&gt;"COVERED","HELD — COVERAGE",IF(OR(R374="PAIRED SYNCHRONIZED",R374="TRILATERAL SYNCHRONIZED"),"E ACTIONABLE","INDEPENDENT"))</x:f>
        <x:v>HELD — COVERAGE</x:v>
      </x:c>
      <x:c r="AA374" s="13" t="str">
        <x:f>IF(L374&lt;&gt;"COVERED","HELD — COVERAGE","WAIT FOR UPSTREAM COMPLETION")</x:f>
        <x:v>HELD — COVERAGE</x:v>
      </x:c>
      <x:c r="AB374" s="13" t="str">
        <x:f>IF(L374&lt;&gt;"COVERED","HELD — COVERAGE",IF(T374="UNRESOLVED","G DECISION REQUIRED",IF(T374="NOT APPLICABLE","G N/A","G ACTIONABLE")))</x:f>
        <x:v>HELD — COVERAGE</x:v>
      </x:c>
      <x:c r="AC374" s="13" t="str">
        <x:f>IF(L374="UNRESOLVED","COVERAGE FIRST",IF(OR(L374="EXCLUDED",L374="OUT OF SCOPE"),"CLOSED BY COVERAGE",IF(AND(L374="COVERED",T374&lt;&gt;"UNRESOLVED"),"PARTIALLY ADOPTED","DECISIONS REMAIN")))</x:f>
        <x:v>COVERAGE FIRST</x:v>
      </x:c>
    </x:row>
    <x:row r="375">
      <x:c r="A375" s="13" t="str">
        <x:v>NAAFTC-HS6-060110</x:v>
      </x:c>
      <x:c r="B375" s="13" t="str">
        <x:v>060110</x:v>
      </x:c>
      <x:c r="C375" s="13" t="str">
        <x:v>06</x:v>
      </x:c>
      <x:c r="D375" s="13" t="str">
        <x:v>TRILATERAL_SPLIT_MERGE</x:v>
      </x:c>
      <x:c r="E375" s="13" t="str">
        <x:v>Pending</x:v>
      </x:c>
      <x:c r="F375" s="13" t="n">
        <x:v>10</x:v>
      </x:c>
      <x:c r="G375" s="13" t="n">
        <x:v>4</x:v>
      </x:c>
      <x:c r="H375" s="13" t="n">
        <x:v>4</x:v>
      </x:c>
      <x:c r="I375" s="13" t="str">
        <x:v>0601101500; 0601103000; 0601104500; 0601106000; 0601107500; 0601108500; +4 more</x:v>
      </x:c>
      <x:c r="J375" s="13" t="str">
        <x:v>0601100901; 0601100902; 0601100903; 0601100999</x:v>
      </x:c>
      <x:c r="K375" s="13" t="str">
        <x:v>0601101100; 06011019; 06011021; 0601102900</x:v>
      </x:c>
      <x:c r="L375" s="13" t="str">
        <x:v>UNRESOLVED</x:v>
      </x:c>
      <x:c r="M375" s="13" t="str"/>
      <x:c r="N375" s="13" t="str">
        <x:v>NO / DEFAULT</x:v>
      </x:c>
      <x:c r="O375" s="13" t="str"/>
      <x:c r="P375" s="13" t="str">
        <x:v>NO / DEFAULT</x:v>
      </x:c>
      <x:c r="Q375" s="13" t="str"/>
      <x:c r="R375" s="13" t="str">
        <x:v>INDEPENDENT / DEFAULT</x:v>
      </x:c>
      <x:c r="S375" s="13" t="str"/>
      <x:c r="T375" s="13" t="str">
        <x:v>UNRESOLVED</x:v>
      </x:c>
      <x:c r="U375" s="13" t="str"/>
      <x:c r="V375" s="13" t="str"/>
      <x:c r="W375" s="13" t="str"/>
      <x:c r="X375" s="13" t="str">
        <x:f>IF(L375&lt;&gt;"COVERED","HELD — COVERAGE",IF(N375="YES — SENSITIVE","C ACTIONABLE","CHAPTER 5 DEFAULT"))</x:f>
        <x:v>HELD — COVERAGE</x:v>
      </x:c>
      <x:c r="Y375" s="13" t="str">
        <x:f>IF(L375&lt;&gt;"COVERED","HELD — COVERAGE",IF(P375="YES — MANAGED ACCESS","D ACTIONABLE","NO D FIELD"))</x:f>
        <x:v>HELD — COVERAGE</x:v>
      </x:c>
      <x:c r="Z375" s="13" t="str">
        <x:f>IF(L375&lt;&gt;"COVERED","HELD — COVERAGE",IF(OR(R375="PAIRED SYNCHRONIZED",R375="TRILATERAL SYNCHRONIZED"),"E ACTIONABLE","INDEPENDENT"))</x:f>
        <x:v>HELD — COVERAGE</x:v>
      </x:c>
      <x:c r="AA375" s="13" t="str">
        <x:f>IF(L375&lt;&gt;"COVERED","HELD — COVERAGE","WAIT FOR UPSTREAM COMPLETION")</x:f>
        <x:v>HELD — COVERAGE</x:v>
      </x:c>
      <x:c r="AB375" s="13" t="str">
        <x:f>IF(L375&lt;&gt;"COVERED","HELD — COVERAGE",IF(T375="UNRESOLVED","G DECISION REQUIRED",IF(T375="NOT APPLICABLE","G N/A","G ACTIONABLE")))</x:f>
        <x:v>HELD — COVERAGE</x:v>
      </x:c>
      <x:c r="AC375" s="13" t="str">
        <x:f>IF(L375="UNRESOLVED","COVERAGE FIRST",IF(OR(L375="EXCLUDED",L375="OUT OF SCOPE"),"CLOSED BY COVERAGE",IF(AND(L375="COVERED",T375&lt;&gt;"UNRESOLVED"),"PARTIALLY ADOPTED","DECISIONS REMAIN")))</x:f>
        <x:v>COVERAGE FIRST</x:v>
      </x:c>
    </x:row>
    <x:row r="376">
      <x:c r="A376" s="13" t="str">
        <x:v>NAAFTC-HS6-060120</x:v>
      </x:c>
      <x:c r="B376" s="13" t="str">
        <x:v>060120</x:v>
      </x:c>
      <x:c r="C376" s="13" t="str">
        <x:v>06</x:v>
      </x:c>
      <x:c r="D376" s="13" t="str">
        <x:v>TRILATERAL_SPLIT_MERGE</x:v>
      </x:c>
      <x:c r="E376" s="13" t="str">
        <x:v>Pending</x:v>
      </x:c>
      <x:c r="F376" s="13" t="n">
        <x:v>2</x:v>
      </x:c>
      <x:c r="G376" s="13" t="n">
        <x:v>1</x:v>
      </x:c>
      <x:c r="H376" s="13" t="n">
        <x:v>2</x:v>
      </x:c>
      <x:c r="I376" s="13" t="str">
        <x:v>0601201000; 0601209000</x:v>
      </x:c>
      <x:c r="J376" s="13" t="str">
        <x:v>0601201000</x:v>
      </x:c>
      <x:c r="K376" s="13" t="str">
        <x:v>0601201000; 0601209000</x:v>
      </x:c>
      <x:c r="L376" s="13" t="str">
        <x:v>UNRESOLVED</x:v>
      </x:c>
      <x:c r="M376" s="13" t="str"/>
      <x:c r="N376" s="13" t="str">
        <x:v>NO / DEFAULT</x:v>
      </x:c>
      <x:c r="O376" s="13" t="str"/>
      <x:c r="P376" s="13" t="str">
        <x:v>NO / DEFAULT</x:v>
      </x:c>
      <x:c r="Q376" s="13" t="str"/>
      <x:c r="R376" s="13" t="str">
        <x:v>INDEPENDENT / DEFAULT</x:v>
      </x:c>
      <x:c r="S376" s="13" t="str"/>
      <x:c r="T376" s="13" t="str">
        <x:v>UNRESOLVED</x:v>
      </x:c>
      <x:c r="U376" s="13" t="str"/>
      <x:c r="V376" s="13" t="str"/>
      <x:c r="W376" s="13" t="str"/>
      <x:c r="X376" s="13" t="str">
        <x:f>IF(L376&lt;&gt;"COVERED","HELD — COVERAGE",IF(N376="YES — SENSITIVE","C ACTIONABLE","CHAPTER 5 DEFAULT"))</x:f>
        <x:v>HELD — COVERAGE</x:v>
      </x:c>
      <x:c r="Y376" s="13" t="str">
        <x:f>IF(L376&lt;&gt;"COVERED","HELD — COVERAGE",IF(P376="YES — MANAGED ACCESS","D ACTIONABLE","NO D FIELD"))</x:f>
        <x:v>HELD — COVERAGE</x:v>
      </x:c>
      <x:c r="Z376" s="13" t="str">
        <x:f>IF(L376&lt;&gt;"COVERED","HELD — COVERAGE",IF(OR(R376="PAIRED SYNCHRONIZED",R376="TRILATERAL SYNCHRONIZED"),"E ACTIONABLE","INDEPENDENT"))</x:f>
        <x:v>HELD — COVERAGE</x:v>
      </x:c>
      <x:c r="AA376" s="13" t="str">
        <x:f>IF(L376&lt;&gt;"COVERED","HELD — COVERAGE","WAIT FOR UPSTREAM COMPLETION")</x:f>
        <x:v>HELD — COVERAGE</x:v>
      </x:c>
      <x:c r="AB376" s="13" t="str">
        <x:f>IF(L376&lt;&gt;"COVERED","HELD — COVERAGE",IF(T376="UNRESOLVED","G DECISION REQUIRED",IF(T376="NOT APPLICABLE","G N/A","G ACTIONABLE")))</x:f>
        <x:v>HELD — COVERAGE</x:v>
      </x:c>
      <x:c r="AC376" s="13" t="str">
        <x:f>IF(L376="UNRESOLVED","COVERAGE FIRST",IF(OR(L376="EXCLUDED",L376="OUT OF SCOPE"),"CLOSED BY COVERAGE",IF(AND(L376="COVERED",T376&lt;&gt;"UNRESOLVED"),"PARTIALLY ADOPTED","DECISIONS REMAIN")))</x:f>
        <x:v>COVERAGE FIRST</x:v>
      </x:c>
    </x:row>
    <x:row r="377">
      <x:c r="A377" s="13" t="str">
        <x:v>NAAFTC-HS6-060210</x:v>
      </x:c>
      <x:c r="B377" s="13" t="str">
        <x:v>060210</x:v>
      </x:c>
      <x:c r="C377" s="13" t="str">
        <x:v>06</x:v>
      </x:c>
      <x:c r="D377" s="13" t="str">
        <x:v>TRILATERAL_1_TO_1_TO_1</x:v>
      </x:c>
      <x:c r="E377" s="13" t="str">
        <x:v>Pending</x:v>
      </x:c>
      <x:c r="F377" s="13" t="n">
        <x:v>1</x:v>
      </x:c>
      <x:c r="G377" s="13" t="n">
        <x:v>1</x:v>
      </x:c>
      <x:c r="H377" s="13" t="n">
        <x:v>1</x:v>
      </x:c>
      <x:c r="I377" s="13" t="str">
        <x:v>0602100000</x:v>
      </x:c>
      <x:c r="J377" s="13" t="str">
        <x:v>0602100700</x:v>
      </x:c>
      <x:c r="K377" s="13" t="str">
        <x:v>0602100000</x:v>
      </x:c>
      <x:c r="L377" s="13" t="str">
        <x:v>UNRESOLVED</x:v>
      </x:c>
      <x:c r="M377" s="13" t="str"/>
      <x:c r="N377" s="13" t="str">
        <x:v>NO / DEFAULT</x:v>
      </x:c>
      <x:c r="O377" s="13" t="str"/>
      <x:c r="P377" s="13" t="str">
        <x:v>NO / DEFAULT</x:v>
      </x:c>
      <x:c r="Q377" s="13" t="str"/>
      <x:c r="R377" s="13" t="str">
        <x:v>INDEPENDENT / DEFAULT</x:v>
      </x:c>
      <x:c r="S377" s="13" t="str"/>
      <x:c r="T377" s="13" t="str">
        <x:v>UNRESOLVED</x:v>
      </x:c>
      <x:c r="U377" s="13" t="str"/>
      <x:c r="V377" s="13" t="str"/>
      <x:c r="W377" s="13" t="str"/>
      <x:c r="X377" s="13" t="str">
        <x:f>IF(L377&lt;&gt;"COVERED","HELD — COVERAGE",IF(N377="YES — SENSITIVE","C ACTIONABLE","CHAPTER 5 DEFAULT"))</x:f>
        <x:v>HELD — COVERAGE</x:v>
      </x:c>
      <x:c r="Y377" s="13" t="str">
        <x:f>IF(L377&lt;&gt;"COVERED","HELD — COVERAGE",IF(P377="YES — MANAGED ACCESS","D ACTIONABLE","NO D FIELD"))</x:f>
        <x:v>HELD — COVERAGE</x:v>
      </x:c>
      <x:c r="Z377" s="13" t="str">
        <x:f>IF(L377&lt;&gt;"COVERED","HELD — COVERAGE",IF(OR(R377="PAIRED SYNCHRONIZED",R377="TRILATERAL SYNCHRONIZED"),"E ACTIONABLE","INDEPENDENT"))</x:f>
        <x:v>HELD — COVERAGE</x:v>
      </x:c>
      <x:c r="AA377" s="13" t="str">
        <x:f>IF(L377&lt;&gt;"COVERED","HELD — COVERAGE","WAIT FOR UPSTREAM COMPLETION")</x:f>
        <x:v>HELD — COVERAGE</x:v>
      </x:c>
      <x:c r="AB377" s="13" t="str">
        <x:f>IF(L377&lt;&gt;"COVERED","HELD — COVERAGE",IF(T377="UNRESOLVED","G DECISION REQUIRED",IF(T377="NOT APPLICABLE","G N/A","G ACTIONABLE")))</x:f>
        <x:v>HELD — COVERAGE</x:v>
      </x:c>
      <x:c r="AC377" s="13" t="str">
        <x:f>IF(L377="UNRESOLVED","COVERAGE FIRST",IF(OR(L377="EXCLUDED",L377="OUT OF SCOPE"),"CLOSED BY COVERAGE",IF(AND(L377="COVERED",T377&lt;&gt;"UNRESOLVED"),"PARTIALLY ADOPTED","DECISIONS REMAIN")))</x:f>
        <x:v>COVERAGE FIRST</x:v>
      </x:c>
    </x:row>
    <x:row r="378">
      <x:c r="A378" s="13" t="str">
        <x:v>NAAFTC-HS6-060220</x:v>
      </x:c>
      <x:c r="B378" s="13" t="str">
        <x:v>060220</x:v>
      </x:c>
      <x:c r="C378" s="13" t="str">
        <x:v>06</x:v>
      </x:c>
      <x:c r="D378" s="13" t="str">
        <x:v>TRILATERAL_SPLIT_MERGE</x:v>
      </x:c>
      <x:c r="E378" s="13" t="str">
        <x:v>Pending</x:v>
      </x:c>
      <x:c r="F378" s="13" t="n">
        <x:v>1</x:v>
      </x:c>
      <x:c r="G378" s="13" t="n">
        <x:v>3</x:v>
      </x:c>
      <x:c r="H378" s="13" t="n">
        <x:v>1</x:v>
      </x:c>
      <x:c r="I378" s="13" t="str">
        <x:v>0602200000</x:v>
      </x:c>
      <x:c r="J378" s="13" t="str">
        <x:v>0602200401; 0602200402; 0602200499</x:v>
      </x:c>
      <x:c r="K378" s="13" t="str">
        <x:v>06022000</x:v>
      </x:c>
      <x:c r="L378" s="13" t="str">
        <x:v>UNRESOLVED</x:v>
      </x:c>
      <x:c r="M378" s="13" t="str"/>
      <x:c r="N378" s="13" t="str">
        <x:v>NO / DEFAULT</x:v>
      </x:c>
      <x:c r="O378" s="13" t="str"/>
      <x:c r="P378" s="13" t="str">
        <x:v>NO / DEFAULT</x:v>
      </x:c>
      <x:c r="Q378" s="13" t="str"/>
      <x:c r="R378" s="13" t="str">
        <x:v>INDEPENDENT / DEFAULT</x:v>
      </x:c>
      <x:c r="S378" s="13" t="str"/>
      <x:c r="T378" s="13" t="str">
        <x:v>UNRESOLVED</x:v>
      </x:c>
      <x:c r="U378" s="13" t="str"/>
      <x:c r="V378" s="13" t="str"/>
      <x:c r="W378" s="13" t="str"/>
      <x:c r="X378" s="13" t="str">
        <x:f>IF(L378&lt;&gt;"COVERED","HELD — COVERAGE",IF(N378="YES — SENSITIVE","C ACTIONABLE","CHAPTER 5 DEFAULT"))</x:f>
        <x:v>HELD — COVERAGE</x:v>
      </x:c>
      <x:c r="Y378" s="13" t="str">
        <x:f>IF(L378&lt;&gt;"COVERED","HELD — COVERAGE",IF(P378="YES — MANAGED ACCESS","D ACTIONABLE","NO D FIELD"))</x:f>
        <x:v>HELD — COVERAGE</x:v>
      </x:c>
      <x:c r="Z378" s="13" t="str">
        <x:f>IF(L378&lt;&gt;"COVERED","HELD — COVERAGE",IF(OR(R378="PAIRED SYNCHRONIZED",R378="TRILATERAL SYNCHRONIZED"),"E ACTIONABLE","INDEPENDENT"))</x:f>
        <x:v>HELD — COVERAGE</x:v>
      </x:c>
      <x:c r="AA378" s="13" t="str">
        <x:f>IF(L378&lt;&gt;"COVERED","HELD — COVERAGE","WAIT FOR UPSTREAM COMPLETION")</x:f>
        <x:v>HELD — COVERAGE</x:v>
      </x:c>
      <x:c r="AB378" s="13" t="str">
        <x:f>IF(L378&lt;&gt;"COVERED","HELD — COVERAGE",IF(T378="UNRESOLVED","G DECISION REQUIRED",IF(T378="NOT APPLICABLE","G N/A","G ACTIONABLE")))</x:f>
        <x:v>HELD — COVERAGE</x:v>
      </x:c>
      <x:c r="AC378" s="13" t="str">
        <x:f>IF(L378="UNRESOLVED","COVERAGE FIRST",IF(OR(L378="EXCLUDED",L378="OUT OF SCOPE"),"CLOSED BY COVERAGE",IF(AND(L378="COVERED",T378&lt;&gt;"UNRESOLVED"),"PARTIALLY ADOPTED","DECISIONS REMAIN")))</x:f>
        <x:v>COVERAGE FIRST</x:v>
      </x:c>
    </x:row>
    <x:row r="379">
      <x:c r="A379" s="13" t="str">
        <x:v>NAAFTC-HS6-060230</x:v>
      </x:c>
      <x:c r="B379" s="13" t="str">
        <x:v>060230</x:v>
      </x:c>
      <x:c r="C379" s="13" t="str">
        <x:v>06</x:v>
      </x:c>
      <x:c r="D379" s="13" t="str">
        <x:v>TRILATERAL_1_TO_1_TO_1</x:v>
      </x:c>
      <x:c r="E379" s="13" t="str">
        <x:v>Pending</x:v>
      </x:c>
      <x:c r="F379" s="13" t="n">
        <x:v>1</x:v>
      </x:c>
      <x:c r="G379" s="13" t="n">
        <x:v>1</x:v>
      </x:c>
      <x:c r="H379" s="13" t="n">
        <x:v>1</x:v>
      </x:c>
      <x:c r="I379" s="13" t="str">
        <x:v>0602300000</x:v>
      </x:c>
      <x:c r="J379" s="13" t="str">
        <x:v>0602300100</x:v>
      </x:c>
      <x:c r="K379" s="13" t="str">
        <x:v>0602300000</x:v>
      </x:c>
      <x:c r="L379" s="13" t="str">
        <x:v>UNRESOLVED</x:v>
      </x:c>
      <x:c r="M379" s="13" t="str"/>
      <x:c r="N379" s="13" t="str">
        <x:v>NO / DEFAULT</x:v>
      </x:c>
      <x:c r="O379" s="13" t="str"/>
      <x:c r="P379" s="13" t="str">
        <x:v>NO / DEFAULT</x:v>
      </x:c>
      <x:c r="Q379" s="13" t="str"/>
      <x:c r="R379" s="13" t="str">
        <x:v>INDEPENDENT / DEFAULT</x:v>
      </x:c>
      <x:c r="S379" s="13" t="str"/>
      <x:c r="T379" s="13" t="str">
        <x:v>UNRESOLVED</x:v>
      </x:c>
      <x:c r="U379" s="13" t="str"/>
      <x:c r="V379" s="13" t="str"/>
      <x:c r="W379" s="13" t="str"/>
      <x:c r="X379" s="13" t="str">
        <x:f>IF(L379&lt;&gt;"COVERED","HELD — COVERAGE",IF(N379="YES — SENSITIVE","C ACTIONABLE","CHAPTER 5 DEFAULT"))</x:f>
        <x:v>HELD — COVERAGE</x:v>
      </x:c>
      <x:c r="Y379" s="13" t="str">
        <x:f>IF(L379&lt;&gt;"COVERED","HELD — COVERAGE",IF(P379="YES — MANAGED ACCESS","D ACTIONABLE","NO D FIELD"))</x:f>
        <x:v>HELD — COVERAGE</x:v>
      </x:c>
      <x:c r="Z379" s="13" t="str">
        <x:f>IF(L379&lt;&gt;"COVERED","HELD — COVERAGE",IF(OR(R379="PAIRED SYNCHRONIZED",R379="TRILATERAL SYNCHRONIZED"),"E ACTIONABLE","INDEPENDENT"))</x:f>
        <x:v>HELD — COVERAGE</x:v>
      </x:c>
      <x:c r="AA379" s="13" t="str">
        <x:f>IF(L379&lt;&gt;"COVERED","HELD — COVERAGE","WAIT FOR UPSTREAM COMPLETION")</x:f>
        <x:v>HELD — COVERAGE</x:v>
      </x:c>
      <x:c r="AB379" s="13" t="str">
        <x:f>IF(L379&lt;&gt;"COVERED","HELD — COVERAGE",IF(T379="UNRESOLVED","G DECISION REQUIRED",IF(T379="NOT APPLICABLE","G N/A","G ACTIONABLE")))</x:f>
        <x:v>HELD — COVERAGE</x:v>
      </x:c>
      <x:c r="AC379" s="13" t="str">
        <x:f>IF(L379="UNRESOLVED","COVERAGE FIRST",IF(OR(L379="EXCLUDED",L379="OUT OF SCOPE"),"CLOSED BY COVERAGE",IF(AND(L379="COVERED",T379&lt;&gt;"UNRESOLVED"),"PARTIALLY ADOPTED","DECISIONS REMAIN")))</x:f>
        <x:v>COVERAGE FIRST</x:v>
      </x:c>
    </x:row>
    <x:row r="380">
      <x:c r="A380" s="13" t="str">
        <x:v>NAAFTC-HS6-060240</x:v>
      </x:c>
      <x:c r="B380" s="13" t="str">
        <x:v>060240</x:v>
      </x:c>
      <x:c r="C380" s="13" t="str">
        <x:v>06</x:v>
      </x:c>
      <x:c r="D380" s="13" t="str">
        <x:v>TRILATERAL_SPLIT_MERGE</x:v>
      </x:c>
      <x:c r="E380" s="13" t="str">
        <x:v>Pending</x:v>
      </x:c>
      <x:c r="F380" s="13" t="n">
        <x:v>1</x:v>
      </x:c>
      <x:c r="G380" s="13" t="n">
        <x:v>2</x:v>
      </x:c>
      <x:c r="H380" s="13" t="n">
        <x:v>1</x:v>
      </x:c>
      <x:c r="I380" s="13" t="str">
        <x:v>0602400000</x:v>
      </x:c>
      <x:c r="J380" s="13" t="str">
        <x:v>0602400100; 0602409900</x:v>
      </x:c>
      <x:c r="K380" s="13" t="str">
        <x:v>0602401000</x:v>
      </x:c>
      <x:c r="L380" s="13" t="str">
        <x:v>UNRESOLVED</x:v>
      </x:c>
      <x:c r="M380" s="13" t="str"/>
      <x:c r="N380" s="13" t="str">
        <x:v>NO / DEFAULT</x:v>
      </x:c>
      <x:c r="O380" s="13" t="str"/>
      <x:c r="P380" s="13" t="str">
        <x:v>NO / DEFAULT</x:v>
      </x:c>
      <x:c r="Q380" s="13" t="str"/>
      <x:c r="R380" s="13" t="str">
        <x:v>INDEPENDENT / DEFAULT</x:v>
      </x:c>
      <x:c r="S380" s="13" t="str"/>
      <x:c r="T380" s="13" t="str">
        <x:v>UNRESOLVED</x:v>
      </x:c>
      <x:c r="U380" s="13" t="str"/>
      <x:c r="V380" s="13" t="str"/>
      <x:c r="W380" s="13" t="str"/>
      <x:c r="X380" s="13" t="str">
        <x:f>IF(L380&lt;&gt;"COVERED","HELD — COVERAGE",IF(N380="YES — SENSITIVE","C ACTIONABLE","CHAPTER 5 DEFAULT"))</x:f>
        <x:v>HELD — COVERAGE</x:v>
      </x:c>
      <x:c r="Y380" s="13" t="str">
        <x:f>IF(L380&lt;&gt;"COVERED","HELD — COVERAGE",IF(P380="YES — MANAGED ACCESS","D ACTIONABLE","NO D FIELD"))</x:f>
        <x:v>HELD — COVERAGE</x:v>
      </x:c>
      <x:c r="Z380" s="13" t="str">
        <x:f>IF(L380&lt;&gt;"COVERED","HELD — COVERAGE",IF(OR(R380="PAIRED SYNCHRONIZED",R380="TRILATERAL SYNCHRONIZED"),"E ACTIONABLE","INDEPENDENT"))</x:f>
        <x:v>HELD — COVERAGE</x:v>
      </x:c>
      <x:c r="AA380" s="13" t="str">
        <x:f>IF(L380&lt;&gt;"COVERED","HELD — COVERAGE","WAIT FOR UPSTREAM COMPLETION")</x:f>
        <x:v>HELD — COVERAGE</x:v>
      </x:c>
      <x:c r="AB380" s="13" t="str">
        <x:f>IF(L380&lt;&gt;"COVERED","HELD — COVERAGE",IF(T380="UNRESOLVED","G DECISION REQUIRED",IF(T380="NOT APPLICABLE","G N/A","G ACTIONABLE")))</x:f>
        <x:v>HELD — COVERAGE</x:v>
      </x:c>
      <x:c r="AC380" s="13" t="str">
        <x:f>IF(L380="UNRESOLVED","COVERAGE FIRST",IF(OR(L380="EXCLUDED",L380="OUT OF SCOPE"),"CLOSED BY COVERAGE",IF(AND(L380="COVERED",T380&lt;&gt;"UNRESOLVED"),"PARTIALLY ADOPTED","DECISIONS REMAIN")))</x:f>
        <x:v>COVERAGE FIRST</x:v>
      </x:c>
    </x:row>
    <x:row r="381">
      <x:c r="A381" s="13" t="str">
        <x:v>NAAFTC-HS6-060290</x:v>
      </x:c>
      <x:c r="B381" s="13" t="str">
        <x:v>060290</x:v>
      </x:c>
      <x:c r="C381" s="13" t="str">
        <x:v>06</x:v>
      </x:c>
      <x:c r="D381" s="13" t="str">
        <x:v>TRILATERAL_SPLIT_MERGE</x:v>
      </x:c>
      <x:c r="E381" s="13" t="str">
        <x:v>Pending</x:v>
      </x:c>
      <x:c r="F381" s="13" t="n">
        <x:v>10</x:v>
      </x:c>
      <x:c r="G381" s="13" t="n">
        <x:v>6</x:v>
      </x:c>
      <x:c r="H381" s="13" t="n">
        <x:v>2</x:v>
      </x:c>
      <x:c r="I381" s="13" t="str">
        <x:v>0602902000; 0602903010; 0602903090; 0602904000; 0602905000; 0602906010; +4 more</x:v>
      </x:c>
      <x:c r="J381" s="13" t="str">
        <x:v>0602900600; 0602900700; 0602909901; 0602909902; 0602909903; 0602909999</x:v>
      </x:c>
      <x:c r="K381" s="13" t="str">
        <x:v>06029010; 06029090</x:v>
      </x:c>
      <x:c r="L381" s="13" t="str">
        <x:v>UNRESOLVED</x:v>
      </x:c>
      <x:c r="M381" s="13" t="str"/>
      <x:c r="N381" s="13" t="str">
        <x:v>NO / DEFAULT</x:v>
      </x:c>
      <x:c r="O381" s="13" t="str"/>
      <x:c r="P381" s="13" t="str">
        <x:v>NO / DEFAULT</x:v>
      </x:c>
      <x:c r="Q381" s="13" t="str"/>
      <x:c r="R381" s="13" t="str">
        <x:v>INDEPENDENT / DEFAULT</x:v>
      </x:c>
      <x:c r="S381" s="13" t="str"/>
      <x:c r="T381" s="13" t="str">
        <x:v>UNRESOLVED</x:v>
      </x:c>
      <x:c r="U381" s="13" t="str"/>
      <x:c r="V381" s="13" t="str"/>
      <x:c r="W381" s="13" t="str"/>
      <x:c r="X381" s="13" t="str">
        <x:f>IF(L381&lt;&gt;"COVERED","HELD — COVERAGE",IF(N381="YES — SENSITIVE","C ACTIONABLE","CHAPTER 5 DEFAULT"))</x:f>
        <x:v>HELD — COVERAGE</x:v>
      </x:c>
      <x:c r="Y381" s="13" t="str">
        <x:f>IF(L381&lt;&gt;"COVERED","HELD — COVERAGE",IF(P381="YES — MANAGED ACCESS","D ACTIONABLE","NO D FIELD"))</x:f>
        <x:v>HELD — COVERAGE</x:v>
      </x:c>
      <x:c r="Z381" s="13" t="str">
        <x:f>IF(L381&lt;&gt;"COVERED","HELD — COVERAGE",IF(OR(R381="PAIRED SYNCHRONIZED",R381="TRILATERAL SYNCHRONIZED"),"E ACTIONABLE","INDEPENDENT"))</x:f>
        <x:v>HELD — COVERAGE</x:v>
      </x:c>
      <x:c r="AA381" s="13" t="str">
        <x:f>IF(L381&lt;&gt;"COVERED","HELD — COVERAGE","WAIT FOR UPSTREAM COMPLETION")</x:f>
        <x:v>HELD — COVERAGE</x:v>
      </x:c>
      <x:c r="AB381" s="13" t="str">
        <x:f>IF(L381&lt;&gt;"COVERED","HELD — COVERAGE",IF(T381="UNRESOLVED","G DECISION REQUIRED",IF(T381="NOT APPLICABLE","G N/A","G ACTIONABLE")))</x:f>
        <x:v>HELD — COVERAGE</x:v>
      </x:c>
      <x:c r="AC381" s="13" t="str">
        <x:f>IF(L381="UNRESOLVED","COVERAGE FIRST",IF(OR(L381="EXCLUDED",L381="OUT OF SCOPE"),"CLOSED BY COVERAGE",IF(AND(L381="COVERED",T381&lt;&gt;"UNRESOLVED"),"PARTIALLY ADOPTED","DECISIONS REMAIN")))</x:f>
        <x:v>COVERAGE FIRST</x:v>
      </x:c>
    </x:row>
    <x:row r="382">
      <x:c r="A382" s="13" t="str">
        <x:v>NAAFTC-HS6-060311</x:v>
      </x:c>
      <x:c r="B382" s="13" t="str">
        <x:v>060311</x:v>
      </x:c>
      <x:c r="C382" s="13" t="str">
        <x:v>06</x:v>
      </x:c>
      <x:c r="D382" s="13" t="str">
        <x:v>TRILATERAL_SPLIT_MERGE</x:v>
      </x:c>
      <x:c r="E382" s="13" t="str">
        <x:v>Pending</x:v>
      </x:c>
      <x:c r="F382" s="13" t="n">
        <x:v>2</x:v>
      </x:c>
      <x:c r="G382" s="13" t="n">
        <x:v>1</x:v>
      </x:c>
      <x:c r="H382" s="13" t="n">
        <x:v>1</x:v>
      </x:c>
      <x:c r="I382" s="13" t="str">
        <x:v>0603110030; 0603110050</x:v>
      </x:c>
      <x:c r="J382" s="13" t="str">
        <x:v>0603110100</x:v>
      </x:c>
      <x:c r="K382" s="13" t="str">
        <x:v>0603110000</x:v>
      </x:c>
      <x:c r="L382" s="13" t="str">
        <x:v>UNRESOLVED</x:v>
      </x:c>
      <x:c r="M382" s="13" t="str"/>
      <x:c r="N382" s="13" t="str">
        <x:v>NO / DEFAULT</x:v>
      </x:c>
      <x:c r="O382" s="13" t="str"/>
      <x:c r="P382" s="13" t="str">
        <x:v>NO / DEFAULT</x:v>
      </x:c>
      <x:c r="Q382" s="13" t="str"/>
      <x:c r="R382" s="13" t="str">
        <x:v>INDEPENDENT / DEFAULT</x:v>
      </x:c>
      <x:c r="S382" s="13" t="str"/>
      <x:c r="T382" s="13" t="str">
        <x:v>UNRESOLVED</x:v>
      </x:c>
      <x:c r="U382" s="13" t="str"/>
      <x:c r="V382" s="13" t="str"/>
      <x:c r="W382" s="13" t="str"/>
      <x:c r="X382" s="13" t="str">
        <x:f>IF(L382&lt;&gt;"COVERED","HELD — COVERAGE",IF(N382="YES — SENSITIVE","C ACTIONABLE","CHAPTER 5 DEFAULT"))</x:f>
        <x:v>HELD — COVERAGE</x:v>
      </x:c>
      <x:c r="Y382" s="13" t="str">
        <x:f>IF(L382&lt;&gt;"COVERED","HELD — COVERAGE",IF(P382="YES — MANAGED ACCESS","D ACTIONABLE","NO D FIELD"))</x:f>
        <x:v>HELD — COVERAGE</x:v>
      </x:c>
      <x:c r="Z382" s="13" t="str">
        <x:f>IF(L382&lt;&gt;"COVERED","HELD — COVERAGE",IF(OR(R382="PAIRED SYNCHRONIZED",R382="TRILATERAL SYNCHRONIZED"),"E ACTIONABLE","INDEPENDENT"))</x:f>
        <x:v>HELD — COVERAGE</x:v>
      </x:c>
      <x:c r="AA382" s="13" t="str">
        <x:f>IF(L382&lt;&gt;"COVERED","HELD — COVERAGE","WAIT FOR UPSTREAM COMPLETION")</x:f>
        <x:v>HELD — COVERAGE</x:v>
      </x:c>
      <x:c r="AB382" s="13" t="str">
        <x:f>IF(L382&lt;&gt;"COVERED","HELD — COVERAGE",IF(T382="UNRESOLVED","G DECISION REQUIRED",IF(T382="NOT APPLICABLE","G N/A","G ACTIONABLE")))</x:f>
        <x:v>HELD — COVERAGE</x:v>
      </x:c>
      <x:c r="AC382" s="13" t="str">
        <x:f>IF(L382="UNRESOLVED","COVERAGE FIRST",IF(OR(L382="EXCLUDED",L382="OUT OF SCOPE"),"CLOSED BY COVERAGE",IF(AND(L382="COVERED",T382&lt;&gt;"UNRESOLVED"),"PARTIALLY ADOPTED","DECISIONS REMAIN")))</x:f>
        <x:v>COVERAGE FIRST</x:v>
      </x:c>
    </x:row>
    <x:row r="383">
      <x:c r="A383" s="13" t="str">
        <x:v>NAAFTC-HS6-060312</x:v>
      </x:c>
      <x:c r="B383" s="13" t="str">
        <x:v>060312</x:v>
      </x:c>
      <x:c r="C383" s="13" t="str">
        <x:v>06</x:v>
      </x:c>
      <x:c r="D383" s="13" t="str">
        <x:v>TRILATERAL_SPLIT_MERGE</x:v>
      </x:c>
      <x:c r="E383" s="13" t="str">
        <x:v>Pending</x:v>
      </x:c>
      <x:c r="F383" s="13" t="n">
        <x:v>2</x:v>
      </x:c>
      <x:c r="G383" s="13" t="n">
        <x:v>1</x:v>
      </x:c>
      <x:c r="H383" s="13" t="n">
        <x:v>1</x:v>
      </x:c>
      <x:c r="I383" s="13" t="str">
        <x:v>0603123000; 0603127000</x:v>
      </x:c>
      <x:c r="J383" s="13" t="str">
        <x:v>0603120100</x:v>
      </x:c>
      <x:c r="K383" s="13" t="str">
        <x:v>0603120000</x:v>
      </x:c>
      <x:c r="L383" s="13" t="str">
        <x:v>UNRESOLVED</x:v>
      </x:c>
      <x:c r="M383" s="13" t="str"/>
      <x:c r="N383" s="13" t="str">
        <x:v>NO / DEFAULT</x:v>
      </x:c>
      <x:c r="O383" s="13" t="str"/>
      <x:c r="P383" s="13" t="str">
        <x:v>NO / DEFAULT</x:v>
      </x:c>
      <x:c r="Q383" s="13" t="str"/>
      <x:c r="R383" s="13" t="str">
        <x:v>INDEPENDENT / DEFAULT</x:v>
      </x:c>
      <x:c r="S383" s="13" t="str"/>
      <x:c r="T383" s="13" t="str">
        <x:v>UNRESOLVED</x:v>
      </x:c>
      <x:c r="U383" s="13" t="str"/>
      <x:c r="V383" s="13" t="str"/>
      <x:c r="W383" s="13" t="str"/>
      <x:c r="X383" s="13" t="str">
        <x:f>IF(L383&lt;&gt;"COVERED","HELD — COVERAGE",IF(N383="YES — SENSITIVE","C ACTIONABLE","CHAPTER 5 DEFAULT"))</x:f>
        <x:v>HELD — COVERAGE</x:v>
      </x:c>
      <x:c r="Y383" s="13" t="str">
        <x:f>IF(L383&lt;&gt;"COVERED","HELD — COVERAGE",IF(P383="YES — MANAGED ACCESS","D ACTIONABLE","NO D FIELD"))</x:f>
        <x:v>HELD — COVERAGE</x:v>
      </x:c>
      <x:c r="Z383" s="13" t="str">
        <x:f>IF(L383&lt;&gt;"COVERED","HELD — COVERAGE",IF(OR(R383="PAIRED SYNCHRONIZED",R383="TRILATERAL SYNCHRONIZED"),"E ACTIONABLE","INDEPENDENT"))</x:f>
        <x:v>HELD — COVERAGE</x:v>
      </x:c>
      <x:c r="AA383" s="13" t="str">
        <x:f>IF(L383&lt;&gt;"COVERED","HELD — COVERAGE","WAIT FOR UPSTREAM COMPLETION")</x:f>
        <x:v>HELD — COVERAGE</x:v>
      </x:c>
      <x:c r="AB383" s="13" t="str">
        <x:f>IF(L383&lt;&gt;"COVERED","HELD — COVERAGE",IF(T383="UNRESOLVED","G DECISION REQUIRED",IF(T383="NOT APPLICABLE","G N/A","G ACTIONABLE")))</x:f>
        <x:v>HELD — COVERAGE</x:v>
      </x:c>
      <x:c r="AC383" s="13" t="str">
        <x:f>IF(L383="UNRESOLVED","COVERAGE FIRST",IF(OR(L383="EXCLUDED",L383="OUT OF SCOPE"),"CLOSED BY COVERAGE",IF(AND(L383="COVERED",T383&lt;&gt;"UNRESOLVED"),"PARTIALLY ADOPTED","DECISIONS REMAIN")))</x:f>
        <x:v>COVERAGE FIRST</x:v>
      </x:c>
    </x:row>
    <x:row r="384">
      <x:c r="A384" s="13" t="str">
        <x:v>NAAFTC-HS6-060313</x:v>
      </x:c>
      <x:c r="B384" s="13" t="str">
        <x:v>060313</x:v>
      </x:c>
      <x:c r="C384" s="13" t="str">
        <x:v>06</x:v>
      </x:c>
      <x:c r="D384" s="13" t="str">
        <x:v>TRILATERAL_SPLIT_MERGE</x:v>
      </x:c>
      <x:c r="E384" s="13" t="str">
        <x:v>Pending</x:v>
      </x:c>
      <x:c r="F384" s="13" t="n">
        <x:v>2</x:v>
      </x:c>
      <x:c r="G384" s="13" t="n">
        <x:v>1</x:v>
      </x:c>
      <x:c r="H384" s="13" t="n">
        <x:v>2</x:v>
      </x:c>
      <x:c r="I384" s="13" t="str">
        <x:v>0603130050; 0603130060</x:v>
      </x:c>
      <x:c r="J384" s="13" t="str">
        <x:v>0603130100</x:v>
      </x:c>
      <x:c r="K384" s="13" t="str">
        <x:v>0603131000; 0603139000</x:v>
      </x:c>
      <x:c r="L384" s="13" t="str">
        <x:v>UNRESOLVED</x:v>
      </x:c>
      <x:c r="M384" s="13" t="str"/>
      <x:c r="N384" s="13" t="str">
        <x:v>NO / DEFAULT</x:v>
      </x:c>
      <x:c r="O384" s="13" t="str"/>
      <x:c r="P384" s="13" t="str">
        <x:v>NO / DEFAULT</x:v>
      </x:c>
      <x:c r="Q384" s="13" t="str"/>
      <x:c r="R384" s="13" t="str">
        <x:v>INDEPENDENT / DEFAULT</x:v>
      </x:c>
      <x:c r="S384" s="13" t="str"/>
      <x:c r="T384" s="13" t="str">
        <x:v>UNRESOLVED</x:v>
      </x:c>
      <x:c r="U384" s="13" t="str"/>
      <x:c r="V384" s="13" t="str"/>
      <x:c r="W384" s="13" t="str"/>
      <x:c r="X384" s="13" t="str">
        <x:f>IF(L384&lt;&gt;"COVERED","HELD — COVERAGE",IF(N384="YES — SENSITIVE","C ACTIONABLE","CHAPTER 5 DEFAULT"))</x:f>
        <x:v>HELD — COVERAGE</x:v>
      </x:c>
      <x:c r="Y384" s="13" t="str">
        <x:f>IF(L384&lt;&gt;"COVERED","HELD — COVERAGE",IF(P384="YES — MANAGED ACCESS","D ACTIONABLE","NO D FIELD"))</x:f>
        <x:v>HELD — COVERAGE</x:v>
      </x:c>
      <x:c r="Z384" s="13" t="str">
        <x:f>IF(L384&lt;&gt;"COVERED","HELD — COVERAGE",IF(OR(R384="PAIRED SYNCHRONIZED",R384="TRILATERAL SYNCHRONIZED"),"E ACTIONABLE","INDEPENDENT"))</x:f>
        <x:v>HELD — COVERAGE</x:v>
      </x:c>
      <x:c r="AA384" s="13" t="str">
        <x:f>IF(L384&lt;&gt;"COVERED","HELD — COVERAGE","WAIT FOR UPSTREAM COMPLETION")</x:f>
        <x:v>HELD — COVERAGE</x:v>
      </x:c>
      <x:c r="AB384" s="13" t="str">
        <x:f>IF(L384&lt;&gt;"COVERED","HELD — COVERAGE",IF(T384="UNRESOLVED","G DECISION REQUIRED",IF(T384="NOT APPLICABLE","G N/A","G ACTIONABLE")))</x:f>
        <x:v>HELD — COVERAGE</x:v>
      </x:c>
      <x:c r="AC384" s="13" t="str">
        <x:f>IF(L384="UNRESOLVED","COVERAGE FIRST",IF(OR(L384="EXCLUDED",L384="OUT OF SCOPE"),"CLOSED BY COVERAGE",IF(AND(L384="COVERED",T384&lt;&gt;"UNRESOLVED"),"PARTIALLY ADOPTED","DECISIONS REMAIN")))</x:f>
        <x:v>COVERAGE FIRST</x:v>
      </x:c>
    </x:row>
    <x:row r="385">
      <x:c r="A385" s="13" t="str">
        <x:v>NAAFTC-HS6-060314</x:v>
      </x:c>
      <x:c r="B385" s="13" t="str">
        <x:v>060314</x:v>
      </x:c>
      <x:c r="C385" s="13" t="str">
        <x:v>06</x:v>
      </x:c>
      <x:c r="D385" s="13" t="str">
        <x:v>TRILATERAL_SPLIT_MERGE</x:v>
      </x:c>
      <x:c r="E385" s="13" t="str">
        <x:v>Pending</x:v>
      </x:c>
      <x:c r="F385" s="13" t="n">
        <x:v>2</x:v>
      </x:c>
      <x:c r="G385" s="13" t="n">
        <x:v>1</x:v>
      </x:c>
      <x:c r="H385" s="13" t="n">
        <x:v>1</x:v>
      </x:c>
      <x:c r="I385" s="13" t="str">
        <x:v>0603140010; 0603140020</x:v>
      </x:c>
      <x:c r="J385" s="13" t="str">
        <x:v>0603140200</x:v>
      </x:c>
      <x:c r="K385" s="13" t="str">
        <x:v>0603140000</x:v>
      </x:c>
      <x:c r="L385" s="13" t="str">
        <x:v>UNRESOLVED</x:v>
      </x:c>
      <x:c r="M385" s="13" t="str"/>
      <x:c r="N385" s="13" t="str">
        <x:v>NO / DEFAULT</x:v>
      </x:c>
      <x:c r="O385" s="13" t="str"/>
      <x:c r="P385" s="13" t="str">
        <x:v>NO / DEFAULT</x:v>
      </x:c>
      <x:c r="Q385" s="13" t="str"/>
      <x:c r="R385" s="13" t="str">
        <x:v>INDEPENDENT / DEFAULT</x:v>
      </x:c>
      <x:c r="S385" s="13" t="str"/>
      <x:c r="T385" s="13" t="str">
        <x:v>UNRESOLVED</x:v>
      </x:c>
      <x:c r="U385" s="13" t="str"/>
      <x:c r="V385" s="13" t="str"/>
      <x:c r="W385" s="13" t="str"/>
      <x:c r="X385" s="13" t="str">
        <x:f>IF(L385&lt;&gt;"COVERED","HELD — COVERAGE",IF(N385="YES — SENSITIVE","C ACTIONABLE","CHAPTER 5 DEFAULT"))</x:f>
        <x:v>HELD — COVERAGE</x:v>
      </x:c>
      <x:c r="Y385" s="13" t="str">
        <x:f>IF(L385&lt;&gt;"COVERED","HELD — COVERAGE",IF(P385="YES — MANAGED ACCESS","D ACTIONABLE","NO D FIELD"))</x:f>
        <x:v>HELD — COVERAGE</x:v>
      </x:c>
      <x:c r="Z385" s="13" t="str">
        <x:f>IF(L385&lt;&gt;"COVERED","HELD — COVERAGE",IF(OR(R385="PAIRED SYNCHRONIZED",R385="TRILATERAL SYNCHRONIZED"),"E ACTIONABLE","INDEPENDENT"))</x:f>
        <x:v>HELD — COVERAGE</x:v>
      </x:c>
      <x:c r="AA385" s="13" t="str">
        <x:f>IF(L385&lt;&gt;"COVERED","HELD — COVERAGE","WAIT FOR UPSTREAM COMPLETION")</x:f>
        <x:v>HELD — COVERAGE</x:v>
      </x:c>
      <x:c r="AB385" s="13" t="str">
        <x:f>IF(L385&lt;&gt;"COVERED","HELD — COVERAGE",IF(T385="UNRESOLVED","G DECISION REQUIRED",IF(T385="NOT APPLICABLE","G N/A","G ACTIONABLE")))</x:f>
        <x:v>HELD — COVERAGE</x:v>
      </x:c>
      <x:c r="AC385" s="13" t="str">
        <x:f>IF(L385="UNRESOLVED","COVERAGE FIRST",IF(OR(L385="EXCLUDED",L385="OUT OF SCOPE"),"CLOSED BY COVERAGE",IF(AND(L385="COVERED",T385&lt;&gt;"UNRESOLVED"),"PARTIALLY ADOPTED","DECISIONS REMAIN")))</x:f>
        <x:v>COVERAGE FIRST</x:v>
      </x:c>
    </x:row>
    <x:row r="386">
      <x:c r="A386" s="13" t="str">
        <x:v>NAAFTC-HS6-060315</x:v>
      </x:c>
      <x:c r="B386" s="13" t="str">
        <x:v>060315</x:v>
      </x:c>
      <x:c r="C386" s="13" t="str">
        <x:v>06</x:v>
      </x:c>
      <x:c r="D386" s="13" t="str">
        <x:v>TRILATERAL_1_TO_1_TO_1</x:v>
      </x:c>
      <x:c r="E386" s="13" t="str">
        <x:v>Pending</x:v>
      </x:c>
      <x:c r="F386" s="13" t="n">
        <x:v>1</x:v>
      </x:c>
      <x:c r="G386" s="13" t="n">
        <x:v>1</x:v>
      </x:c>
      <x:c r="H386" s="13" t="n">
        <x:v>1</x:v>
      </x:c>
      <x:c r="I386" s="13" t="str">
        <x:v>0603150000</x:v>
      </x:c>
      <x:c r="J386" s="13" t="str">
        <x:v>0603150100</x:v>
      </x:c>
      <x:c r="K386" s="13" t="str">
        <x:v>0603150000</x:v>
      </x:c>
      <x:c r="L386" s="13" t="str">
        <x:v>UNRESOLVED</x:v>
      </x:c>
      <x:c r="M386" s="13" t="str"/>
      <x:c r="N386" s="13" t="str">
        <x:v>NO / DEFAULT</x:v>
      </x:c>
      <x:c r="O386" s="13" t="str"/>
      <x:c r="P386" s="13" t="str">
        <x:v>NO / DEFAULT</x:v>
      </x:c>
      <x:c r="Q386" s="13" t="str"/>
      <x:c r="R386" s="13" t="str">
        <x:v>INDEPENDENT / DEFAULT</x:v>
      </x:c>
      <x:c r="S386" s="13" t="str"/>
      <x:c r="T386" s="13" t="str">
        <x:v>UNRESOLVED</x:v>
      </x:c>
      <x:c r="U386" s="13" t="str"/>
      <x:c r="V386" s="13" t="str"/>
      <x:c r="W386" s="13" t="str"/>
      <x:c r="X386" s="13" t="str">
        <x:f>IF(L386&lt;&gt;"COVERED","HELD — COVERAGE",IF(N386="YES — SENSITIVE","C ACTIONABLE","CHAPTER 5 DEFAULT"))</x:f>
        <x:v>HELD — COVERAGE</x:v>
      </x:c>
      <x:c r="Y386" s="13" t="str">
        <x:f>IF(L386&lt;&gt;"COVERED","HELD — COVERAGE",IF(P386="YES — MANAGED ACCESS","D ACTIONABLE","NO D FIELD"))</x:f>
        <x:v>HELD — COVERAGE</x:v>
      </x:c>
      <x:c r="Z386" s="13" t="str">
        <x:f>IF(L386&lt;&gt;"COVERED","HELD — COVERAGE",IF(OR(R386="PAIRED SYNCHRONIZED",R386="TRILATERAL SYNCHRONIZED"),"E ACTIONABLE","INDEPENDENT"))</x:f>
        <x:v>HELD — COVERAGE</x:v>
      </x:c>
      <x:c r="AA386" s="13" t="str">
        <x:f>IF(L386&lt;&gt;"COVERED","HELD — COVERAGE","WAIT FOR UPSTREAM COMPLETION")</x:f>
        <x:v>HELD — COVERAGE</x:v>
      </x:c>
      <x:c r="AB386" s="13" t="str">
        <x:f>IF(L386&lt;&gt;"COVERED","HELD — COVERAGE",IF(T386="UNRESOLVED","G DECISION REQUIRED",IF(T386="NOT APPLICABLE","G N/A","G ACTIONABLE")))</x:f>
        <x:v>HELD — COVERAGE</x:v>
      </x:c>
      <x:c r="AC386" s="13" t="str">
        <x:f>IF(L386="UNRESOLVED","COVERAGE FIRST",IF(OR(L386="EXCLUDED",L386="OUT OF SCOPE"),"CLOSED BY COVERAGE",IF(AND(L386="COVERED",T386&lt;&gt;"UNRESOLVED"),"PARTIALLY ADOPTED","DECISIONS REMAIN")))</x:f>
        <x:v>COVERAGE FIRST</x:v>
      </x:c>
    </x:row>
    <x:row r="387">
      <x:c r="A387" s="13" t="str">
        <x:v>NAAFTC-HS6-060319</x:v>
      </x:c>
      <x:c r="B387" s="13" t="str">
        <x:v>060319</x:v>
      </x:c>
      <x:c r="C387" s="13" t="str">
        <x:v>06</x:v>
      </x:c>
      <x:c r="D387" s="13" t="str">
        <x:v>TRILATERAL_SPLIT_MERGE</x:v>
      </x:c>
      <x:c r="E387" s="13" t="str">
        <x:v>Pending</x:v>
      </x:c>
      <x:c r="F387" s="13" t="n">
        <x:v>25</x:v>
      </x:c>
      <x:c r="G387" s="13" t="n">
        <x:v>3</x:v>
      </x:c>
      <x:c r="H387" s="13" t="n">
        <x:v>1</x:v>
      </x:c>
      <x:c r="I387" s="13" t="str">
        <x:v>0603190105; 0603190107; 0603190109; 0603190111; 0603190113; 0603190114; +19 more</x:v>
      </x:c>
      <x:c r="J387" s="13" t="str">
        <x:v>0603199901; 0603199991; 0603199999</x:v>
      </x:c>
      <x:c r="K387" s="13" t="str">
        <x:v>0603190000</x:v>
      </x:c>
      <x:c r="L387" s="13" t="str">
        <x:v>UNRESOLVED</x:v>
      </x:c>
      <x:c r="M387" s="13" t="str"/>
      <x:c r="N387" s="13" t="str">
        <x:v>NO / DEFAULT</x:v>
      </x:c>
      <x:c r="O387" s="13" t="str"/>
      <x:c r="P387" s="13" t="str">
        <x:v>NO / DEFAULT</x:v>
      </x:c>
      <x:c r="Q387" s="13" t="str"/>
      <x:c r="R387" s="13" t="str">
        <x:v>INDEPENDENT / DEFAULT</x:v>
      </x:c>
      <x:c r="S387" s="13" t="str"/>
      <x:c r="T387" s="13" t="str">
        <x:v>UNRESOLVED</x:v>
      </x:c>
      <x:c r="U387" s="13" t="str"/>
      <x:c r="V387" s="13" t="str"/>
      <x:c r="W387" s="13" t="str"/>
      <x:c r="X387" s="13" t="str">
        <x:f>IF(L387&lt;&gt;"COVERED","HELD — COVERAGE",IF(N387="YES — SENSITIVE","C ACTIONABLE","CHAPTER 5 DEFAULT"))</x:f>
        <x:v>HELD — COVERAGE</x:v>
      </x:c>
      <x:c r="Y387" s="13" t="str">
        <x:f>IF(L387&lt;&gt;"COVERED","HELD — COVERAGE",IF(P387="YES — MANAGED ACCESS","D ACTIONABLE","NO D FIELD"))</x:f>
        <x:v>HELD — COVERAGE</x:v>
      </x:c>
      <x:c r="Z387" s="13" t="str">
        <x:f>IF(L387&lt;&gt;"COVERED","HELD — COVERAGE",IF(OR(R387="PAIRED SYNCHRONIZED",R387="TRILATERAL SYNCHRONIZED"),"E ACTIONABLE","INDEPENDENT"))</x:f>
        <x:v>HELD — COVERAGE</x:v>
      </x:c>
      <x:c r="AA387" s="13" t="str">
        <x:f>IF(L387&lt;&gt;"COVERED","HELD — COVERAGE","WAIT FOR UPSTREAM COMPLETION")</x:f>
        <x:v>HELD — COVERAGE</x:v>
      </x:c>
      <x:c r="AB387" s="13" t="str">
        <x:f>IF(L387&lt;&gt;"COVERED","HELD — COVERAGE",IF(T387="UNRESOLVED","G DECISION REQUIRED",IF(T387="NOT APPLICABLE","G N/A","G ACTIONABLE")))</x:f>
        <x:v>HELD — COVERAGE</x:v>
      </x:c>
      <x:c r="AC387" s="13" t="str">
        <x:f>IF(L387="UNRESOLVED","COVERAGE FIRST",IF(OR(L387="EXCLUDED",L387="OUT OF SCOPE"),"CLOSED BY COVERAGE",IF(AND(L387="COVERED",T387&lt;&gt;"UNRESOLVED"),"PARTIALLY ADOPTED","DECISIONS REMAIN")))</x:f>
        <x:v>COVERAGE FIRST</x:v>
      </x:c>
    </x:row>
    <x:row r="388">
      <x:c r="A388" s="13" t="str">
        <x:v>NAAFTC-HS6-060390</x:v>
      </x:c>
      <x:c r="B388" s="13" t="str">
        <x:v>060390</x:v>
      </x:c>
      <x:c r="C388" s="13" t="str">
        <x:v>06</x:v>
      </x:c>
      <x:c r="D388" s="13" t="str">
        <x:v>TRILATERAL_SPLIT_MERGE</x:v>
      </x:c>
      <x:c r="E388" s="13" t="str">
        <x:v>Pending</x:v>
      </x:c>
      <x:c r="F388" s="13" t="n">
        <x:v>1</x:v>
      </x:c>
      <x:c r="G388" s="13" t="n">
        <x:v>1</x:v>
      </x:c>
      <x:c r="H388" s="13" t="n">
        <x:v>2</x:v>
      </x:c>
      <x:c r="I388" s="13" t="str">
        <x:v>0603900000</x:v>
      </x:c>
      <x:c r="J388" s="13" t="str">
        <x:v>0603909900</x:v>
      </x:c>
      <x:c r="K388" s="13" t="str">
        <x:v>0603901000; 0603902000</x:v>
      </x:c>
      <x:c r="L388" s="13" t="str">
        <x:v>UNRESOLVED</x:v>
      </x:c>
      <x:c r="M388" s="13" t="str"/>
      <x:c r="N388" s="13" t="str">
        <x:v>NO / DEFAULT</x:v>
      </x:c>
      <x:c r="O388" s="13" t="str"/>
      <x:c r="P388" s="13" t="str">
        <x:v>NO / DEFAULT</x:v>
      </x:c>
      <x:c r="Q388" s="13" t="str"/>
      <x:c r="R388" s="13" t="str">
        <x:v>INDEPENDENT / DEFAULT</x:v>
      </x:c>
      <x:c r="S388" s="13" t="str"/>
      <x:c r="T388" s="13" t="str">
        <x:v>UNRESOLVED</x:v>
      </x:c>
      <x:c r="U388" s="13" t="str"/>
      <x:c r="V388" s="13" t="str"/>
      <x:c r="W388" s="13" t="str"/>
      <x:c r="X388" s="13" t="str">
        <x:f>IF(L388&lt;&gt;"COVERED","HELD — COVERAGE",IF(N388="YES — SENSITIVE","C ACTIONABLE","CHAPTER 5 DEFAULT"))</x:f>
        <x:v>HELD — COVERAGE</x:v>
      </x:c>
      <x:c r="Y388" s="13" t="str">
        <x:f>IF(L388&lt;&gt;"COVERED","HELD — COVERAGE",IF(P388="YES — MANAGED ACCESS","D ACTIONABLE","NO D FIELD"))</x:f>
        <x:v>HELD — COVERAGE</x:v>
      </x:c>
      <x:c r="Z388" s="13" t="str">
        <x:f>IF(L388&lt;&gt;"COVERED","HELD — COVERAGE",IF(OR(R388="PAIRED SYNCHRONIZED",R388="TRILATERAL SYNCHRONIZED"),"E ACTIONABLE","INDEPENDENT"))</x:f>
        <x:v>HELD — COVERAGE</x:v>
      </x:c>
      <x:c r="AA388" s="13" t="str">
        <x:f>IF(L388&lt;&gt;"COVERED","HELD — COVERAGE","WAIT FOR UPSTREAM COMPLETION")</x:f>
        <x:v>HELD — COVERAGE</x:v>
      </x:c>
      <x:c r="AB388" s="13" t="str">
        <x:f>IF(L388&lt;&gt;"COVERED","HELD — COVERAGE",IF(T388="UNRESOLVED","G DECISION REQUIRED",IF(T388="NOT APPLICABLE","G N/A","G ACTIONABLE")))</x:f>
        <x:v>HELD — COVERAGE</x:v>
      </x:c>
      <x:c r="AC388" s="13" t="str">
        <x:f>IF(L388="UNRESOLVED","COVERAGE FIRST",IF(OR(L388="EXCLUDED",L388="OUT OF SCOPE"),"CLOSED BY COVERAGE",IF(AND(L388="COVERED",T388&lt;&gt;"UNRESOLVED"),"PARTIALLY ADOPTED","DECISIONS REMAIN")))</x:f>
        <x:v>COVERAGE FIRST</x:v>
      </x:c>
    </x:row>
    <x:row r="389">
      <x:c r="A389" s="13" t="str">
        <x:v>NAAFTC-HS6-060420</x:v>
      </x:c>
      <x:c r="B389" s="13" t="str">
        <x:v>060420</x:v>
      </x:c>
      <x:c r="C389" s="13" t="str">
        <x:v>06</x:v>
      </x:c>
      <x:c r="D389" s="13" t="str">
        <x:v>TRILATERAL_SPLIT_MERGE</x:v>
      </x:c>
      <x:c r="E389" s="13" t="str">
        <x:v>Pending</x:v>
      </x:c>
      <x:c r="F389" s="13" t="n">
        <x:v>14</x:v>
      </x:c>
      <x:c r="G389" s="13" t="n">
        <x:v>4</x:v>
      </x:c>
      <x:c r="H389" s="13" t="n">
        <x:v>2</x:v>
      </x:c>
      <x:c r="I389" s="13" t="str">
        <x:v>0604200005; 0604200011; 0604200015; 0604200020; 0604200040; 0604200060; +8 more</x:v>
      </x:c>
      <x:c r="J389" s="13" t="str">
        <x:v>0604200100; 0604209901; 0604209902; 0604209999</x:v>
      </x:c>
      <x:c r="K389" s="13" t="str">
        <x:v>06042010; 0604209000</x:v>
      </x:c>
      <x:c r="L389" s="13" t="str">
        <x:v>UNRESOLVED</x:v>
      </x:c>
      <x:c r="M389" s="13" t="str"/>
      <x:c r="N389" s="13" t="str">
        <x:v>NO / DEFAULT</x:v>
      </x:c>
      <x:c r="O389" s="13" t="str"/>
      <x:c r="P389" s="13" t="str">
        <x:v>NO / DEFAULT</x:v>
      </x:c>
      <x:c r="Q389" s="13" t="str"/>
      <x:c r="R389" s="13" t="str">
        <x:v>INDEPENDENT / DEFAULT</x:v>
      </x:c>
      <x:c r="S389" s="13" t="str"/>
      <x:c r="T389" s="13" t="str">
        <x:v>UNRESOLVED</x:v>
      </x:c>
      <x:c r="U389" s="13" t="str"/>
      <x:c r="V389" s="13" t="str"/>
      <x:c r="W389" s="13" t="str"/>
      <x:c r="X389" s="13" t="str">
        <x:f>IF(L389&lt;&gt;"COVERED","HELD — COVERAGE",IF(N389="YES — SENSITIVE","C ACTIONABLE","CHAPTER 5 DEFAULT"))</x:f>
        <x:v>HELD — COVERAGE</x:v>
      </x:c>
      <x:c r="Y389" s="13" t="str">
        <x:f>IF(L389&lt;&gt;"COVERED","HELD — COVERAGE",IF(P389="YES — MANAGED ACCESS","D ACTIONABLE","NO D FIELD"))</x:f>
        <x:v>HELD — COVERAGE</x:v>
      </x:c>
      <x:c r="Z389" s="13" t="str">
        <x:f>IF(L389&lt;&gt;"COVERED","HELD — COVERAGE",IF(OR(R389="PAIRED SYNCHRONIZED",R389="TRILATERAL SYNCHRONIZED"),"E ACTIONABLE","INDEPENDENT"))</x:f>
        <x:v>HELD — COVERAGE</x:v>
      </x:c>
      <x:c r="AA389" s="13" t="str">
        <x:f>IF(L389&lt;&gt;"COVERED","HELD — COVERAGE","WAIT FOR UPSTREAM COMPLETION")</x:f>
        <x:v>HELD — COVERAGE</x:v>
      </x:c>
      <x:c r="AB389" s="13" t="str">
        <x:f>IF(L389&lt;&gt;"COVERED","HELD — COVERAGE",IF(T389="UNRESOLVED","G DECISION REQUIRED",IF(T389="NOT APPLICABLE","G N/A","G ACTIONABLE")))</x:f>
        <x:v>HELD — COVERAGE</x:v>
      </x:c>
      <x:c r="AC389" s="13" t="str">
        <x:f>IF(L389="UNRESOLVED","COVERAGE FIRST",IF(OR(L389="EXCLUDED",L389="OUT OF SCOPE"),"CLOSED BY COVERAGE",IF(AND(L389="COVERED",T389&lt;&gt;"UNRESOLVED"),"PARTIALLY ADOPTED","DECISIONS REMAIN")))</x:f>
        <x:v>COVERAGE FIRST</x:v>
      </x:c>
    </x:row>
    <x:row r="390">
      <x:c r="A390" s="13" t="str">
        <x:v>NAAFTC-HS6-060490</x:v>
      </x:c>
      <x:c r="B390" s="13" t="str">
        <x:v>060490</x:v>
      </x:c>
      <x:c r="C390" s="13" t="str">
        <x:v>06</x:v>
      </x:c>
      <x:c r="D390" s="13" t="str">
        <x:v>TRILATERAL_SPLIT_MERGE</x:v>
      </x:c>
      <x:c r="E390" s="13" t="str">
        <x:v>Pending</x:v>
      </x:c>
      <x:c r="F390" s="13" t="n">
        <x:v>3</x:v>
      </x:c>
      <x:c r="G390" s="13" t="n">
        <x:v>3</x:v>
      </x:c>
      <x:c r="H390" s="13" t="n">
        <x:v>2</x:v>
      </x:c>
      <x:c r="I390" s="13" t="str">
        <x:v>0604901000; 0604903000; 0604906000</x:v>
      </x:c>
      <x:c r="J390" s="13" t="str">
        <x:v>0604900100; 0604909901; 0604909999</x:v>
      </x:c>
      <x:c r="K390" s="13" t="str">
        <x:v>0604901000; 0604909000</x:v>
      </x:c>
      <x:c r="L390" s="13" t="str">
        <x:v>UNRESOLVED</x:v>
      </x:c>
      <x:c r="M390" s="13" t="str"/>
      <x:c r="N390" s="13" t="str">
        <x:v>NO / DEFAULT</x:v>
      </x:c>
      <x:c r="O390" s="13" t="str"/>
      <x:c r="P390" s="13" t="str">
        <x:v>NO / DEFAULT</x:v>
      </x:c>
      <x:c r="Q390" s="13" t="str"/>
      <x:c r="R390" s="13" t="str">
        <x:v>INDEPENDENT / DEFAULT</x:v>
      </x:c>
      <x:c r="S390" s="13" t="str"/>
      <x:c r="T390" s="13" t="str">
        <x:v>UNRESOLVED</x:v>
      </x:c>
      <x:c r="U390" s="13" t="str"/>
      <x:c r="V390" s="13" t="str"/>
      <x:c r="W390" s="13" t="str"/>
      <x:c r="X390" s="13" t="str">
        <x:f>IF(L390&lt;&gt;"COVERED","HELD — COVERAGE",IF(N390="YES — SENSITIVE","C ACTIONABLE","CHAPTER 5 DEFAULT"))</x:f>
        <x:v>HELD — COVERAGE</x:v>
      </x:c>
      <x:c r="Y390" s="13" t="str">
        <x:f>IF(L390&lt;&gt;"COVERED","HELD — COVERAGE",IF(P390="YES — MANAGED ACCESS","D ACTIONABLE","NO D FIELD"))</x:f>
        <x:v>HELD — COVERAGE</x:v>
      </x:c>
      <x:c r="Z390" s="13" t="str">
        <x:f>IF(L390&lt;&gt;"COVERED","HELD — COVERAGE",IF(OR(R390="PAIRED SYNCHRONIZED",R390="TRILATERAL SYNCHRONIZED"),"E ACTIONABLE","INDEPENDENT"))</x:f>
        <x:v>HELD — COVERAGE</x:v>
      </x:c>
      <x:c r="AA390" s="13" t="str">
        <x:f>IF(L390&lt;&gt;"COVERED","HELD — COVERAGE","WAIT FOR UPSTREAM COMPLETION")</x:f>
        <x:v>HELD — COVERAGE</x:v>
      </x:c>
      <x:c r="AB390" s="13" t="str">
        <x:f>IF(L390&lt;&gt;"COVERED","HELD — COVERAGE",IF(T390="UNRESOLVED","G DECISION REQUIRED",IF(T390="NOT APPLICABLE","G N/A","G ACTIONABLE")))</x:f>
        <x:v>HELD — COVERAGE</x:v>
      </x:c>
      <x:c r="AC390" s="13" t="str">
        <x:f>IF(L390="UNRESOLVED","COVERAGE FIRST",IF(OR(L390="EXCLUDED",L390="OUT OF SCOPE"),"CLOSED BY COVERAGE",IF(AND(L390="COVERED",T390&lt;&gt;"UNRESOLVED"),"PARTIALLY ADOPTED","DECISIONS REMAIN")))</x:f>
        <x:v>COVERAGE FIRST</x:v>
      </x:c>
    </x:row>
    <x:row r="391">
      <x:c r="A391" s="13" t="str">
        <x:v>NAAFTC-HS6-070110</x:v>
      </x:c>
      <x:c r="B391" s="13" t="str">
        <x:v>070110</x:v>
      </x:c>
      <x:c r="C391" s="13" t="str">
        <x:v>07</x:v>
      </x:c>
      <x:c r="D391" s="13" t="str">
        <x:v>TRILATERAL_SPLIT_MERGE</x:v>
      </x:c>
      <x:c r="E391" s="13" t="str">
        <x:v>Pending</x:v>
      </x:c>
      <x:c r="F391" s="13" t="n">
        <x:v>2</x:v>
      </x:c>
      <x:c r="G391" s="13" t="n">
        <x:v>1</x:v>
      </x:c>
      <x:c r="H391" s="13" t="n">
        <x:v>1</x:v>
      </x:c>
      <x:c r="I391" s="13" t="str">
        <x:v>0701100020; 0701100040</x:v>
      </x:c>
      <x:c r="J391" s="13" t="str">
        <x:v>0701100100</x:v>
      </x:c>
      <x:c r="K391" s="13" t="str">
        <x:v>0701100000</x:v>
      </x:c>
      <x:c r="L391" s="13" t="str">
        <x:v>UNRESOLVED</x:v>
      </x:c>
      <x:c r="M391" s="13" t="str"/>
      <x:c r="N391" s="13" t="str">
        <x:v>NO / DEFAULT</x:v>
      </x:c>
      <x:c r="O391" s="13" t="str"/>
      <x:c r="P391" s="13" t="str">
        <x:v>NO / DEFAULT</x:v>
      </x:c>
      <x:c r="Q391" s="13" t="str"/>
      <x:c r="R391" s="13" t="str">
        <x:v>INDEPENDENT / DEFAULT</x:v>
      </x:c>
      <x:c r="S391" s="13" t="str"/>
      <x:c r="T391" s="13" t="str">
        <x:v>UNRESOLVED</x:v>
      </x:c>
      <x:c r="U391" s="13" t="str"/>
      <x:c r="V391" s="13" t="str"/>
      <x:c r="W391" s="13" t="str"/>
      <x:c r="X391" s="13" t="str">
        <x:f>IF(L391&lt;&gt;"COVERED","HELD — COVERAGE",IF(N391="YES — SENSITIVE","C ACTIONABLE","CHAPTER 5 DEFAULT"))</x:f>
        <x:v>HELD — COVERAGE</x:v>
      </x:c>
      <x:c r="Y391" s="13" t="str">
        <x:f>IF(L391&lt;&gt;"COVERED","HELD — COVERAGE",IF(P391="YES — MANAGED ACCESS","D ACTIONABLE","NO D FIELD"))</x:f>
        <x:v>HELD — COVERAGE</x:v>
      </x:c>
      <x:c r="Z391" s="13" t="str">
        <x:f>IF(L391&lt;&gt;"COVERED","HELD — COVERAGE",IF(OR(R391="PAIRED SYNCHRONIZED",R391="TRILATERAL SYNCHRONIZED"),"E ACTIONABLE","INDEPENDENT"))</x:f>
        <x:v>HELD — COVERAGE</x:v>
      </x:c>
      <x:c r="AA391" s="13" t="str">
        <x:f>IF(L391&lt;&gt;"COVERED","HELD — COVERAGE","WAIT FOR UPSTREAM COMPLETION")</x:f>
        <x:v>HELD — COVERAGE</x:v>
      </x:c>
      <x:c r="AB391" s="13" t="str">
        <x:f>IF(L391&lt;&gt;"COVERED","HELD — COVERAGE",IF(T391="UNRESOLVED","G DECISION REQUIRED",IF(T391="NOT APPLICABLE","G N/A","G ACTIONABLE")))</x:f>
        <x:v>HELD — COVERAGE</x:v>
      </x:c>
      <x:c r="AC391" s="13" t="str">
        <x:f>IF(L391="UNRESOLVED","COVERAGE FIRST",IF(OR(L391="EXCLUDED",L391="OUT OF SCOPE"),"CLOSED BY COVERAGE",IF(AND(L391="COVERED",T391&lt;&gt;"UNRESOLVED"),"PARTIALLY ADOPTED","DECISIONS REMAIN")))</x:f>
        <x:v>COVERAGE FIRST</x:v>
      </x:c>
    </x:row>
    <x:row r="392">
      <x:c r="A392" s="13" t="str">
        <x:v>NAAFTC-HS6-070190</x:v>
      </x:c>
      <x:c r="B392" s="13" t="str">
        <x:v>070190</x:v>
      </x:c>
      <x:c r="C392" s="13" t="str">
        <x:v>07</x:v>
      </x:c>
      <x:c r="D392" s="13" t="str">
        <x:v>TRILATERAL_SPLIT_MERGE</x:v>
      </x:c>
      <x:c r="E392" s="13" t="str">
        <x:v>Pending</x:v>
      </x:c>
      <x:c r="F392" s="13" t="n">
        <x:v>12</x:v>
      </x:c>
      <x:c r="G392" s="13" t="n">
        <x:v>1</x:v>
      </x:c>
      <x:c r="H392" s="13" t="n">
        <x:v>1</x:v>
      </x:c>
      <x:c r="I392" s="13" t="str">
        <x:v>0701901010; 0701901060; 0701905005; 0701905017; 0701905021; 0701905037; +6 more</x:v>
      </x:c>
      <x:c r="J392" s="13" t="str">
        <x:v>0701909900</x:v>
      </x:c>
      <x:c r="K392" s="13" t="str">
        <x:v>07019000</x:v>
      </x:c>
      <x:c r="L392" s="13" t="str">
        <x:v>UNRESOLVED</x:v>
      </x:c>
      <x:c r="M392" s="13" t="str"/>
      <x:c r="N392" s="13" t="str">
        <x:v>NO / DEFAULT</x:v>
      </x:c>
      <x:c r="O392" s="13" t="str"/>
      <x:c r="P392" s="13" t="str">
        <x:v>NO / DEFAULT</x:v>
      </x:c>
      <x:c r="Q392" s="13" t="str"/>
      <x:c r="R392" s="13" t="str">
        <x:v>INDEPENDENT / DEFAULT</x:v>
      </x:c>
      <x:c r="S392" s="13" t="str"/>
      <x:c r="T392" s="13" t="str">
        <x:v>UNRESOLVED</x:v>
      </x:c>
      <x:c r="U392" s="13" t="str"/>
      <x:c r="V392" s="13" t="str"/>
      <x:c r="W392" s="13" t="str"/>
      <x:c r="X392" s="13" t="str">
        <x:f>IF(L392&lt;&gt;"COVERED","HELD — COVERAGE",IF(N392="YES — SENSITIVE","C ACTIONABLE","CHAPTER 5 DEFAULT"))</x:f>
        <x:v>HELD — COVERAGE</x:v>
      </x:c>
      <x:c r="Y392" s="13" t="str">
        <x:f>IF(L392&lt;&gt;"COVERED","HELD — COVERAGE",IF(P392="YES — MANAGED ACCESS","D ACTIONABLE","NO D FIELD"))</x:f>
        <x:v>HELD — COVERAGE</x:v>
      </x:c>
      <x:c r="Z392" s="13" t="str">
        <x:f>IF(L392&lt;&gt;"COVERED","HELD — COVERAGE",IF(OR(R392="PAIRED SYNCHRONIZED",R392="TRILATERAL SYNCHRONIZED"),"E ACTIONABLE","INDEPENDENT"))</x:f>
        <x:v>HELD — COVERAGE</x:v>
      </x:c>
      <x:c r="AA392" s="13" t="str">
        <x:f>IF(L392&lt;&gt;"COVERED","HELD — COVERAGE","WAIT FOR UPSTREAM COMPLETION")</x:f>
        <x:v>HELD — COVERAGE</x:v>
      </x:c>
      <x:c r="AB392" s="13" t="str">
        <x:f>IF(L392&lt;&gt;"COVERED","HELD — COVERAGE",IF(T392="UNRESOLVED","G DECISION REQUIRED",IF(T392="NOT APPLICABLE","G N/A","G ACTIONABLE")))</x:f>
        <x:v>HELD — COVERAGE</x:v>
      </x:c>
      <x:c r="AC392" s="13" t="str">
        <x:f>IF(L392="UNRESOLVED","COVERAGE FIRST",IF(OR(L392="EXCLUDED",L392="OUT OF SCOPE"),"CLOSED BY COVERAGE",IF(AND(L392="COVERED",T392&lt;&gt;"UNRESOLVED"),"PARTIALLY ADOPTED","DECISIONS REMAIN")))</x:f>
        <x:v>COVERAGE FIRST</x:v>
      </x:c>
    </x:row>
    <x:row r="393">
      <x:c r="A393" s="13" t="str">
        <x:v>NAAFTC-HS6-070200</x:v>
      </x:c>
      <x:c r="B393" s="13" t="str">
        <x:v>070200</x:v>
      </x:c>
      <x:c r="C393" s="13" t="str">
        <x:v>07</x:v>
      </x:c>
      <x:c r="D393" s="13" t="str">
        <x:v>TRILATERAL_SPLIT_MERGE</x:v>
      </x:c>
      <x:c r="E393" s="13" t="str">
        <x:v>Pending</x:v>
      </x:c>
      <x:c r="F393" s="13" t="n">
        <x:v>51</x:v>
      </x:c>
      <x:c r="G393" s="13" t="n">
        <x:v>6</x:v>
      </x:c>
      <x:c r="H393" s="13" t="n">
        <x:v>5</x:v>
      </x:c>
      <x:c r="I393" s="13" t="str">
        <x:v>0702002002; 0702002004; 0702002006; 0702002008; 0702002019; 0702002026; +45 more</x:v>
      </x:c>
      <x:c r="J393" s="13" t="str">
        <x:v>0702000301; 0702000302; 0702000303; 0702000304; 0702000305; 0702000399</x:v>
      </x:c>
      <x:c r="K393" s="13" t="str">
        <x:v>0702001000; 0702002100; 07020029; 0702009100; 07020099</x:v>
      </x:c>
      <x:c r="L393" s="13" t="str">
        <x:v>UNRESOLVED</x:v>
      </x:c>
      <x:c r="M393" s="13" t="str"/>
      <x:c r="N393" s="13" t="str">
        <x:v>NO / DEFAULT</x:v>
      </x:c>
      <x:c r="O393" s="13" t="str"/>
      <x:c r="P393" s="13" t="str">
        <x:v>NO / DEFAULT</x:v>
      </x:c>
      <x:c r="Q393" s="13" t="str"/>
      <x:c r="R393" s="13" t="str">
        <x:v>INDEPENDENT / DEFAULT</x:v>
      </x:c>
      <x:c r="S393" s="13" t="str"/>
      <x:c r="T393" s="13" t="str">
        <x:v>UNRESOLVED</x:v>
      </x:c>
      <x:c r="U393" s="13" t="str"/>
      <x:c r="V393" s="13" t="str"/>
      <x:c r="W393" s="13" t="str"/>
      <x:c r="X393" s="13" t="str">
        <x:f>IF(L393&lt;&gt;"COVERED","HELD — COVERAGE",IF(N393="YES — SENSITIVE","C ACTIONABLE","CHAPTER 5 DEFAULT"))</x:f>
        <x:v>HELD — COVERAGE</x:v>
      </x:c>
      <x:c r="Y393" s="13" t="str">
        <x:f>IF(L393&lt;&gt;"COVERED","HELD — COVERAGE",IF(P393="YES — MANAGED ACCESS","D ACTIONABLE","NO D FIELD"))</x:f>
        <x:v>HELD — COVERAGE</x:v>
      </x:c>
      <x:c r="Z393" s="13" t="str">
        <x:f>IF(L393&lt;&gt;"COVERED","HELD — COVERAGE",IF(OR(R393="PAIRED SYNCHRONIZED",R393="TRILATERAL SYNCHRONIZED"),"E ACTIONABLE","INDEPENDENT"))</x:f>
        <x:v>HELD — COVERAGE</x:v>
      </x:c>
      <x:c r="AA393" s="13" t="str">
        <x:f>IF(L393&lt;&gt;"COVERED","HELD — COVERAGE","WAIT FOR UPSTREAM COMPLETION")</x:f>
        <x:v>HELD — COVERAGE</x:v>
      </x:c>
      <x:c r="AB393" s="13" t="str">
        <x:f>IF(L393&lt;&gt;"COVERED","HELD — COVERAGE",IF(T393="UNRESOLVED","G DECISION REQUIRED",IF(T393="NOT APPLICABLE","G N/A","G ACTIONABLE")))</x:f>
        <x:v>HELD — COVERAGE</x:v>
      </x:c>
      <x:c r="AC393" s="13" t="str">
        <x:f>IF(L393="UNRESOLVED","COVERAGE FIRST",IF(OR(L393="EXCLUDED",L393="OUT OF SCOPE"),"CLOSED BY COVERAGE",IF(AND(L393="COVERED",T393&lt;&gt;"UNRESOLVED"),"PARTIALLY ADOPTED","DECISIONS REMAIN")))</x:f>
        <x:v>COVERAGE FIRST</x:v>
      </x:c>
    </x:row>
    <x:row r="394">
      <x:c r="A394" s="13" t="str">
        <x:v>NAAFTC-HS6-070310</x:v>
      </x:c>
      <x:c r="B394" s="13" t="str">
        <x:v>070310</x:v>
      </x:c>
      <x:c r="C394" s="13" t="str">
        <x:v>07</x:v>
      </x:c>
      <x:c r="D394" s="13" t="str">
        <x:v>TRILATERAL_SPLIT_MERGE</x:v>
      </x:c>
      <x:c r="E394" s="13" t="str">
        <x:v>Pending</x:v>
      </x:c>
      <x:c r="F394" s="13" t="n">
        <x:v>11</x:v>
      </x:c>
      <x:c r="G394" s="13" t="n">
        <x:v>2</x:v>
      </x:c>
      <x:c r="H394" s="13" t="n">
        <x:v>4</x:v>
      </x:c>
      <x:c r="I394" s="13" t="str">
        <x:v>0703102000; 0703103000; 0703104025; 0703104045; 0703104055; 0703104060; +5 more</x:v>
      </x:c>
      <x:c r="J394" s="13" t="str">
        <x:v>0703100201; 0703100299</x:v>
      </x:c>
      <x:c r="K394" s="13" t="str">
        <x:v>0703101000; 0703102000; 0703103100; 07031039</x:v>
      </x:c>
      <x:c r="L394" s="13" t="str">
        <x:v>UNRESOLVED</x:v>
      </x:c>
      <x:c r="M394" s="13" t="str"/>
      <x:c r="N394" s="13" t="str">
        <x:v>NO / DEFAULT</x:v>
      </x:c>
      <x:c r="O394" s="13" t="str"/>
      <x:c r="P394" s="13" t="str">
        <x:v>NO / DEFAULT</x:v>
      </x:c>
      <x:c r="Q394" s="13" t="str"/>
      <x:c r="R394" s="13" t="str">
        <x:v>INDEPENDENT / DEFAULT</x:v>
      </x:c>
      <x:c r="S394" s="13" t="str"/>
      <x:c r="T394" s="13" t="str">
        <x:v>UNRESOLVED</x:v>
      </x:c>
      <x:c r="U394" s="13" t="str"/>
      <x:c r="V394" s="13" t="str"/>
      <x:c r="W394" s="13" t="str"/>
      <x:c r="X394" s="13" t="str">
        <x:f>IF(L394&lt;&gt;"COVERED","HELD — COVERAGE",IF(N394="YES — SENSITIVE","C ACTIONABLE","CHAPTER 5 DEFAULT"))</x:f>
        <x:v>HELD — COVERAGE</x:v>
      </x:c>
      <x:c r="Y394" s="13" t="str">
        <x:f>IF(L394&lt;&gt;"COVERED","HELD — COVERAGE",IF(P394="YES — MANAGED ACCESS","D ACTIONABLE","NO D FIELD"))</x:f>
        <x:v>HELD — COVERAGE</x:v>
      </x:c>
      <x:c r="Z394" s="13" t="str">
        <x:f>IF(L394&lt;&gt;"COVERED","HELD — COVERAGE",IF(OR(R394="PAIRED SYNCHRONIZED",R394="TRILATERAL SYNCHRONIZED"),"E ACTIONABLE","INDEPENDENT"))</x:f>
        <x:v>HELD — COVERAGE</x:v>
      </x:c>
      <x:c r="AA394" s="13" t="str">
        <x:f>IF(L394&lt;&gt;"COVERED","HELD — COVERAGE","WAIT FOR UPSTREAM COMPLETION")</x:f>
        <x:v>HELD — COVERAGE</x:v>
      </x:c>
      <x:c r="AB394" s="13" t="str">
        <x:f>IF(L394&lt;&gt;"COVERED","HELD — COVERAGE",IF(T394="UNRESOLVED","G DECISION REQUIRED",IF(T394="NOT APPLICABLE","G N/A","G ACTIONABLE")))</x:f>
        <x:v>HELD — COVERAGE</x:v>
      </x:c>
      <x:c r="AC394" s="13" t="str">
        <x:f>IF(L394="UNRESOLVED","COVERAGE FIRST",IF(OR(L394="EXCLUDED",L394="OUT OF SCOPE"),"CLOSED BY COVERAGE",IF(AND(L394="COVERED",T394&lt;&gt;"UNRESOLVED"),"PARTIALLY ADOPTED","DECISIONS REMAIN")))</x:f>
        <x:v>COVERAGE FIRST</x:v>
      </x:c>
    </x:row>
    <x:row r="395">
      <x:c r="A395" s="13" t="str">
        <x:v>NAAFTC-HS6-070320</x:v>
      </x:c>
      <x:c r="B395" s="13" t="str">
        <x:v>070320</x:v>
      </x:c>
      <x:c r="C395" s="13" t="str">
        <x:v>07</x:v>
      </x:c>
      <x:c r="D395" s="13" t="str">
        <x:v>TRILATERAL_SPLIT_MERGE</x:v>
      </x:c>
      <x:c r="E395" s="13" t="str">
        <x:v>Pending</x:v>
      </x:c>
      <x:c r="F395" s="13" t="n">
        <x:v>4</x:v>
      </x:c>
      <x:c r="G395" s="13" t="n">
        <x:v>2</x:v>
      </x:c>
      <x:c r="H395" s="13" t="n">
        <x:v>1</x:v>
      </x:c>
      <x:c r="I395" s="13" t="str">
        <x:v>0703200005; 0703200015; 0703200020; 0703200090</x:v>
      </x:c>
      <x:c r="J395" s="13" t="str">
        <x:v>0703200201; 0703200299</x:v>
      </x:c>
      <x:c r="K395" s="13" t="str">
        <x:v>0703200000</x:v>
      </x:c>
      <x:c r="L395" s="13" t="str">
        <x:v>UNRESOLVED</x:v>
      </x:c>
      <x:c r="M395" s="13" t="str"/>
      <x:c r="N395" s="13" t="str">
        <x:v>NO / DEFAULT</x:v>
      </x:c>
      <x:c r="O395" s="13" t="str"/>
      <x:c r="P395" s="13" t="str">
        <x:v>NO / DEFAULT</x:v>
      </x:c>
      <x:c r="Q395" s="13" t="str"/>
      <x:c r="R395" s="13" t="str">
        <x:v>INDEPENDENT / DEFAULT</x:v>
      </x:c>
      <x:c r="S395" s="13" t="str"/>
      <x:c r="T395" s="13" t="str">
        <x:v>UNRESOLVED</x:v>
      </x:c>
      <x:c r="U395" s="13" t="str"/>
      <x:c r="V395" s="13" t="str"/>
      <x:c r="W395" s="13" t="str"/>
      <x:c r="X395" s="13" t="str">
        <x:f>IF(L395&lt;&gt;"COVERED","HELD — COVERAGE",IF(N395="YES — SENSITIVE","C ACTIONABLE","CHAPTER 5 DEFAULT"))</x:f>
        <x:v>HELD — COVERAGE</x:v>
      </x:c>
      <x:c r="Y395" s="13" t="str">
        <x:f>IF(L395&lt;&gt;"COVERED","HELD — COVERAGE",IF(P395="YES — MANAGED ACCESS","D ACTIONABLE","NO D FIELD"))</x:f>
        <x:v>HELD — COVERAGE</x:v>
      </x:c>
      <x:c r="Z395" s="13" t="str">
        <x:f>IF(L395&lt;&gt;"COVERED","HELD — COVERAGE",IF(OR(R395="PAIRED SYNCHRONIZED",R395="TRILATERAL SYNCHRONIZED"),"E ACTIONABLE","INDEPENDENT"))</x:f>
        <x:v>HELD — COVERAGE</x:v>
      </x:c>
      <x:c r="AA395" s="13" t="str">
        <x:f>IF(L395&lt;&gt;"COVERED","HELD — COVERAGE","WAIT FOR UPSTREAM COMPLETION")</x:f>
        <x:v>HELD — COVERAGE</x:v>
      </x:c>
      <x:c r="AB395" s="13" t="str">
        <x:f>IF(L395&lt;&gt;"COVERED","HELD — COVERAGE",IF(T395="UNRESOLVED","G DECISION REQUIRED",IF(T395="NOT APPLICABLE","G N/A","G ACTIONABLE")))</x:f>
        <x:v>HELD — COVERAGE</x:v>
      </x:c>
      <x:c r="AC395" s="13" t="str">
        <x:f>IF(L395="UNRESOLVED","COVERAGE FIRST",IF(OR(L395="EXCLUDED",L395="OUT OF SCOPE"),"CLOSED BY COVERAGE",IF(AND(L395="COVERED",T395&lt;&gt;"UNRESOLVED"),"PARTIALLY ADOPTED","DECISIONS REMAIN")))</x:f>
        <x:v>COVERAGE FIRST</x:v>
      </x:c>
    </x:row>
    <x:row r="396">
      <x:c r="A396" s="13" t="str">
        <x:v>NAAFTC-HS6-070390</x:v>
      </x:c>
      <x:c r="B396" s="13" t="str">
        <x:v>070390</x:v>
      </x:c>
      <x:c r="C396" s="13" t="str">
        <x:v>07</x:v>
      </x:c>
      <x:c r="D396" s="13" t="str">
        <x:v>TRILATERAL_SPLIT_MERGE</x:v>
      </x:c>
      <x:c r="E396" s="13" t="str">
        <x:v>Pending</x:v>
      </x:c>
      <x:c r="F396" s="13" t="n">
        <x:v>2</x:v>
      </x:c>
      <x:c r="G396" s="13" t="n">
        <x:v>1</x:v>
      </x:c>
      <x:c r="H396" s="13" t="n">
        <x:v>1</x:v>
      </x:c>
      <x:c r="I396" s="13" t="str">
        <x:v>0703900020; 0703900040</x:v>
      </x:c>
      <x:c r="J396" s="13" t="str">
        <x:v>0703900100</x:v>
      </x:c>
      <x:c r="K396" s="13" t="str">
        <x:v>0703900000</x:v>
      </x:c>
      <x:c r="L396" s="13" t="str">
        <x:v>UNRESOLVED</x:v>
      </x:c>
      <x:c r="M396" s="13" t="str"/>
      <x:c r="N396" s="13" t="str">
        <x:v>NO / DEFAULT</x:v>
      </x:c>
      <x:c r="O396" s="13" t="str"/>
      <x:c r="P396" s="13" t="str">
        <x:v>NO / DEFAULT</x:v>
      </x:c>
      <x:c r="Q396" s="13" t="str"/>
      <x:c r="R396" s="13" t="str">
        <x:v>INDEPENDENT / DEFAULT</x:v>
      </x:c>
      <x:c r="S396" s="13" t="str"/>
      <x:c r="T396" s="13" t="str">
        <x:v>UNRESOLVED</x:v>
      </x:c>
      <x:c r="U396" s="13" t="str"/>
      <x:c r="V396" s="13" t="str"/>
      <x:c r="W396" s="13" t="str"/>
      <x:c r="X396" s="13" t="str">
        <x:f>IF(L396&lt;&gt;"COVERED","HELD — COVERAGE",IF(N396="YES — SENSITIVE","C ACTIONABLE","CHAPTER 5 DEFAULT"))</x:f>
        <x:v>HELD — COVERAGE</x:v>
      </x:c>
      <x:c r="Y396" s="13" t="str">
        <x:f>IF(L396&lt;&gt;"COVERED","HELD — COVERAGE",IF(P396="YES — MANAGED ACCESS","D ACTIONABLE","NO D FIELD"))</x:f>
        <x:v>HELD — COVERAGE</x:v>
      </x:c>
      <x:c r="Z396" s="13" t="str">
        <x:f>IF(L396&lt;&gt;"COVERED","HELD — COVERAGE",IF(OR(R396="PAIRED SYNCHRONIZED",R396="TRILATERAL SYNCHRONIZED"),"E ACTIONABLE","INDEPENDENT"))</x:f>
        <x:v>HELD — COVERAGE</x:v>
      </x:c>
      <x:c r="AA396" s="13" t="str">
        <x:f>IF(L396&lt;&gt;"COVERED","HELD — COVERAGE","WAIT FOR UPSTREAM COMPLETION")</x:f>
        <x:v>HELD — COVERAGE</x:v>
      </x:c>
      <x:c r="AB396" s="13" t="str">
        <x:f>IF(L396&lt;&gt;"COVERED","HELD — COVERAGE",IF(T396="UNRESOLVED","G DECISION REQUIRED",IF(T396="NOT APPLICABLE","G N/A","G ACTIONABLE")))</x:f>
        <x:v>HELD — COVERAGE</x:v>
      </x:c>
      <x:c r="AC396" s="13" t="str">
        <x:f>IF(L396="UNRESOLVED","COVERAGE FIRST",IF(OR(L396="EXCLUDED",L396="OUT OF SCOPE"),"CLOSED BY COVERAGE",IF(AND(L396="COVERED",T396&lt;&gt;"UNRESOLVED"),"PARTIALLY ADOPTED","DECISIONS REMAIN")))</x:f>
        <x:v>COVERAGE FIRST</x:v>
      </x:c>
    </x:row>
    <x:row r="397">
      <x:c r="A397" s="13" t="str">
        <x:v>NAAFTC-HS6-070410</x:v>
      </x:c>
      <x:c r="B397" s="13" t="str">
        <x:v>070410</x:v>
      </x:c>
      <x:c r="C397" s="13" t="str">
        <x:v>07</x:v>
      </x:c>
      <x:c r="D397" s="13" t="str">
        <x:v>TRILATERAL_SPLIT_MERGE</x:v>
      </x:c>
      <x:c r="E397" s="13" t="str">
        <x:v>Pending</x:v>
      </x:c>
      <x:c r="F397" s="13" t="n">
        <x:v>3</x:v>
      </x:c>
      <x:c r="G397" s="13" t="n">
        <x:v>3</x:v>
      </x:c>
      <x:c r="H397" s="13" t="n">
        <x:v>6</x:v>
      </x:c>
      <x:c r="I397" s="13" t="str">
        <x:v>0704102000; 0704104000; 0704106000</x:v>
      </x:c>
      <x:c r="J397" s="13" t="str">
        <x:v>0704100301; 0704100302; 0704100399</x:v>
      </x:c>
      <x:c r="K397" s="13" t="str">
        <x:v>0704101100; 0704101200; 0704102000; 0704103100; 07041039; 07041090</x:v>
      </x:c>
      <x:c r="L397" s="13" t="str">
        <x:v>UNRESOLVED</x:v>
      </x:c>
      <x:c r="M397" s="13" t="str"/>
      <x:c r="N397" s="13" t="str">
        <x:v>NO / DEFAULT</x:v>
      </x:c>
      <x:c r="O397" s="13" t="str"/>
      <x:c r="P397" s="13" t="str">
        <x:v>NO / DEFAULT</x:v>
      </x:c>
      <x:c r="Q397" s="13" t="str"/>
      <x:c r="R397" s="13" t="str">
        <x:v>INDEPENDENT / DEFAULT</x:v>
      </x:c>
      <x:c r="S397" s="13" t="str"/>
      <x:c r="T397" s="13" t="str">
        <x:v>UNRESOLVED</x:v>
      </x:c>
      <x:c r="U397" s="13" t="str"/>
      <x:c r="V397" s="13" t="str"/>
      <x:c r="W397" s="13" t="str"/>
      <x:c r="X397" s="13" t="str">
        <x:f>IF(L397&lt;&gt;"COVERED","HELD — COVERAGE",IF(N397="YES — SENSITIVE","C ACTIONABLE","CHAPTER 5 DEFAULT"))</x:f>
        <x:v>HELD — COVERAGE</x:v>
      </x:c>
      <x:c r="Y397" s="13" t="str">
        <x:f>IF(L397&lt;&gt;"COVERED","HELD — COVERAGE",IF(P397="YES — MANAGED ACCESS","D ACTIONABLE","NO D FIELD"))</x:f>
        <x:v>HELD — COVERAGE</x:v>
      </x:c>
      <x:c r="Z397" s="13" t="str">
        <x:f>IF(L397&lt;&gt;"COVERED","HELD — COVERAGE",IF(OR(R397="PAIRED SYNCHRONIZED",R397="TRILATERAL SYNCHRONIZED"),"E ACTIONABLE","INDEPENDENT"))</x:f>
        <x:v>HELD — COVERAGE</x:v>
      </x:c>
      <x:c r="AA397" s="13" t="str">
        <x:f>IF(L397&lt;&gt;"COVERED","HELD — COVERAGE","WAIT FOR UPSTREAM COMPLETION")</x:f>
        <x:v>HELD — COVERAGE</x:v>
      </x:c>
      <x:c r="AB397" s="13" t="str">
        <x:f>IF(L397&lt;&gt;"COVERED","HELD — COVERAGE",IF(T397="UNRESOLVED","G DECISION REQUIRED",IF(T397="NOT APPLICABLE","G N/A","G ACTIONABLE")))</x:f>
        <x:v>HELD — COVERAGE</x:v>
      </x:c>
      <x:c r="AC397" s="13" t="str">
        <x:f>IF(L397="UNRESOLVED","COVERAGE FIRST",IF(OR(L397="EXCLUDED",L397="OUT OF SCOPE"),"CLOSED BY COVERAGE",IF(AND(L397="COVERED",T397&lt;&gt;"UNRESOLVED"),"PARTIALLY ADOPTED","DECISIONS REMAIN")))</x:f>
        <x:v>COVERAGE FIRST</x:v>
      </x:c>
    </x:row>
    <x:row r="398">
      <x:c r="A398" s="13" t="str">
        <x:v>NAAFTC-HS6-070420</x:v>
      </x:c>
      <x:c r="B398" s="13" t="str">
        <x:v>070420</x:v>
      </x:c>
      <x:c r="C398" s="13" t="str">
        <x:v>07</x:v>
      </x:c>
      <x:c r="D398" s="13" t="str">
        <x:v>TRILATERAL_SPLIT_MERGE</x:v>
      </x:c>
      <x:c r="E398" s="13" t="str">
        <x:v>Pending</x:v>
      </x:c>
      <x:c r="F398" s="13" t="n">
        <x:v>2</x:v>
      </x:c>
      <x:c r="G398" s="13" t="n">
        <x:v>1</x:v>
      </x:c>
      <x:c r="H398" s="13" t="n">
        <x:v>3</x:v>
      </x:c>
      <x:c r="I398" s="13" t="str">
        <x:v>0704200020; 0704200040</x:v>
      </x:c>
      <x:c r="J398" s="13" t="str">
        <x:v>0704200100</x:v>
      </x:c>
      <x:c r="K398" s="13" t="str">
        <x:v>0704201100; 0704201200; 07042090</x:v>
      </x:c>
      <x:c r="L398" s="13" t="str">
        <x:v>UNRESOLVED</x:v>
      </x:c>
      <x:c r="M398" s="13" t="str"/>
      <x:c r="N398" s="13" t="str">
        <x:v>NO / DEFAULT</x:v>
      </x:c>
      <x:c r="O398" s="13" t="str"/>
      <x:c r="P398" s="13" t="str">
        <x:v>NO / DEFAULT</x:v>
      </x:c>
      <x:c r="Q398" s="13" t="str"/>
      <x:c r="R398" s="13" t="str">
        <x:v>INDEPENDENT / DEFAULT</x:v>
      </x:c>
      <x:c r="S398" s="13" t="str"/>
      <x:c r="T398" s="13" t="str">
        <x:v>UNRESOLVED</x:v>
      </x:c>
      <x:c r="U398" s="13" t="str"/>
      <x:c r="V398" s="13" t="str"/>
      <x:c r="W398" s="13" t="str"/>
      <x:c r="X398" s="13" t="str">
        <x:f>IF(L398&lt;&gt;"COVERED","HELD — COVERAGE",IF(N398="YES — SENSITIVE","C ACTIONABLE","CHAPTER 5 DEFAULT"))</x:f>
        <x:v>HELD — COVERAGE</x:v>
      </x:c>
      <x:c r="Y398" s="13" t="str">
        <x:f>IF(L398&lt;&gt;"COVERED","HELD — COVERAGE",IF(P398="YES — MANAGED ACCESS","D ACTIONABLE","NO D FIELD"))</x:f>
        <x:v>HELD — COVERAGE</x:v>
      </x:c>
      <x:c r="Z398" s="13" t="str">
        <x:f>IF(L398&lt;&gt;"COVERED","HELD — COVERAGE",IF(OR(R398="PAIRED SYNCHRONIZED",R398="TRILATERAL SYNCHRONIZED"),"E ACTIONABLE","INDEPENDENT"))</x:f>
        <x:v>HELD — COVERAGE</x:v>
      </x:c>
      <x:c r="AA398" s="13" t="str">
        <x:f>IF(L398&lt;&gt;"COVERED","HELD — COVERAGE","WAIT FOR UPSTREAM COMPLETION")</x:f>
        <x:v>HELD — COVERAGE</x:v>
      </x:c>
      <x:c r="AB398" s="13" t="str">
        <x:f>IF(L398&lt;&gt;"COVERED","HELD — COVERAGE",IF(T398="UNRESOLVED","G DECISION REQUIRED",IF(T398="NOT APPLICABLE","G N/A","G ACTIONABLE")))</x:f>
        <x:v>HELD — COVERAGE</x:v>
      </x:c>
      <x:c r="AC398" s="13" t="str">
        <x:f>IF(L398="UNRESOLVED","COVERAGE FIRST",IF(OR(L398="EXCLUDED",L398="OUT OF SCOPE"),"CLOSED BY COVERAGE",IF(AND(L398="COVERED",T398&lt;&gt;"UNRESOLVED"),"PARTIALLY ADOPTED","DECISIONS REMAIN")))</x:f>
        <x:v>COVERAGE FIRST</x:v>
      </x:c>
    </x:row>
    <x:row r="399">
      <x:c r="A399" s="13" t="str">
        <x:v>NAAFTC-HS6-070490</x:v>
      </x:c>
      <x:c r="B399" s="13" t="str">
        <x:v>070490</x:v>
      </x:c>
      <x:c r="C399" s="13" t="str">
        <x:v>07</x:v>
      </x:c>
      <x:c r="D399" s="13" t="str">
        <x:v>TRILATERAL_SPLIT_MERGE</x:v>
      </x:c>
      <x:c r="E399" s="13" t="str">
        <x:v>Pending</x:v>
      </x:c>
      <x:c r="F399" s="13" t="n">
        <x:v>8</x:v>
      </x:c>
      <x:c r="G399" s="13" t="n">
        <x:v>2</x:v>
      </x:c>
      <x:c r="H399" s="13" t="n">
        <x:v>2</x:v>
      </x:c>
      <x:c r="I399" s="13" t="str">
        <x:v>0704902000; 0704904015; 0704904022; 0704904024; 0704904028; 0704904035; +2 more</x:v>
      </x:c>
      <x:c r="J399" s="13" t="str">
        <x:v>0704909901; 0704909999</x:v>
      </x:c>
      <x:c r="K399" s="13" t="str">
        <x:v>07049049; 07049090</x:v>
      </x:c>
      <x:c r="L399" s="13" t="str">
        <x:v>UNRESOLVED</x:v>
      </x:c>
      <x:c r="M399" s="13" t="str"/>
      <x:c r="N399" s="13" t="str">
        <x:v>NO / DEFAULT</x:v>
      </x:c>
      <x:c r="O399" s="13" t="str"/>
      <x:c r="P399" s="13" t="str">
        <x:v>NO / DEFAULT</x:v>
      </x:c>
      <x:c r="Q399" s="13" t="str"/>
      <x:c r="R399" s="13" t="str">
        <x:v>INDEPENDENT / DEFAULT</x:v>
      </x:c>
      <x:c r="S399" s="13" t="str"/>
      <x:c r="T399" s="13" t="str">
        <x:v>UNRESOLVED</x:v>
      </x:c>
      <x:c r="U399" s="13" t="str"/>
      <x:c r="V399" s="13" t="str"/>
      <x:c r="W399" s="13" t="str"/>
      <x:c r="X399" s="13" t="str">
        <x:f>IF(L399&lt;&gt;"COVERED","HELD — COVERAGE",IF(N399="YES — SENSITIVE","C ACTIONABLE","CHAPTER 5 DEFAULT"))</x:f>
        <x:v>HELD — COVERAGE</x:v>
      </x:c>
      <x:c r="Y399" s="13" t="str">
        <x:f>IF(L399&lt;&gt;"COVERED","HELD — COVERAGE",IF(P399="YES — MANAGED ACCESS","D ACTIONABLE","NO D FIELD"))</x:f>
        <x:v>HELD — COVERAGE</x:v>
      </x:c>
      <x:c r="Z399" s="13" t="str">
        <x:f>IF(L399&lt;&gt;"COVERED","HELD — COVERAGE",IF(OR(R399="PAIRED SYNCHRONIZED",R399="TRILATERAL SYNCHRONIZED"),"E ACTIONABLE","INDEPENDENT"))</x:f>
        <x:v>HELD — COVERAGE</x:v>
      </x:c>
      <x:c r="AA399" s="13" t="str">
        <x:f>IF(L399&lt;&gt;"COVERED","HELD — COVERAGE","WAIT FOR UPSTREAM COMPLETION")</x:f>
        <x:v>HELD — COVERAGE</x:v>
      </x:c>
      <x:c r="AB399" s="13" t="str">
        <x:f>IF(L399&lt;&gt;"COVERED","HELD — COVERAGE",IF(T399="UNRESOLVED","G DECISION REQUIRED",IF(T399="NOT APPLICABLE","G N/A","G ACTIONABLE")))</x:f>
        <x:v>HELD — COVERAGE</x:v>
      </x:c>
      <x:c r="AC399" s="13" t="str">
        <x:f>IF(L399="UNRESOLVED","COVERAGE FIRST",IF(OR(L399="EXCLUDED",L399="OUT OF SCOPE"),"CLOSED BY COVERAGE",IF(AND(L399="COVERED",T399&lt;&gt;"UNRESOLVED"),"PARTIALLY ADOPTED","DECISIONS REMAIN")))</x:f>
        <x:v>COVERAGE FIRST</x:v>
      </x:c>
    </x:row>
    <x:row r="400">
      <x:c r="A400" s="13" t="str">
        <x:v>NAAFTC-HS6-070511</x:v>
      </x:c>
      <x:c r="B400" s="13" t="str">
        <x:v>070511</x:v>
      </x:c>
      <x:c r="C400" s="13" t="str">
        <x:v>07</x:v>
      </x:c>
      <x:c r="D400" s="13" t="str">
        <x:v>TRILATERAL_SPLIT_MERGE</x:v>
      </x:c>
      <x:c r="E400" s="13" t="str">
        <x:v>Pending</x:v>
      </x:c>
      <x:c r="F400" s="13" t="n">
        <x:v>2</x:v>
      </x:c>
      <x:c r="G400" s="13" t="n">
        <x:v>1</x:v>
      </x:c>
      <x:c r="H400" s="13" t="n">
        <x:v>3</x:v>
      </x:c>
      <x:c r="I400" s="13" t="str">
        <x:v>0705112000; 0705114000</x:v>
      </x:c>
      <x:c r="J400" s="13" t="str">
        <x:v>0705110100</x:v>
      </x:c>
      <x:c r="K400" s="13" t="str">
        <x:v>0705111100; 0705111200; 07051190</x:v>
      </x:c>
      <x:c r="L400" s="13" t="str">
        <x:v>UNRESOLVED</x:v>
      </x:c>
      <x:c r="M400" s="13" t="str"/>
      <x:c r="N400" s="13" t="str">
        <x:v>NO / DEFAULT</x:v>
      </x:c>
      <x:c r="O400" s="13" t="str"/>
      <x:c r="P400" s="13" t="str">
        <x:v>NO / DEFAULT</x:v>
      </x:c>
      <x:c r="Q400" s="13" t="str"/>
      <x:c r="R400" s="13" t="str">
        <x:v>INDEPENDENT / DEFAULT</x:v>
      </x:c>
      <x:c r="S400" s="13" t="str"/>
      <x:c r="T400" s="13" t="str">
        <x:v>UNRESOLVED</x:v>
      </x:c>
      <x:c r="U400" s="13" t="str"/>
      <x:c r="V400" s="13" t="str"/>
      <x:c r="W400" s="13" t="str"/>
      <x:c r="X400" s="13" t="str">
        <x:f>IF(L400&lt;&gt;"COVERED","HELD — COVERAGE",IF(N400="YES — SENSITIVE","C ACTIONABLE","CHAPTER 5 DEFAULT"))</x:f>
        <x:v>HELD — COVERAGE</x:v>
      </x:c>
      <x:c r="Y400" s="13" t="str">
        <x:f>IF(L400&lt;&gt;"COVERED","HELD — COVERAGE",IF(P400="YES — MANAGED ACCESS","D ACTIONABLE","NO D FIELD"))</x:f>
        <x:v>HELD — COVERAGE</x:v>
      </x:c>
      <x:c r="Z400" s="13" t="str">
        <x:f>IF(L400&lt;&gt;"COVERED","HELD — COVERAGE",IF(OR(R400="PAIRED SYNCHRONIZED",R400="TRILATERAL SYNCHRONIZED"),"E ACTIONABLE","INDEPENDENT"))</x:f>
        <x:v>HELD — COVERAGE</x:v>
      </x:c>
      <x:c r="AA400" s="13" t="str">
        <x:f>IF(L400&lt;&gt;"COVERED","HELD — COVERAGE","WAIT FOR UPSTREAM COMPLETION")</x:f>
        <x:v>HELD — COVERAGE</x:v>
      </x:c>
      <x:c r="AB400" s="13" t="str">
        <x:f>IF(L400&lt;&gt;"COVERED","HELD — COVERAGE",IF(T400="UNRESOLVED","G DECISION REQUIRED",IF(T400="NOT APPLICABLE","G N/A","G ACTIONABLE")))</x:f>
        <x:v>HELD — COVERAGE</x:v>
      </x:c>
      <x:c r="AC400" s="13" t="str">
        <x:f>IF(L400="UNRESOLVED","COVERAGE FIRST",IF(OR(L400="EXCLUDED",L400="OUT OF SCOPE"),"CLOSED BY COVERAGE",IF(AND(L400="COVERED",T400&lt;&gt;"UNRESOLVED"),"PARTIALLY ADOPTED","DECISIONS REMAIN")))</x:f>
        <x:v>COVERAGE FIRST</x:v>
      </x:c>
    </x:row>
    <x:row r="401">
      <x:c r="A401" s="13" t="str">
        <x:v>NAAFTC-HS6-070519</x:v>
      </x:c>
      <x:c r="B401" s="13" t="str">
        <x:v>070519</x:v>
      </x:c>
      <x:c r="C401" s="13" t="str">
        <x:v>07</x:v>
      </x:c>
      <x:c r="D401" s="13" t="str">
        <x:v>TRILATERAL_SPLIT_MERGE</x:v>
      </x:c>
      <x:c r="E401" s="13" t="str">
        <x:v>Pending</x:v>
      </x:c>
      <x:c r="F401" s="13" t="n">
        <x:v>8</x:v>
      </x:c>
      <x:c r="G401" s="13" t="n">
        <x:v>1</x:v>
      </x:c>
      <x:c r="H401" s="13" t="n">
        <x:v>3</x:v>
      </x:c>
      <x:c r="I401" s="13" t="str">
        <x:v>0705192020; 0705192040; 0705192060; 0705192080; 0705194020; 0705194040; +2 more</x:v>
      </x:c>
      <x:c r="J401" s="13" t="str">
        <x:v>0705199900</x:v>
      </x:c>
      <x:c r="K401" s="13" t="str">
        <x:v>0705191100; 0705191200; 07051990</x:v>
      </x:c>
      <x:c r="L401" s="13" t="str">
        <x:v>UNRESOLVED</x:v>
      </x:c>
      <x:c r="M401" s="13" t="str"/>
      <x:c r="N401" s="13" t="str">
        <x:v>NO / DEFAULT</x:v>
      </x:c>
      <x:c r="O401" s="13" t="str"/>
      <x:c r="P401" s="13" t="str">
        <x:v>NO / DEFAULT</x:v>
      </x:c>
      <x:c r="Q401" s="13" t="str"/>
      <x:c r="R401" s="13" t="str">
        <x:v>INDEPENDENT / DEFAULT</x:v>
      </x:c>
      <x:c r="S401" s="13" t="str"/>
      <x:c r="T401" s="13" t="str">
        <x:v>UNRESOLVED</x:v>
      </x:c>
      <x:c r="U401" s="13" t="str"/>
      <x:c r="V401" s="13" t="str"/>
      <x:c r="W401" s="13" t="str"/>
      <x:c r="X401" s="13" t="str">
        <x:f>IF(L401&lt;&gt;"COVERED","HELD — COVERAGE",IF(N401="YES — SENSITIVE","C ACTIONABLE","CHAPTER 5 DEFAULT"))</x:f>
        <x:v>HELD — COVERAGE</x:v>
      </x:c>
      <x:c r="Y401" s="13" t="str">
        <x:f>IF(L401&lt;&gt;"COVERED","HELD — COVERAGE",IF(P401="YES — MANAGED ACCESS","D ACTIONABLE","NO D FIELD"))</x:f>
        <x:v>HELD — COVERAGE</x:v>
      </x:c>
      <x:c r="Z401" s="13" t="str">
        <x:f>IF(L401&lt;&gt;"COVERED","HELD — COVERAGE",IF(OR(R401="PAIRED SYNCHRONIZED",R401="TRILATERAL SYNCHRONIZED"),"E ACTIONABLE","INDEPENDENT"))</x:f>
        <x:v>HELD — COVERAGE</x:v>
      </x:c>
      <x:c r="AA401" s="13" t="str">
        <x:f>IF(L401&lt;&gt;"COVERED","HELD — COVERAGE","WAIT FOR UPSTREAM COMPLETION")</x:f>
        <x:v>HELD — COVERAGE</x:v>
      </x:c>
      <x:c r="AB401" s="13" t="str">
        <x:f>IF(L401&lt;&gt;"COVERED","HELD — COVERAGE",IF(T401="UNRESOLVED","G DECISION REQUIRED",IF(T401="NOT APPLICABLE","G N/A","G ACTIONABLE")))</x:f>
        <x:v>HELD — COVERAGE</x:v>
      </x:c>
      <x:c r="AC401" s="13" t="str">
        <x:f>IF(L401="UNRESOLVED","COVERAGE FIRST",IF(OR(L401="EXCLUDED",L401="OUT OF SCOPE"),"CLOSED BY COVERAGE",IF(AND(L401="COVERED",T401&lt;&gt;"UNRESOLVED"),"PARTIALLY ADOPTED","DECISIONS REMAIN")))</x:f>
        <x:v>COVERAGE FIRST</x:v>
      </x:c>
    </x:row>
    <x:row r="402">
      <x:c r="A402" s="13" t="str">
        <x:v>NAAFTC-HS6-070521</x:v>
      </x:c>
      <x:c r="B402" s="13" t="str">
        <x:v>070521</x:v>
      </x:c>
      <x:c r="C402" s="13" t="str">
        <x:v>07</x:v>
      </x:c>
      <x:c r="D402" s="13" t="str">
        <x:v>TRILATERAL_1_TO_1_TO_1</x:v>
      </x:c>
      <x:c r="E402" s="13" t="str">
        <x:v>Pending</x:v>
      </x:c>
      <x:c r="F402" s="13" t="n">
        <x:v>1</x:v>
      </x:c>
      <x:c r="G402" s="13" t="n">
        <x:v>1</x:v>
      </x:c>
      <x:c r="H402" s="13" t="n">
        <x:v>1</x:v>
      </x:c>
      <x:c r="I402" s="13" t="str">
        <x:v>0705210000</x:v>
      </x:c>
      <x:c r="J402" s="13" t="str">
        <x:v>0705210100</x:v>
      </x:c>
      <x:c r="K402" s="13" t="str">
        <x:v>0705210000</x:v>
      </x:c>
      <x:c r="L402" s="13" t="str">
        <x:v>UNRESOLVED</x:v>
      </x:c>
      <x:c r="M402" s="13" t="str"/>
      <x:c r="N402" s="13" t="str">
        <x:v>NO / DEFAULT</x:v>
      </x:c>
      <x:c r="O402" s="13" t="str"/>
      <x:c r="P402" s="13" t="str">
        <x:v>NO / DEFAULT</x:v>
      </x:c>
      <x:c r="Q402" s="13" t="str"/>
      <x:c r="R402" s="13" t="str">
        <x:v>INDEPENDENT / DEFAULT</x:v>
      </x:c>
      <x:c r="S402" s="13" t="str"/>
      <x:c r="T402" s="13" t="str">
        <x:v>UNRESOLVED</x:v>
      </x:c>
      <x:c r="U402" s="13" t="str"/>
      <x:c r="V402" s="13" t="str"/>
      <x:c r="W402" s="13" t="str"/>
      <x:c r="X402" s="13" t="str">
        <x:f>IF(L402&lt;&gt;"COVERED","HELD — COVERAGE",IF(N402="YES — SENSITIVE","C ACTIONABLE","CHAPTER 5 DEFAULT"))</x:f>
        <x:v>HELD — COVERAGE</x:v>
      </x:c>
      <x:c r="Y402" s="13" t="str">
        <x:f>IF(L402&lt;&gt;"COVERED","HELD — COVERAGE",IF(P402="YES — MANAGED ACCESS","D ACTIONABLE","NO D FIELD"))</x:f>
        <x:v>HELD — COVERAGE</x:v>
      </x:c>
      <x:c r="Z402" s="13" t="str">
        <x:f>IF(L402&lt;&gt;"COVERED","HELD — COVERAGE",IF(OR(R402="PAIRED SYNCHRONIZED",R402="TRILATERAL SYNCHRONIZED"),"E ACTIONABLE","INDEPENDENT"))</x:f>
        <x:v>HELD — COVERAGE</x:v>
      </x:c>
      <x:c r="AA402" s="13" t="str">
        <x:f>IF(L402&lt;&gt;"COVERED","HELD — COVERAGE","WAIT FOR UPSTREAM COMPLETION")</x:f>
        <x:v>HELD — COVERAGE</x:v>
      </x:c>
      <x:c r="AB402" s="13" t="str">
        <x:f>IF(L402&lt;&gt;"COVERED","HELD — COVERAGE",IF(T402="UNRESOLVED","G DECISION REQUIRED",IF(T402="NOT APPLICABLE","G N/A","G ACTIONABLE")))</x:f>
        <x:v>HELD — COVERAGE</x:v>
      </x:c>
      <x:c r="AC402" s="13" t="str">
        <x:f>IF(L402="UNRESOLVED","COVERAGE FIRST",IF(OR(L402="EXCLUDED",L402="OUT OF SCOPE"),"CLOSED BY COVERAGE",IF(AND(L402="COVERED",T402&lt;&gt;"UNRESOLVED"),"PARTIALLY ADOPTED","DECISIONS REMAIN")))</x:f>
        <x:v>COVERAGE FIRST</x:v>
      </x:c>
    </x:row>
    <x:row r="403">
      <x:c r="A403" s="13" t="str">
        <x:v>NAAFTC-HS6-070529</x:v>
      </x:c>
      <x:c r="B403" s="13" t="str">
        <x:v>070529</x:v>
      </x:c>
      <x:c r="C403" s="13" t="str">
        <x:v>07</x:v>
      </x:c>
      <x:c r="D403" s="13" t="str">
        <x:v>TRILATERAL_1_TO_1_TO_1</x:v>
      </x:c>
      <x:c r="E403" s="13" t="str">
        <x:v>Pending</x:v>
      </x:c>
      <x:c r="F403" s="13" t="n">
        <x:v>1</x:v>
      </x:c>
      <x:c r="G403" s="13" t="n">
        <x:v>1</x:v>
      </x:c>
      <x:c r="H403" s="13" t="n">
        <x:v>1</x:v>
      </x:c>
      <x:c r="I403" s="13" t="str">
        <x:v>0705290000</x:v>
      </x:c>
      <x:c r="J403" s="13" t="str">
        <x:v>0705299900</x:v>
      </x:c>
      <x:c r="K403" s="13" t="str">
        <x:v>0705290000</x:v>
      </x:c>
      <x:c r="L403" s="13" t="str">
        <x:v>UNRESOLVED</x:v>
      </x:c>
      <x:c r="M403" s="13" t="str"/>
      <x:c r="N403" s="13" t="str">
        <x:v>NO / DEFAULT</x:v>
      </x:c>
      <x:c r="O403" s="13" t="str"/>
      <x:c r="P403" s="13" t="str">
        <x:v>NO / DEFAULT</x:v>
      </x:c>
      <x:c r="Q403" s="13" t="str"/>
      <x:c r="R403" s="13" t="str">
        <x:v>INDEPENDENT / DEFAULT</x:v>
      </x:c>
      <x:c r="S403" s="13" t="str"/>
      <x:c r="T403" s="13" t="str">
        <x:v>UNRESOLVED</x:v>
      </x:c>
      <x:c r="U403" s="13" t="str"/>
      <x:c r="V403" s="13" t="str"/>
      <x:c r="W403" s="13" t="str"/>
      <x:c r="X403" s="13" t="str">
        <x:f>IF(L403&lt;&gt;"COVERED","HELD — COVERAGE",IF(N403="YES — SENSITIVE","C ACTIONABLE","CHAPTER 5 DEFAULT"))</x:f>
        <x:v>HELD — COVERAGE</x:v>
      </x:c>
      <x:c r="Y403" s="13" t="str">
        <x:f>IF(L403&lt;&gt;"COVERED","HELD — COVERAGE",IF(P403="YES — MANAGED ACCESS","D ACTIONABLE","NO D FIELD"))</x:f>
        <x:v>HELD — COVERAGE</x:v>
      </x:c>
      <x:c r="Z403" s="13" t="str">
        <x:f>IF(L403&lt;&gt;"COVERED","HELD — COVERAGE",IF(OR(R403="PAIRED SYNCHRONIZED",R403="TRILATERAL SYNCHRONIZED"),"E ACTIONABLE","INDEPENDENT"))</x:f>
        <x:v>HELD — COVERAGE</x:v>
      </x:c>
      <x:c r="AA403" s="13" t="str">
        <x:f>IF(L403&lt;&gt;"COVERED","HELD — COVERAGE","WAIT FOR UPSTREAM COMPLETION")</x:f>
        <x:v>HELD — COVERAGE</x:v>
      </x:c>
      <x:c r="AB403" s="13" t="str">
        <x:f>IF(L403&lt;&gt;"COVERED","HELD — COVERAGE",IF(T403="UNRESOLVED","G DECISION REQUIRED",IF(T403="NOT APPLICABLE","G N/A","G ACTIONABLE")))</x:f>
        <x:v>HELD — COVERAGE</x:v>
      </x:c>
      <x:c r="AC403" s="13" t="str">
        <x:f>IF(L403="UNRESOLVED","COVERAGE FIRST",IF(OR(L403="EXCLUDED",L403="OUT OF SCOPE"),"CLOSED BY COVERAGE",IF(AND(L403="COVERED",T403&lt;&gt;"UNRESOLVED"),"PARTIALLY ADOPTED","DECISIONS REMAIN")))</x:f>
        <x:v>COVERAGE FIRST</x:v>
      </x:c>
    </x:row>
    <x:row r="404">
      <x:c r="A404" s="13" t="str">
        <x:v>NAAFTC-HS6-070610</x:v>
      </x:c>
      <x:c r="B404" s="13" t="str">
        <x:v>070610</x:v>
      </x:c>
      <x:c r="C404" s="13" t="str">
        <x:v>07</x:v>
      </x:c>
      <x:c r="D404" s="13" t="str">
        <x:v>TRILATERAL_SPLIT_MERGE</x:v>
      </x:c>
      <x:c r="E404" s="13" t="str">
        <x:v>Pending</x:v>
      </x:c>
      <x:c r="F404" s="13" t="n">
        <x:v>4</x:v>
      </x:c>
      <x:c r="G404" s="13" t="n">
        <x:v>1</x:v>
      </x:c>
      <x:c r="H404" s="13" t="n">
        <x:v>5</x:v>
      </x:c>
      <x:c r="I404" s="13" t="str">
        <x:v>0706100500; 0706101000; 0706102000; 0706104000</x:v>
      </x:c>
      <x:c r="J404" s="13" t="str">
        <x:v>0706100100</x:v>
      </x:c>
      <x:c r="K404" s="13" t="str">
        <x:v>0706101100; 0706101200; 07061020; 0706103100; 0706103200</x:v>
      </x:c>
      <x:c r="L404" s="13" t="str">
        <x:v>UNRESOLVED</x:v>
      </x:c>
      <x:c r="M404" s="13" t="str"/>
      <x:c r="N404" s="13" t="str">
        <x:v>NO / DEFAULT</x:v>
      </x:c>
      <x:c r="O404" s="13" t="str"/>
      <x:c r="P404" s="13" t="str">
        <x:v>NO / DEFAULT</x:v>
      </x:c>
      <x:c r="Q404" s="13" t="str"/>
      <x:c r="R404" s="13" t="str">
        <x:v>INDEPENDENT / DEFAULT</x:v>
      </x:c>
      <x:c r="S404" s="13" t="str"/>
      <x:c r="T404" s="13" t="str">
        <x:v>UNRESOLVED</x:v>
      </x:c>
      <x:c r="U404" s="13" t="str"/>
      <x:c r="V404" s="13" t="str"/>
      <x:c r="W404" s="13" t="str"/>
      <x:c r="X404" s="13" t="str">
        <x:f>IF(L404&lt;&gt;"COVERED","HELD — COVERAGE",IF(N404="YES — SENSITIVE","C ACTIONABLE","CHAPTER 5 DEFAULT"))</x:f>
        <x:v>HELD — COVERAGE</x:v>
      </x:c>
      <x:c r="Y404" s="13" t="str">
        <x:f>IF(L404&lt;&gt;"COVERED","HELD — COVERAGE",IF(P404="YES — MANAGED ACCESS","D ACTIONABLE","NO D FIELD"))</x:f>
        <x:v>HELD — COVERAGE</x:v>
      </x:c>
      <x:c r="Z404" s="13" t="str">
        <x:f>IF(L404&lt;&gt;"COVERED","HELD — COVERAGE",IF(OR(R404="PAIRED SYNCHRONIZED",R404="TRILATERAL SYNCHRONIZED"),"E ACTIONABLE","INDEPENDENT"))</x:f>
        <x:v>HELD — COVERAGE</x:v>
      </x:c>
      <x:c r="AA404" s="13" t="str">
        <x:f>IF(L404&lt;&gt;"COVERED","HELD — COVERAGE","WAIT FOR UPSTREAM COMPLETION")</x:f>
        <x:v>HELD — COVERAGE</x:v>
      </x:c>
      <x:c r="AB404" s="13" t="str">
        <x:f>IF(L404&lt;&gt;"COVERED","HELD — COVERAGE",IF(T404="UNRESOLVED","G DECISION REQUIRED",IF(T404="NOT APPLICABLE","G N/A","G ACTIONABLE")))</x:f>
        <x:v>HELD — COVERAGE</x:v>
      </x:c>
      <x:c r="AC404" s="13" t="str">
        <x:f>IF(L404="UNRESOLVED","COVERAGE FIRST",IF(OR(L404="EXCLUDED",L404="OUT OF SCOPE"),"CLOSED BY COVERAGE",IF(AND(L404="COVERED",T404&lt;&gt;"UNRESOLVED"),"PARTIALLY ADOPTED","DECISIONS REMAIN")))</x:f>
        <x:v>COVERAGE FIRST</x:v>
      </x:c>
    </x:row>
    <x:row r="405">
      <x:c r="A405" s="13" t="str">
        <x:v>NAAFTC-HS6-070690</x:v>
      </x:c>
      <x:c r="B405" s="13" t="str">
        <x:v>070690</x:v>
      </x:c>
      <x:c r="C405" s="13" t="str">
        <x:v>07</x:v>
      </x:c>
      <x:c r="D405" s="13" t="str">
        <x:v>TRILATERAL_SPLIT_MERGE</x:v>
      </x:c>
      <x:c r="E405" s="13" t="str">
        <x:v>Pending</x:v>
      </x:c>
      <x:c r="F405" s="13" t="n">
        <x:v>4</x:v>
      </x:c>
      <x:c r="G405" s="13" t="n">
        <x:v>1</x:v>
      </x:c>
      <x:c r="H405" s="13" t="n">
        <x:v>4</x:v>
      </x:c>
      <x:c r="I405" s="13" t="str">
        <x:v>0706902000; 0706903000; 0706904020; 0706904040</x:v>
      </x:c>
      <x:c r="J405" s="13" t="str">
        <x:v>0706909900</x:v>
      </x:c>
      <x:c r="K405" s="13" t="str">
        <x:v>0706904000; 0706905100; 07069059; 07069090</x:v>
      </x:c>
      <x:c r="L405" s="13" t="str">
        <x:v>UNRESOLVED</x:v>
      </x:c>
      <x:c r="M405" s="13" t="str"/>
      <x:c r="N405" s="13" t="str">
        <x:v>NO / DEFAULT</x:v>
      </x:c>
      <x:c r="O405" s="13" t="str"/>
      <x:c r="P405" s="13" t="str">
        <x:v>NO / DEFAULT</x:v>
      </x:c>
      <x:c r="Q405" s="13" t="str"/>
      <x:c r="R405" s="13" t="str">
        <x:v>INDEPENDENT / DEFAULT</x:v>
      </x:c>
      <x:c r="S405" s="13" t="str"/>
      <x:c r="T405" s="13" t="str">
        <x:v>UNRESOLVED</x:v>
      </x:c>
      <x:c r="U405" s="13" t="str"/>
      <x:c r="V405" s="13" t="str"/>
      <x:c r="W405" s="13" t="str"/>
      <x:c r="X405" s="13" t="str">
        <x:f>IF(L405&lt;&gt;"COVERED","HELD — COVERAGE",IF(N405="YES — SENSITIVE","C ACTIONABLE","CHAPTER 5 DEFAULT"))</x:f>
        <x:v>HELD — COVERAGE</x:v>
      </x:c>
      <x:c r="Y405" s="13" t="str">
        <x:f>IF(L405&lt;&gt;"COVERED","HELD — COVERAGE",IF(P405="YES — MANAGED ACCESS","D ACTIONABLE","NO D FIELD"))</x:f>
        <x:v>HELD — COVERAGE</x:v>
      </x:c>
      <x:c r="Z405" s="13" t="str">
        <x:f>IF(L405&lt;&gt;"COVERED","HELD — COVERAGE",IF(OR(R405="PAIRED SYNCHRONIZED",R405="TRILATERAL SYNCHRONIZED"),"E ACTIONABLE","INDEPENDENT"))</x:f>
        <x:v>HELD — COVERAGE</x:v>
      </x:c>
      <x:c r="AA405" s="13" t="str">
        <x:f>IF(L405&lt;&gt;"COVERED","HELD — COVERAGE","WAIT FOR UPSTREAM COMPLETION")</x:f>
        <x:v>HELD — COVERAGE</x:v>
      </x:c>
      <x:c r="AB405" s="13" t="str">
        <x:f>IF(L405&lt;&gt;"COVERED","HELD — COVERAGE",IF(T405="UNRESOLVED","G DECISION REQUIRED",IF(T405="NOT APPLICABLE","G N/A","G ACTIONABLE")))</x:f>
        <x:v>HELD — COVERAGE</x:v>
      </x:c>
      <x:c r="AC405" s="13" t="str">
        <x:f>IF(L405="UNRESOLVED","COVERAGE FIRST",IF(OR(L405="EXCLUDED",L405="OUT OF SCOPE"),"CLOSED BY COVERAGE",IF(AND(L405="COVERED",T405&lt;&gt;"UNRESOLVED"),"PARTIALLY ADOPTED","DECISIONS REMAIN")))</x:f>
        <x:v>COVERAGE FIRST</x:v>
      </x:c>
    </x:row>
    <x:row r="406">
      <x:c r="A406" s="13" t="str">
        <x:v>NAAFTC-HS6-070700</x:v>
      </x:c>
      <x:c r="B406" s="13" t="str">
        <x:v>070700</x:v>
      </x:c>
      <x:c r="C406" s="13" t="str">
        <x:v>07</x:v>
      </x:c>
      <x:c r="D406" s="13" t="str">
        <x:v>TRILATERAL_SPLIT_MERGE</x:v>
      </x:c>
      <x:c r="E406" s="13" t="str">
        <x:v>Pending</x:v>
      </x:c>
      <x:c r="F406" s="13" t="n">
        <x:v>37</x:v>
      </x:c>
      <x:c r="G406" s="13" t="n">
        <x:v>1</x:v>
      </x:c>
      <x:c r="H406" s="13" t="n">
        <x:v>2</x:v>
      </x:c>
      <x:c r="I406" s="13" t="str">
        <x:v>0707002015; 0707002037; 0707002040; 0707002045; 0707002050; 0707002060; +31 more</x:v>
      </x:c>
      <x:c r="J406" s="13" t="str">
        <x:v>0707000100</x:v>
      </x:c>
      <x:c r="K406" s="13" t="str">
        <x:v>0707001000; 0707009100</x:v>
      </x:c>
      <x:c r="L406" s="13" t="str">
        <x:v>UNRESOLVED</x:v>
      </x:c>
      <x:c r="M406" s="13" t="str"/>
      <x:c r="N406" s="13" t="str">
        <x:v>NO / DEFAULT</x:v>
      </x:c>
      <x:c r="O406" s="13" t="str"/>
      <x:c r="P406" s="13" t="str">
        <x:v>NO / DEFAULT</x:v>
      </x:c>
      <x:c r="Q406" s="13" t="str"/>
      <x:c r="R406" s="13" t="str">
        <x:v>INDEPENDENT / DEFAULT</x:v>
      </x:c>
      <x:c r="S406" s="13" t="str"/>
      <x:c r="T406" s="13" t="str">
        <x:v>UNRESOLVED</x:v>
      </x:c>
      <x:c r="U406" s="13" t="str"/>
      <x:c r="V406" s="13" t="str"/>
      <x:c r="W406" s="13" t="str"/>
      <x:c r="X406" s="13" t="str">
        <x:f>IF(L406&lt;&gt;"COVERED","HELD — COVERAGE",IF(N406="YES — SENSITIVE","C ACTIONABLE","CHAPTER 5 DEFAULT"))</x:f>
        <x:v>HELD — COVERAGE</x:v>
      </x:c>
      <x:c r="Y406" s="13" t="str">
        <x:f>IF(L406&lt;&gt;"COVERED","HELD — COVERAGE",IF(P406="YES — MANAGED ACCESS","D ACTIONABLE","NO D FIELD"))</x:f>
        <x:v>HELD — COVERAGE</x:v>
      </x:c>
      <x:c r="Z406" s="13" t="str">
        <x:f>IF(L406&lt;&gt;"COVERED","HELD — COVERAGE",IF(OR(R406="PAIRED SYNCHRONIZED",R406="TRILATERAL SYNCHRONIZED"),"E ACTIONABLE","INDEPENDENT"))</x:f>
        <x:v>HELD — COVERAGE</x:v>
      </x:c>
      <x:c r="AA406" s="13" t="str">
        <x:f>IF(L406&lt;&gt;"COVERED","HELD — COVERAGE","WAIT FOR UPSTREAM COMPLETION")</x:f>
        <x:v>HELD — COVERAGE</x:v>
      </x:c>
      <x:c r="AB406" s="13" t="str">
        <x:f>IF(L406&lt;&gt;"COVERED","HELD — COVERAGE",IF(T406="UNRESOLVED","G DECISION REQUIRED",IF(T406="NOT APPLICABLE","G N/A","G ACTIONABLE")))</x:f>
        <x:v>HELD — COVERAGE</x:v>
      </x:c>
      <x:c r="AC406" s="13" t="str">
        <x:f>IF(L406="UNRESOLVED","COVERAGE FIRST",IF(OR(L406="EXCLUDED",L406="OUT OF SCOPE"),"CLOSED BY COVERAGE",IF(AND(L406="COVERED",T406&lt;&gt;"UNRESOLVED"),"PARTIALLY ADOPTED","DECISIONS REMAIN")))</x:f>
        <x:v>COVERAGE FIRST</x:v>
      </x:c>
    </x:row>
    <x:row r="407">
      <x:c r="A407" s="13" t="str">
        <x:v>NAAFTC-HS6-070810</x:v>
      </x:c>
      <x:c r="B407" s="13" t="str">
        <x:v>070810</x:v>
      </x:c>
      <x:c r="C407" s="13" t="str">
        <x:v>07</x:v>
      </x:c>
      <x:c r="D407" s="13" t="str">
        <x:v>TRILATERAL_SPLIT_MERGE</x:v>
      </x:c>
      <x:c r="E407" s="13" t="str">
        <x:v>Pending</x:v>
      </x:c>
      <x:c r="F407" s="13" t="n">
        <x:v>6</x:v>
      </x:c>
      <x:c r="G407" s="13" t="n">
        <x:v>1</x:v>
      </x:c>
      <x:c r="H407" s="13" t="n">
        <x:v>3</x:v>
      </x:c>
      <x:c r="I407" s="13" t="str">
        <x:v>0708102020; 0708102040; 0708102060; 0708104020; 0708104040; 0708104060</x:v>
      </x:c>
      <x:c r="J407" s="13" t="str">
        <x:v>0708100100</x:v>
      </x:c>
      <x:c r="K407" s="13" t="str">
        <x:v>0708101000; 0708109100; 07081099</x:v>
      </x:c>
      <x:c r="L407" s="13" t="str">
        <x:v>UNRESOLVED</x:v>
      </x:c>
      <x:c r="M407" s="13" t="str"/>
      <x:c r="N407" s="13" t="str">
        <x:v>NO / DEFAULT</x:v>
      </x:c>
      <x:c r="O407" s="13" t="str"/>
      <x:c r="P407" s="13" t="str">
        <x:v>NO / DEFAULT</x:v>
      </x:c>
      <x:c r="Q407" s="13" t="str"/>
      <x:c r="R407" s="13" t="str">
        <x:v>INDEPENDENT / DEFAULT</x:v>
      </x:c>
      <x:c r="S407" s="13" t="str"/>
      <x:c r="T407" s="13" t="str">
        <x:v>UNRESOLVED</x:v>
      </x:c>
      <x:c r="U407" s="13" t="str"/>
      <x:c r="V407" s="13" t="str"/>
      <x:c r="W407" s="13" t="str"/>
      <x:c r="X407" s="13" t="str">
        <x:f>IF(L407&lt;&gt;"COVERED","HELD — COVERAGE",IF(N407="YES — SENSITIVE","C ACTIONABLE","CHAPTER 5 DEFAULT"))</x:f>
        <x:v>HELD — COVERAGE</x:v>
      </x:c>
      <x:c r="Y407" s="13" t="str">
        <x:f>IF(L407&lt;&gt;"COVERED","HELD — COVERAGE",IF(P407="YES — MANAGED ACCESS","D ACTIONABLE","NO D FIELD"))</x:f>
        <x:v>HELD — COVERAGE</x:v>
      </x:c>
      <x:c r="Z407" s="13" t="str">
        <x:f>IF(L407&lt;&gt;"COVERED","HELD — COVERAGE",IF(OR(R407="PAIRED SYNCHRONIZED",R407="TRILATERAL SYNCHRONIZED"),"E ACTIONABLE","INDEPENDENT"))</x:f>
        <x:v>HELD — COVERAGE</x:v>
      </x:c>
      <x:c r="AA407" s="13" t="str">
        <x:f>IF(L407&lt;&gt;"COVERED","HELD — COVERAGE","WAIT FOR UPSTREAM COMPLETION")</x:f>
        <x:v>HELD — COVERAGE</x:v>
      </x:c>
      <x:c r="AB407" s="13" t="str">
        <x:f>IF(L407&lt;&gt;"COVERED","HELD — COVERAGE",IF(T407="UNRESOLVED","G DECISION REQUIRED",IF(T407="NOT APPLICABLE","G N/A","G ACTIONABLE")))</x:f>
        <x:v>HELD — COVERAGE</x:v>
      </x:c>
      <x:c r="AC407" s="13" t="str">
        <x:f>IF(L407="UNRESOLVED","COVERAGE FIRST",IF(OR(L407="EXCLUDED",L407="OUT OF SCOPE"),"CLOSED BY COVERAGE",IF(AND(L407="COVERED",T407&lt;&gt;"UNRESOLVED"),"PARTIALLY ADOPTED","DECISIONS REMAIN")))</x:f>
        <x:v>COVERAGE FIRST</x:v>
      </x:c>
    </x:row>
    <x:row r="408">
      <x:c r="A408" s="13" t="str">
        <x:v>NAAFTC-HS6-070820</x:v>
      </x:c>
      <x:c r="B408" s="13" t="str">
        <x:v>070820</x:v>
      </x:c>
      <x:c r="C408" s="13" t="str">
        <x:v>07</x:v>
      </x:c>
      <x:c r="D408" s="13" t="str">
        <x:v>TRILATERAL_SPLIT_MERGE</x:v>
      </x:c>
      <x:c r="E408" s="13" t="str">
        <x:v>Pending</x:v>
      </x:c>
      <x:c r="F408" s="13" t="n">
        <x:v>7</x:v>
      </x:c>
      <x:c r="G408" s="13" t="n">
        <x:v>1</x:v>
      </x:c>
      <x:c r="H408" s="13" t="n">
        <x:v>4</x:v>
      </x:c>
      <x:c r="I408" s="13" t="str">
        <x:v>0708201000; 0708202005; 0708202010; 0708209005; 0708209020; 0708209040; +1 more</x:v>
      </x:c>
      <x:c r="J408" s="13" t="str">
        <x:v>0708200100</x:v>
      </x:c>
      <x:c r="K408" s="13" t="str">
        <x:v>0708202100; 0708202200; 0708203000; 07082090</x:v>
      </x:c>
      <x:c r="L408" s="13" t="str">
        <x:v>UNRESOLVED</x:v>
      </x:c>
      <x:c r="M408" s="13" t="str"/>
      <x:c r="N408" s="13" t="str">
        <x:v>NO / DEFAULT</x:v>
      </x:c>
      <x:c r="O408" s="13" t="str"/>
      <x:c r="P408" s="13" t="str">
        <x:v>NO / DEFAULT</x:v>
      </x:c>
      <x:c r="Q408" s="13" t="str"/>
      <x:c r="R408" s="13" t="str">
        <x:v>INDEPENDENT / DEFAULT</x:v>
      </x:c>
      <x:c r="S408" s="13" t="str"/>
      <x:c r="T408" s="13" t="str">
        <x:v>UNRESOLVED</x:v>
      </x:c>
      <x:c r="U408" s="13" t="str"/>
      <x:c r="V408" s="13" t="str"/>
      <x:c r="W408" s="13" t="str"/>
      <x:c r="X408" s="13" t="str">
        <x:f>IF(L408&lt;&gt;"COVERED","HELD — COVERAGE",IF(N408="YES — SENSITIVE","C ACTIONABLE","CHAPTER 5 DEFAULT"))</x:f>
        <x:v>HELD — COVERAGE</x:v>
      </x:c>
      <x:c r="Y408" s="13" t="str">
        <x:f>IF(L408&lt;&gt;"COVERED","HELD — COVERAGE",IF(P408="YES — MANAGED ACCESS","D ACTIONABLE","NO D FIELD"))</x:f>
        <x:v>HELD — COVERAGE</x:v>
      </x:c>
      <x:c r="Z408" s="13" t="str">
        <x:f>IF(L408&lt;&gt;"COVERED","HELD — COVERAGE",IF(OR(R408="PAIRED SYNCHRONIZED",R408="TRILATERAL SYNCHRONIZED"),"E ACTIONABLE","INDEPENDENT"))</x:f>
        <x:v>HELD — COVERAGE</x:v>
      </x:c>
      <x:c r="AA408" s="13" t="str">
        <x:f>IF(L408&lt;&gt;"COVERED","HELD — COVERAGE","WAIT FOR UPSTREAM COMPLETION")</x:f>
        <x:v>HELD — COVERAGE</x:v>
      </x:c>
      <x:c r="AB408" s="13" t="str">
        <x:f>IF(L408&lt;&gt;"COVERED","HELD — COVERAGE",IF(T408="UNRESOLVED","G DECISION REQUIRED",IF(T408="NOT APPLICABLE","G N/A","G ACTIONABLE")))</x:f>
        <x:v>HELD — COVERAGE</x:v>
      </x:c>
      <x:c r="AC408" s="13" t="str">
        <x:f>IF(L408="UNRESOLVED","COVERAGE FIRST",IF(OR(L408="EXCLUDED",L408="OUT OF SCOPE"),"CLOSED BY COVERAGE",IF(AND(L408="COVERED",T408&lt;&gt;"UNRESOLVED"),"PARTIALLY ADOPTED","DECISIONS REMAIN")))</x:f>
        <x:v>COVERAGE FIRST</x:v>
      </x:c>
    </x:row>
    <x:row r="409">
      <x:c r="A409" s="13" t="str">
        <x:v>NAAFTC-HS6-070890</x:v>
      </x:c>
      <x:c r="B409" s="13" t="str">
        <x:v>070890</x:v>
      </x:c>
      <x:c r="C409" s="13" t="str">
        <x:v>07</x:v>
      </x:c>
      <x:c r="D409" s="13" t="str">
        <x:v>TRILATERAL_SPLIT_MERGE</x:v>
      </x:c>
      <x:c r="E409" s="13" t="str">
        <x:v>Pending</x:v>
      </x:c>
      <x:c r="F409" s="13" t="n">
        <x:v>5</x:v>
      </x:c>
      <x:c r="G409" s="13" t="n">
        <x:v>1</x:v>
      </x:c>
      <x:c r="H409" s="13" t="n">
        <x:v>1</x:v>
      </x:c>
      <x:c r="I409" s="13" t="str">
        <x:v>0708900500; 0708901500; 0708902500; 0708903000; 0708904000</x:v>
      </x:c>
      <x:c r="J409" s="13" t="str">
        <x:v>0708909900</x:v>
      </x:c>
      <x:c r="K409" s="13" t="str">
        <x:v>0708900000</x:v>
      </x:c>
      <x:c r="L409" s="13" t="str">
        <x:v>UNRESOLVED</x:v>
      </x:c>
      <x:c r="M409" s="13" t="str"/>
      <x:c r="N409" s="13" t="str">
        <x:v>NO / DEFAULT</x:v>
      </x:c>
      <x:c r="O409" s="13" t="str"/>
      <x:c r="P409" s="13" t="str">
        <x:v>NO / DEFAULT</x:v>
      </x:c>
      <x:c r="Q409" s="13" t="str"/>
      <x:c r="R409" s="13" t="str">
        <x:v>INDEPENDENT / DEFAULT</x:v>
      </x:c>
      <x:c r="S409" s="13" t="str"/>
      <x:c r="T409" s="13" t="str">
        <x:v>UNRESOLVED</x:v>
      </x:c>
      <x:c r="U409" s="13" t="str"/>
      <x:c r="V409" s="13" t="str"/>
      <x:c r="W409" s="13" t="str"/>
      <x:c r="X409" s="13" t="str">
        <x:f>IF(L409&lt;&gt;"COVERED","HELD — COVERAGE",IF(N409="YES — SENSITIVE","C ACTIONABLE","CHAPTER 5 DEFAULT"))</x:f>
        <x:v>HELD — COVERAGE</x:v>
      </x:c>
      <x:c r="Y409" s="13" t="str">
        <x:f>IF(L409&lt;&gt;"COVERED","HELD — COVERAGE",IF(P409="YES — MANAGED ACCESS","D ACTIONABLE","NO D FIELD"))</x:f>
        <x:v>HELD — COVERAGE</x:v>
      </x:c>
      <x:c r="Z409" s="13" t="str">
        <x:f>IF(L409&lt;&gt;"COVERED","HELD — COVERAGE",IF(OR(R409="PAIRED SYNCHRONIZED",R409="TRILATERAL SYNCHRONIZED"),"E ACTIONABLE","INDEPENDENT"))</x:f>
        <x:v>HELD — COVERAGE</x:v>
      </x:c>
      <x:c r="AA409" s="13" t="str">
        <x:f>IF(L409&lt;&gt;"COVERED","HELD — COVERAGE","WAIT FOR UPSTREAM COMPLETION")</x:f>
        <x:v>HELD — COVERAGE</x:v>
      </x:c>
      <x:c r="AB409" s="13" t="str">
        <x:f>IF(L409&lt;&gt;"COVERED","HELD — COVERAGE",IF(T409="UNRESOLVED","G DECISION REQUIRED",IF(T409="NOT APPLICABLE","G N/A","G ACTIONABLE")))</x:f>
        <x:v>HELD — COVERAGE</x:v>
      </x:c>
      <x:c r="AC409" s="13" t="str">
        <x:f>IF(L409="UNRESOLVED","COVERAGE FIRST",IF(OR(L409="EXCLUDED",L409="OUT OF SCOPE"),"CLOSED BY COVERAGE",IF(AND(L409="COVERED",T409&lt;&gt;"UNRESOLVED"),"PARTIALLY ADOPTED","DECISIONS REMAIN")))</x:f>
        <x:v>COVERAGE FIRST</x:v>
      </x:c>
    </x:row>
    <x:row r="410">
      <x:c r="A410" s="13" t="str">
        <x:v>NAAFTC-HS6-070920</x:v>
      </x:c>
      <x:c r="B410" s="13" t="str">
        <x:v>070920</x:v>
      </x:c>
      <x:c r="C410" s="13" t="str">
        <x:v>07</x:v>
      </x:c>
      <x:c r="D410" s="13" t="str">
        <x:v>TRILATERAL_SPLIT_MERGE</x:v>
      </x:c>
      <x:c r="E410" s="13" t="str">
        <x:v>Pending</x:v>
      </x:c>
      <x:c r="F410" s="13" t="n">
        <x:v>5</x:v>
      </x:c>
      <x:c r="G410" s="13" t="n">
        <x:v>2</x:v>
      </x:c>
      <x:c r="H410" s="13" t="n">
        <x:v>1</x:v>
      </x:c>
      <x:c r="I410" s="13" t="str">
        <x:v>0709201010; 0709201090; 0709209010; 0709209040; 0709209070</x:v>
      </x:c>
      <x:c r="J410" s="13" t="str">
        <x:v>0709200201; 0709200299</x:v>
      </x:c>
      <x:c r="K410" s="13" t="str">
        <x:v>0709201000</x:v>
      </x:c>
      <x:c r="L410" s="13" t="str">
        <x:v>UNRESOLVED</x:v>
      </x:c>
      <x:c r="M410" s="13" t="str"/>
      <x:c r="N410" s="13" t="str">
        <x:v>NO / DEFAULT</x:v>
      </x:c>
      <x:c r="O410" s="13" t="str"/>
      <x:c r="P410" s="13" t="str">
        <x:v>NO / DEFAULT</x:v>
      </x:c>
      <x:c r="Q410" s="13" t="str"/>
      <x:c r="R410" s="13" t="str">
        <x:v>INDEPENDENT / DEFAULT</x:v>
      </x:c>
      <x:c r="S410" s="13" t="str"/>
      <x:c r="T410" s="13" t="str">
        <x:v>UNRESOLVED</x:v>
      </x:c>
      <x:c r="U410" s="13" t="str"/>
      <x:c r="V410" s="13" t="str"/>
      <x:c r="W410" s="13" t="str"/>
      <x:c r="X410" s="13" t="str">
        <x:f>IF(L410&lt;&gt;"COVERED","HELD — COVERAGE",IF(N410="YES — SENSITIVE","C ACTIONABLE","CHAPTER 5 DEFAULT"))</x:f>
        <x:v>HELD — COVERAGE</x:v>
      </x:c>
      <x:c r="Y410" s="13" t="str">
        <x:f>IF(L410&lt;&gt;"COVERED","HELD — COVERAGE",IF(P410="YES — MANAGED ACCESS","D ACTIONABLE","NO D FIELD"))</x:f>
        <x:v>HELD — COVERAGE</x:v>
      </x:c>
      <x:c r="Z410" s="13" t="str">
        <x:f>IF(L410&lt;&gt;"COVERED","HELD — COVERAGE",IF(OR(R410="PAIRED SYNCHRONIZED",R410="TRILATERAL SYNCHRONIZED"),"E ACTIONABLE","INDEPENDENT"))</x:f>
        <x:v>HELD — COVERAGE</x:v>
      </x:c>
      <x:c r="AA410" s="13" t="str">
        <x:f>IF(L410&lt;&gt;"COVERED","HELD — COVERAGE","WAIT FOR UPSTREAM COMPLETION")</x:f>
        <x:v>HELD — COVERAGE</x:v>
      </x:c>
      <x:c r="AB410" s="13" t="str">
        <x:f>IF(L410&lt;&gt;"COVERED","HELD — COVERAGE",IF(T410="UNRESOLVED","G DECISION REQUIRED",IF(T410="NOT APPLICABLE","G N/A","G ACTIONABLE")))</x:f>
        <x:v>HELD — COVERAGE</x:v>
      </x:c>
      <x:c r="AC410" s="13" t="str">
        <x:f>IF(L410="UNRESOLVED","COVERAGE FIRST",IF(OR(L410="EXCLUDED",L410="OUT OF SCOPE"),"CLOSED BY COVERAGE",IF(AND(L410="COVERED",T410&lt;&gt;"UNRESOLVED"),"PARTIALLY ADOPTED","DECISIONS REMAIN")))</x:f>
        <x:v>COVERAGE FIRST</x:v>
      </x:c>
    </x:row>
    <x:row r="411">
      <x:c r="A411" s="13" t="str">
        <x:v>NAAFTC-HS6-070930</x:v>
      </x:c>
      <x:c r="B411" s="13" t="str">
        <x:v>070930</x:v>
      </x:c>
      <x:c r="C411" s="13" t="str">
        <x:v>07</x:v>
      </x:c>
      <x:c r="D411" s="13" t="str">
        <x:v>TRILATERAL_SPLIT_MERGE</x:v>
      </x:c>
      <x:c r="E411" s="13" t="str">
        <x:v>Pending</x:v>
      </x:c>
      <x:c r="F411" s="13" t="n">
        <x:v>6</x:v>
      </x:c>
      <x:c r="G411" s="13" t="n">
        <x:v>1</x:v>
      </x:c>
      <x:c r="H411" s="13" t="n">
        <x:v>1</x:v>
      </x:c>
      <x:c r="I411" s="13" t="str">
        <x:v>0709302020; 0709302040; 0709302060; 0709304020; 0709304040; 0709304060</x:v>
      </x:c>
      <x:c r="J411" s="13" t="str">
        <x:v>0709300100</x:v>
      </x:c>
      <x:c r="K411" s="13" t="str">
        <x:v>07093000</x:v>
      </x:c>
      <x:c r="L411" s="13" t="str">
        <x:v>UNRESOLVED</x:v>
      </x:c>
      <x:c r="M411" s="13" t="str"/>
      <x:c r="N411" s="13" t="str">
        <x:v>NO / DEFAULT</x:v>
      </x:c>
      <x:c r="O411" s="13" t="str"/>
      <x:c r="P411" s="13" t="str">
        <x:v>NO / DEFAULT</x:v>
      </x:c>
      <x:c r="Q411" s="13" t="str"/>
      <x:c r="R411" s="13" t="str">
        <x:v>INDEPENDENT / DEFAULT</x:v>
      </x:c>
      <x:c r="S411" s="13" t="str"/>
      <x:c r="T411" s="13" t="str">
        <x:v>UNRESOLVED</x:v>
      </x:c>
      <x:c r="U411" s="13" t="str"/>
      <x:c r="V411" s="13" t="str"/>
      <x:c r="W411" s="13" t="str"/>
      <x:c r="X411" s="13" t="str">
        <x:f>IF(L411&lt;&gt;"COVERED","HELD — COVERAGE",IF(N411="YES — SENSITIVE","C ACTIONABLE","CHAPTER 5 DEFAULT"))</x:f>
        <x:v>HELD — COVERAGE</x:v>
      </x:c>
      <x:c r="Y411" s="13" t="str">
        <x:f>IF(L411&lt;&gt;"COVERED","HELD — COVERAGE",IF(P411="YES — MANAGED ACCESS","D ACTIONABLE","NO D FIELD"))</x:f>
        <x:v>HELD — COVERAGE</x:v>
      </x:c>
      <x:c r="Z411" s="13" t="str">
        <x:f>IF(L411&lt;&gt;"COVERED","HELD — COVERAGE",IF(OR(R411="PAIRED SYNCHRONIZED",R411="TRILATERAL SYNCHRONIZED"),"E ACTIONABLE","INDEPENDENT"))</x:f>
        <x:v>HELD — COVERAGE</x:v>
      </x:c>
      <x:c r="AA411" s="13" t="str">
        <x:f>IF(L411&lt;&gt;"COVERED","HELD — COVERAGE","WAIT FOR UPSTREAM COMPLETION")</x:f>
        <x:v>HELD — COVERAGE</x:v>
      </x:c>
      <x:c r="AB411" s="13" t="str">
        <x:f>IF(L411&lt;&gt;"COVERED","HELD — COVERAGE",IF(T411="UNRESOLVED","G DECISION REQUIRED",IF(T411="NOT APPLICABLE","G N/A","G ACTIONABLE")))</x:f>
        <x:v>HELD — COVERAGE</x:v>
      </x:c>
      <x:c r="AC411" s="13" t="str">
        <x:f>IF(L411="UNRESOLVED","COVERAGE FIRST",IF(OR(L411="EXCLUDED",L411="OUT OF SCOPE"),"CLOSED BY COVERAGE",IF(AND(L411="COVERED",T411&lt;&gt;"UNRESOLVED"),"PARTIALLY ADOPTED","DECISIONS REMAIN")))</x:f>
        <x:v>COVERAGE FIRST</x:v>
      </x:c>
    </x:row>
    <x:row r="412">
      <x:c r="A412" s="13" t="str">
        <x:v>NAAFTC-HS6-070940</x:v>
      </x:c>
      <x:c r="B412" s="13" t="str">
        <x:v>070940</x:v>
      </x:c>
      <x:c r="C412" s="13" t="str">
        <x:v>07</x:v>
      </x:c>
      <x:c r="D412" s="13" t="str">
        <x:v>TRILATERAL_SPLIT_MERGE</x:v>
      </x:c>
      <x:c r="E412" s="13" t="str">
        <x:v>Pending</x:v>
      </x:c>
      <x:c r="F412" s="13" t="n">
        <x:v>5</x:v>
      </x:c>
      <x:c r="G412" s="13" t="n">
        <x:v>2</x:v>
      </x:c>
      <x:c r="H412" s="13" t="n">
        <x:v>3</x:v>
      </x:c>
      <x:c r="I412" s="13" t="str">
        <x:v>0709402000; 0709404020; 0709404040; 0709406020; 0709406040</x:v>
      </x:c>
      <x:c r="J412" s="13" t="str">
        <x:v>0709400201; 0709400299</x:v>
      </x:c>
      <x:c r="K412" s="13" t="str">
        <x:v>0709401100; 0709401200; 07094090</x:v>
      </x:c>
      <x:c r="L412" s="13" t="str">
        <x:v>UNRESOLVED</x:v>
      </x:c>
      <x:c r="M412" s="13" t="str"/>
      <x:c r="N412" s="13" t="str">
        <x:v>NO / DEFAULT</x:v>
      </x:c>
      <x:c r="O412" s="13" t="str"/>
      <x:c r="P412" s="13" t="str">
        <x:v>NO / DEFAULT</x:v>
      </x:c>
      <x:c r="Q412" s="13" t="str"/>
      <x:c r="R412" s="13" t="str">
        <x:v>INDEPENDENT / DEFAULT</x:v>
      </x:c>
      <x:c r="S412" s="13" t="str"/>
      <x:c r="T412" s="13" t="str">
        <x:v>UNRESOLVED</x:v>
      </x:c>
      <x:c r="U412" s="13" t="str"/>
      <x:c r="V412" s="13" t="str"/>
      <x:c r="W412" s="13" t="str"/>
      <x:c r="X412" s="13" t="str">
        <x:f>IF(L412&lt;&gt;"COVERED","HELD — COVERAGE",IF(N412="YES — SENSITIVE","C ACTIONABLE","CHAPTER 5 DEFAULT"))</x:f>
        <x:v>HELD — COVERAGE</x:v>
      </x:c>
      <x:c r="Y412" s="13" t="str">
        <x:f>IF(L412&lt;&gt;"COVERED","HELD — COVERAGE",IF(P412="YES — MANAGED ACCESS","D ACTIONABLE","NO D FIELD"))</x:f>
        <x:v>HELD — COVERAGE</x:v>
      </x:c>
      <x:c r="Z412" s="13" t="str">
        <x:f>IF(L412&lt;&gt;"COVERED","HELD — COVERAGE",IF(OR(R412="PAIRED SYNCHRONIZED",R412="TRILATERAL SYNCHRONIZED"),"E ACTIONABLE","INDEPENDENT"))</x:f>
        <x:v>HELD — COVERAGE</x:v>
      </x:c>
      <x:c r="AA412" s="13" t="str">
        <x:f>IF(L412&lt;&gt;"COVERED","HELD — COVERAGE","WAIT FOR UPSTREAM COMPLETION")</x:f>
        <x:v>HELD — COVERAGE</x:v>
      </x:c>
      <x:c r="AB412" s="13" t="str">
        <x:f>IF(L412&lt;&gt;"COVERED","HELD — COVERAGE",IF(T412="UNRESOLVED","G DECISION REQUIRED",IF(T412="NOT APPLICABLE","G N/A","G ACTIONABLE")))</x:f>
        <x:v>HELD — COVERAGE</x:v>
      </x:c>
      <x:c r="AC412" s="13" t="str">
        <x:f>IF(L412="UNRESOLVED","COVERAGE FIRST",IF(OR(L412="EXCLUDED",L412="OUT OF SCOPE"),"CLOSED BY COVERAGE",IF(AND(L412="COVERED",T412&lt;&gt;"UNRESOLVED"),"PARTIALLY ADOPTED","DECISIONS REMAIN")))</x:f>
        <x:v>COVERAGE FIRST</x:v>
      </x:c>
    </x:row>
    <x:row r="413">
      <x:c r="A413" s="13" t="str">
        <x:v>NAAFTC-HS6-070951</x:v>
      </x:c>
      <x:c r="B413" s="13" t="str">
        <x:v>070951</x:v>
      </x:c>
      <x:c r="C413" s="13" t="str">
        <x:v>07</x:v>
      </x:c>
      <x:c r="D413" s="13" t="str">
        <x:v>TRILATERAL_SPLIT_MERGE</x:v>
      </x:c>
      <x:c r="E413" s="13" t="str">
        <x:v>Pending</x:v>
      </x:c>
      <x:c r="F413" s="13" t="n">
        <x:v>2</x:v>
      </x:c>
      <x:c r="G413" s="13" t="n">
        <x:v>1</x:v>
      </x:c>
      <x:c r="H413" s="13" t="n">
        <x:v>2</x:v>
      </x:c>
      <x:c r="I413" s="13" t="str">
        <x:v>0709510110; 0709510150</x:v>
      </x:c>
      <x:c r="J413" s="13" t="str">
        <x:v>0709510100</x:v>
      </x:c>
      <x:c r="K413" s="13" t="str">
        <x:v>0709511000; 0709519000</x:v>
      </x:c>
      <x:c r="L413" s="13" t="str">
        <x:v>UNRESOLVED</x:v>
      </x:c>
      <x:c r="M413" s="13" t="str"/>
      <x:c r="N413" s="13" t="str">
        <x:v>NO / DEFAULT</x:v>
      </x:c>
      <x:c r="O413" s="13" t="str"/>
      <x:c r="P413" s="13" t="str">
        <x:v>NO / DEFAULT</x:v>
      </x:c>
      <x:c r="Q413" s="13" t="str"/>
      <x:c r="R413" s="13" t="str">
        <x:v>INDEPENDENT / DEFAULT</x:v>
      </x:c>
      <x:c r="S413" s="13" t="str"/>
      <x:c r="T413" s="13" t="str">
        <x:v>UNRESOLVED</x:v>
      </x:c>
      <x:c r="U413" s="13" t="str"/>
      <x:c r="V413" s="13" t="str"/>
      <x:c r="W413" s="13" t="str"/>
      <x:c r="X413" s="13" t="str">
        <x:f>IF(L413&lt;&gt;"COVERED","HELD — COVERAGE",IF(N413="YES — SENSITIVE","C ACTIONABLE","CHAPTER 5 DEFAULT"))</x:f>
        <x:v>HELD — COVERAGE</x:v>
      </x:c>
      <x:c r="Y413" s="13" t="str">
        <x:f>IF(L413&lt;&gt;"COVERED","HELD — COVERAGE",IF(P413="YES — MANAGED ACCESS","D ACTIONABLE","NO D FIELD"))</x:f>
        <x:v>HELD — COVERAGE</x:v>
      </x:c>
      <x:c r="Z413" s="13" t="str">
        <x:f>IF(L413&lt;&gt;"COVERED","HELD — COVERAGE",IF(OR(R413="PAIRED SYNCHRONIZED",R413="TRILATERAL SYNCHRONIZED"),"E ACTIONABLE","INDEPENDENT"))</x:f>
        <x:v>HELD — COVERAGE</x:v>
      </x:c>
      <x:c r="AA413" s="13" t="str">
        <x:f>IF(L413&lt;&gt;"COVERED","HELD — COVERAGE","WAIT FOR UPSTREAM COMPLETION")</x:f>
        <x:v>HELD — COVERAGE</x:v>
      </x:c>
      <x:c r="AB413" s="13" t="str">
        <x:f>IF(L413&lt;&gt;"COVERED","HELD — COVERAGE",IF(T413="UNRESOLVED","G DECISION REQUIRED",IF(T413="NOT APPLICABLE","G N/A","G ACTIONABLE")))</x:f>
        <x:v>HELD — COVERAGE</x:v>
      </x:c>
      <x:c r="AC413" s="13" t="str">
        <x:f>IF(L413="UNRESOLVED","COVERAGE FIRST",IF(OR(L413="EXCLUDED",L413="OUT OF SCOPE"),"CLOSED BY COVERAGE",IF(AND(L413="COVERED",T413&lt;&gt;"UNRESOLVED"),"PARTIALLY ADOPTED","DECISIONS REMAIN")))</x:f>
        <x:v>COVERAGE FIRST</x:v>
      </x:c>
    </x:row>
    <x:row r="414">
      <x:c r="A414" s="13" t="str">
        <x:v>NAAFTC-HS6-070952</x:v>
      </x:c>
      <x:c r="B414" s="13" t="str">
        <x:v>070952</x:v>
      </x:c>
      <x:c r="C414" s="13" t="str">
        <x:v>07</x:v>
      </x:c>
      <x:c r="D414" s="13" t="str">
        <x:v>TRILATERAL_SPLIT_MERGE</x:v>
      </x:c>
      <x:c r="E414" s="13" t="str">
        <x:v>Pending</x:v>
      </x:c>
      <x:c r="F414" s="13" t="n">
        <x:v>1</x:v>
      </x:c>
      <x:c r="G414" s="13" t="n">
        <x:v>1</x:v>
      </x:c>
      <x:c r="H414" s="13" t="n">
        <x:v>2</x:v>
      </x:c>
      <x:c r="I414" s="13" t="str">
        <x:v>0709520500</x:v>
      </x:c>
      <x:c r="J414" s="13" t="str">
        <x:v>0709520100</x:v>
      </x:c>
      <x:c r="K414" s="13" t="str">
        <x:v>0709521000; 0709529000</x:v>
      </x:c>
      <x:c r="L414" s="13" t="str">
        <x:v>UNRESOLVED</x:v>
      </x:c>
      <x:c r="M414" s="13" t="str"/>
      <x:c r="N414" s="13" t="str">
        <x:v>NO / DEFAULT</x:v>
      </x:c>
      <x:c r="O414" s="13" t="str"/>
      <x:c r="P414" s="13" t="str">
        <x:v>NO / DEFAULT</x:v>
      </x:c>
      <x:c r="Q414" s="13" t="str"/>
      <x:c r="R414" s="13" t="str">
        <x:v>INDEPENDENT / DEFAULT</x:v>
      </x:c>
      <x:c r="S414" s="13" t="str"/>
      <x:c r="T414" s="13" t="str">
        <x:v>UNRESOLVED</x:v>
      </x:c>
      <x:c r="U414" s="13" t="str"/>
      <x:c r="V414" s="13" t="str"/>
      <x:c r="W414" s="13" t="str"/>
      <x:c r="X414" s="13" t="str">
        <x:f>IF(L414&lt;&gt;"COVERED","HELD — COVERAGE",IF(N414="YES — SENSITIVE","C ACTIONABLE","CHAPTER 5 DEFAULT"))</x:f>
        <x:v>HELD — COVERAGE</x:v>
      </x:c>
      <x:c r="Y414" s="13" t="str">
        <x:f>IF(L414&lt;&gt;"COVERED","HELD — COVERAGE",IF(P414="YES — MANAGED ACCESS","D ACTIONABLE","NO D FIELD"))</x:f>
        <x:v>HELD — COVERAGE</x:v>
      </x:c>
      <x:c r="Z414" s="13" t="str">
        <x:f>IF(L414&lt;&gt;"COVERED","HELD — COVERAGE",IF(OR(R414="PAIRED SYNCHRONIZED",R414="TRILATERAL SYNCHRONIZED"),"E ACTIONABLE","INDEPENDENT"))</x:f>
        <x:v>HELD — COVERAGE</x:v>
      </x:c>
      <x:c r="AA414" s="13" t="str">
        <x:f>IF(L414&lt;&gt;"COVERED","HELD — COVERAGE","WAIT FOR UPSTREAM COMPLETION")</x:f>
        <x:v>HELD — COVERAGE</x:v>
      </x:c>
      <x:c r="AB414" s="13" t="str">
        <x:f>IF(L414&lt;&gt;"COVERED","HELD — COVERAGE",IF(T414="UNRESOLVED","G DECISION REQUIRED",IF(T414="NOT APPLICABLE","G N/A","G ACTIONABLE")))</x:f>
        <x:v>HELD — COVERAGE</x:v>
      </x:c>
      <x:c r="AC414" s="13" t="str">
        <x:f>IF(L414="UNRESOLVED","COVERAGE FIRST",IF(OR(L414="EXCLUDED",L414="OUT OF SCOPE"),"CLOSED BY COVERAGE",IF(AND(L414="COVERED",T414&lt;&gt;"UNRESOLVED"),"PARTIALLY ADOPTED","DECISIONS REMAIN")))</x:f>
        <x:v>COVERAGE FIRST</x:v>
      </x:c>
    </x:row>
    <x:row r="415">
      <x:c r="A415" s="13" t="str">
        <x:v>NAAFTC-HS6-070953</x:v>
      </x:c>
      <x:c r="B415" s="13" t="str">
        <x:v>070953</x:v>
      </x:c>
      <x:c r="C415" s="13" t="str">
        <x:v>07</x:v>
      </x:c>
      <x:c r="D415" s="13" t="str">
        <x:v>TRILATERAL_SPLIT_MERGE</x:v>
      </x:c>
      <x:c r="E415" s="13" t="str">
        <x:v>Pending</x:v>
      </x:c>
      <x:c r="F415" s="13" t="n">
        <x:v>1</x:v>
      </x:c>
      <x:c r="G415" s="13" t="n">
        <x:v>1</x:v>
      </x:c>
      <x:c r="H415" s="13" t="n">
        <x:v>2</x:v>
      </x:c>
      <x:c r="I415" s="13" t="str">
        <x:v>0709530000</x:v>
      </x:c>
      <x:c r="J415" s="13" t="str">
        <x:v>0709530100</x:v>
      </x:c>
      <x:c r="K415" s="13" t="str">
        <x:v>0709531000; 0709539000</x:v>
      </x:c>
      <x:c r="L415" s="13" t="str">
        <x:v>UNRESOLVED</x:v>
      </x:c>
      <x:c r="M415" s="13" t="str"/>
      <x:c r="N415" s="13" t="str">
        <x:v>NO / DEFAULT</x:v>
      </x:c>
      <x:c r="O415" s="13" t="str"/>
      <x:c r="P415" s="13" t="str">
        <x:v>NO / DEFAULT</x:v>
      </x:c>
      <x:c r="Q415" s="13" t="str"/>
      <x:c r="R415" s="13" t="str">
        <x:v>INDEPENDENT / DEFAULT</x:v>
      </x:c>
      <x:c r="S415" s="13" t="str"/>
      <x:c r="T415" s="13" t="str">
        <x:v>UNRESOLVED</x:v>
      </x:c>
      <x:c r="U415" s="13" t="str"/>
      <x:c r="V415" s="13" t="str"/>
      <x:c r="W415" s="13" t="str"/>
      <x:c r="X415" s="13" t="str">
        <x:f>IF(L415&lt;&gt;"COVERED","HELD — COVERAGE",IF(N415="YES — SENSITIVE","C ACTIONABLE","CHAPTER 5 DEFAULT"))</x:f>
        <x:v>HELD — COVERAGE</x:v>
      </x:c>
      <x:c r="Y415" s="13" t="str">
        <x:f>IF(L415&lt;&gt;"COVERED","HELD — COVERAGE",IF(P415="YES — MANAGED ACCESS","D ACTIONABLE","NO D FIELD"))</x:f>
        <x:v>HELD — COVERAGE</x:v>
      </x:c>
      <x:c r="Z415" s="13" t="str">
        <x:f>IF(L415&lt;&gt;"COVERED","HELD — COVERAGE",IF(OR(R415="PAIRED SYNCHRONIZED",R415="TRILATERAL SYNCHRONIZED"),"E ACTIONABLE","INDEPENDENT"))</x:f>
        <x:v>HELD — COVERAGE</x:v>
      </x:c>
      <x:c r="AA415" s="13" t="str">
        <x:f>IF(L415&lt;&gt;"COVERED","HELD — COVERAGE","WAIT FOR UPSTREAM COMPLETION")</x:f>
        <x:v>HELD — COVERAGE</x:v>
      </x:c>
      <x:c r="AB415" s="13" t="str">
        <x:f>IF(L415&lt;&gt;"COVERED","HELD — COVERAGE",IF(T415="UNRESOLVED","G DECISION REQUIRED",IF(T415="NOT APPLICABLE","G N/A","G ACTIONABLE")))</x:f>
        <x:v>HELD — COVERAGE</x:v>
      </x:c>
      <x:c r="AC415" s="13" t="str">
        <x:f>IF(L415="UNRESOLVED","COVERAGE FIRST",IF(OR(L415="EXCLUDED",L415="OUT OF SCOPE"),"CLOSED BY COVERAGE",IF(AND(L415="COVERED",T415&lt;&gt;"UNRESOLVED"),"PARTIALLY ADOPTED","DECISIONS REMAIN")))</x:f>
        <x:v>COVERAGE FIRST</x:v>
      </x:c>
    </x:row>
    <x:row r="416">
      <x:c r="A416" s="13" t="str">
        <x:v>NAAFTC-HS6-070954</x:v>
      </x:c>
      <x:c r="B416" s="13" t="str">
        <x:v>070954</x:v>
      </x:c>
      <x:c r="C416" s="13" t="str">
        <x:v>07</x:v>
      </x:c>
      <x:c r="D416" s="13" t="str">
        <x:v>TRILATERAL_SPLIT_MERGE</x:v>
      </x:c>
      <x:c r="E416" s="13" t="str">
        <x:v>Pending</x:v>
      </x:c>
      <x:c r="F416" s="13" t="n">
        <x:v>1</x:v>
      </x:c>
      <x:c r="G416" s="13" t="n">
        <x:v>1</x:v>
      </x:c>
      <x:c r="H416" s="13" t="n">
        <x:v>2</x:v>
      </x:c>
      <x:c r="I416" s="13" t="str">
        <x:v>0709540000</x:v>
      </x:c>
      <x:c r="J416" s="13" t="str">
        <x:v>0709540100</x:v>
      </x:c>
      <x:c r="K416" s="13" t="str">
        <x:v>0709541000; 0709549000</x:v>
      </x:c>
      <x:c r="L416" s="13" t="str">
        <x:v>UNRESOLVED</x:v>
      </x:c>
      <x:c r="M416" s="13" t="str"/>
      <x:c r="N416" s="13" t="str">
        <x:v>NO / DEFAULT</x:v>
      </x:c>
      <x:c r="O416" s="13" t="str"/>
      <x:c r="P416" s="13" t="str">
        <x:v>NO / DEFAULT</x:v>
      </x:c>
      <x:c r="Q416" s="13" t="str"/>
      <x:c r="R416" s="13" t="str">
        <x:v>INDEPENDENT / DEFAULT</x:v>
      </x:c>
      <x:c r="S416" s="13" t="str"/>
      <x:c r="T416" s="13" t="str">
        <x:v>UNRESOLVED</x:v>
      </x:c>
      <x:c r="U416" s="13" t="str"/>
      <x:c r="V416" s="13" t="str"/>
      <x:c r="W416" s="13" t="str"/>
      <x:c r="X416" s="13" t="str">
        <x:f>IF(L416&lt;&gt;"COVERED","HELD — COVERAGE",IF(N416="YES — SENSITIVE","C ACTIONABLE","CHAPTER 5 DEFAULT"))</x:f>
        <x:v>HELD — COVERAGE</x:v>
      </x:c>
      <x:c r="Y416" s="13" t="str">
        <x:f>IF(L416&lt;&gt;"COVERED","HELD — COVERAGE",IF(P416="YES — MANAGED ACCESS","D ACTIONABLE","NO D FIELD"))</x:f>
        <x:v>HELD — COVERAGE</x:v>
      </x:c>
      <x:c r="Z416" s="13" t="str">
        <x:f>IF(L416&lt;&gt;"COVERED","HELD — COVERAGE",IF(OR(R416="PAIRED SYNCHRONIZED",R416="TRILATERAL SYNCHRONIZED"),"E ACTIONABLE","INDEPENDENT"))</x:f>
        <x:v>HELD — COVERAGE</x:v>
      </x:c>
      <x:c r="AA416" s="13" t="str">
        <x:f>IF(L416&lt;&gt;"COVERED","HELD — COVERAGE","WAIT FOR UPSTREAM COMPLETION")</x:f>
        <x:v>HELD — COVERAGE</x:v>
      </x:c>
      <x:c r="AB416" s="13" t="str">
        <x:f>IF(L416&lt;&gt;"COVERED","HELD — COVERAGE",IF(T416="UNRESOLVED","G DECISION REQUIRED",IF(T416="NOT APPLICABLE","G N/A","G ACTIONABLE")))</x:f>
        <x:v>HELD — COVERAGE</x:v>
      </x:c>
      <x:c r="AC416" s="13" t="str">
        <x:f>IF(L416="UNRESOLVED","COVERAGE FIRST",IF(OR(L416="EXCLUDED",L416="OUT OF SCOPE"),"CLOSED BY COVERAGE",IF(AND(L416="COVERED",T416&lt;&gt;"UNRESOLVED"),"PARTIALLY ADOPTED","DECISIONS REMAIN")))</x:f>
        <x:v>COVERAGE FIRST</x:v>
      </x:c>
    </x:row>
    <x:row r="417">
      <x:c r="A417" s="13" t="str">
        <x:v>NAAFTC-HS6-070955</x:v>
      </x:c>
      <x:c r="B417" s="13" t="str">
        <x:v>070955</x:v>
      </x:c>
      <x:c r="C417" s="13" t="str">
        <x:v>07</x:v>
      </x:c>
      <x:c r="D417" s="13" t="str">
        <x:v>TRILATERAL_SPLIT_MERGE</x:v>
      </x:c>
      <x:c r="E417" s="13" t="str">
        <x:v>Pending</x:v>
      </x:c>
      <x:c r="F417" s="13" t="n">
        <x:v>1</x:v>
      </x:c>
      <x:c r="G417" s="13" t="n">
        <x:v>1</x:v>
      </x:c>
      <x:c r="H417" s="13" t="n">
        <x:v>2</x:v>
      </x:c>
      <x:c r="I417" s="13" t="str">
        <x:v>0709550000</x:v>
      </x:c>
      <x:c r="J417" s="13" t="str">
        <x:v>0709550100</x:v>
      </x:c>
      <x:c r="K417" s="13" t="str">
        <x:v>0709551000; 0709559000</x:v>
      </x:c>
      <x:c r="L417" s="13" t="str">
        <x:v>UNRESOLVED</x:v>
      </x:c>
      <x:c r="M417" s="13" t="str"/>
      <x:c r="N417" s="13" t="str">
        <x:v>NO / DEFAULT</x:v>
      </x:c>
      <x:c r="O417" s="13" t="str"/>
      <x:c r="P417" s="13" t="str">
        <x:v>NO / DEFAULT</x:v>
      </x:c>
      <x:c r="Q417" s="13" t="str"/>
      <x:c r="R417" s="13" t="str">
        <x:v>INDEPENDENT / DEFAULT</x:v>
      </x:c>
      <x:c r="S417" s="13" t="str"/>
      <x:c r="T417" s="13" t="str">
        <x:v>UNRESOLVED</x:v>
      </x:c>
      <x:c r="U417" s="13" t="str"/>
      <x:c r="V417" s="13" t="str"/>
      <x:c r="W417" s="13" t="str"/>
      <x:c r="X417" s="13" t="str">
        <x:f>IF(L417&lt;&gt;"COVERED","HELD — COVERAGE",IF(N417="YES — SENSITIVE","C ACTIONABLE","CHAPTER 5 DEFAULT"))</x:f>
        <x:v>HELD — COVERAGE</x:v>
      </x:c>
      <x:c r="Y417" s="13" t="str">
        <x:f>IF(L417&lt;&gt;"COVERED","HELD — COVERAGE",IF(P417="YES — MANAGED ACCESS","D ACTIONABLE","NO D FIELD"))</x:f>
        <x:v>HELD — COVERAGE</x:v>
      </x:c>
      <x:c r="Z417" s="13" t="str">
        <x:f>IF(L417&lt;&gt;"COVERED","HELD — COVERAGE",IF(OR(R417="PAIRED SYNCHRONIZED",R417="TRILATERAL SYNCHRONIZED"),"E ACTIONABLE","INDEPENDENT"))</x:f>
        <x:v>HELD — COVERAGE</x:v>
      </x:c>
      <x:c r="AA417" s="13" t="str">
        <x:f>IF(L417&lt;&gt;"COVERED","HELD — COVERAGE","WAIT FOR UPSTREAM COMPLETION")</x:f>
        <x:v>HELD — COVERAGE</x:v>
      </x:c>
      <x:c r="AB417" s="13" t="str">
        <x:f>IF(L417&lt;&gt;"COVERED","HELD — COVERAGE",IF(T417="UNRESOLVED","G DECISION REQUIRED",IF(T417="NOT APPLICABLE","G N/A","G ACTIONABLE")))</x:f>
        <x:v>HELD — COVERAGE</x:v>
      </x:c>
      <x:c r="AC417" s="13" t="str">
        <x:f>IF(L417="UNRESOLVED","COVERAGE FIRST",IF(OR(L417="EXCLUDED",L417="OUT OF SCOPE"),"CLOSED BY COVERAGE",IF(AND(L417="COVERED",T417&lt;&gt;"UNRESOLVED"),"PARTIALLY ADOPTED","DECISIONS REMAIN")))</x:f>
        <x:v>COVERAGE FIRST</x:v>
      </x:c>
    </x:row>
    <x:row r="418">
      <x:c r="A418" s="13" t="str">
        <x:v>NAAFTC-HS6-070956</x:v>
      </x:c>
      <x:c r="B418" s="13" t="str">
        <x:v>070956</x:v>
      </x:c>
      <x:c r="C418" s="13" t="str">
        <x:v>07</x:v>
      </x:c>
      <x:c r="D418" s="13" t="str">
        <x:v>TRILATERAL_1_TO_1_TO_1</x:v>
      </x:c>
      <x:c r="E418" s="13" t="str">
        <x:v>Pending</x:v>
      </x:c>
      <x:c r="F418" s="13" t="n">
        <x:v>1</x:v>
      </x:c>
      <x:c r="G418" s="13" t="n">
        <x:v>1</x:v>
      </x:c>
      <x:c r="H418" s="13" t="n">
        <x:v>1</x:v>
      </x:c>
      <x:c r="I418" s="13" t="str">
        <x:v>0709560000</x:v>
      </x:c>
      <x:c r="J418" s="13" t="str">
        <x:v>0709560100</x:v>
      </x:c>
      <x:c r="K418" s="13" t="str">
        <x:v>0709560000</x:v>
      </x:c>
      <x:c r="L418" s="13" t="str">
        <x:v>UNRESOLVED</x:v>
      </x:c>
      <x:c r="M418" s="13" t="str"/>
      <x:c r="N418" s="13" t="str">
        <x:v>NO / DEFAULT</x:v>
      </x:c>
      <x:c r="O418" s="13" t="str"/>
      <x:c r="P418" s="13" t="str">
        <x:v>NO / DEFAULT</x:v>
      </x:c>
      <x:c r="Q418" s="13" t="str"/>
      <x:c r="R418" s="13" t="str">
        <x:v>INDEPENDENT / DEFAULT</x:v>
      </x:c>
      <x:c r="S418" s="13" t="str"/>
      <x:c r="T418" s="13" t="str">
        <x:v>UNRESOLVED</x:v>
      </x:c>
      <x:c r="U418" s="13" t="str"/>
      <x:c r="V418" s="13" t="str"/>
      <x:c r="W418" s="13" t="str"/>
      <x:c r="X418" s="13" t="str">
        <x:f>IF(L418&lt;&gt;"COVERED","HELD — COVERAGE",IF(N418="YES — SENSITIVE","C ACTIONABLE","CHAPTER 5 DEFAULT"))</x:f>
        <x:v>HELD — COVERAGE</x:v>
      </x:c>
      <x:c r="Y418" s="13" t="str">
        <x:f>IF(L418&lt;&gt;"COVERED","HELD — COVERAGE",IF(P418="YES — MANAGED ACCESS","D ACTIONABLE","NO D FIELD"))</x:f>
        <x:v>HELD — COVERAGE</x:v>
      </x:c>
      <x:c r="Z418" s="13" t="str">
        <x:f>IF(L418&lt;&gt;"COVERED","HELD — COVERAGE",IF(OR(R418="PAIRED SYNCHRONIZED",R418="TRILATERAL SYNCHRONIZED"),"E ACTIONABLE","INDEPENDENT"))</x:f>
        <x:v>HELD — COVERAGE</x:v>
      </x:c>
      <x:c r="AA418" s="13" t="str">
        <x:f>IF(L418&lt;&gt;"COVERED","HELD — COVERAGE","WAIT FOR UPSTREAM COMPLETION")</x:f>
        <x:v>HELD — COVERAGE</x:v>
      </x:c>
      <x:c r="AB418" s="13" t="str">
        <x:f>IF(L418&lt;&gt;"COVERED","HELD — COVERAGE",IF(T418="UNRESOLVED","G DECISION REQUIRED",IF(T418="NOT APPLICABLE","G N/A","G ACTIONABLE")))</x:f>
        <x:v>HELD — COVERAGE</x:v>
      </x:c>
      <x:c r="AC418" s="13" t="str">
        <x:f>IF(L418="UNRESOLVED","COVERAGE FIRST",IF(OR(L418="EXCLUDED",L418="OUT OF SCOPE"),"CLOSED BY COVERAGE",IF(AND(L418="COVERED",T418&lt;&gt;"UNRESOLVED"),"PARTIALLY ADOPTED","DECISIONS REMAIN")))</x:f>
        <x:v>COVERAGE FIRST</x:v>
      </x:c>
    </x:row>
    <x:row r="419">
      <x:c r="A419" s="13" t="str">
        <x:v>NAAFTC-HS6-070959</x:v>
      </x:c>
      <x:c r="B419" s="13" t="str">
        <x:v>070959</x:v>
      </x:c>
      <x:c r="C419" s="13" t="str">
        <x:v>07</x:v>
      </x:c>
      <x:c r="D419" s="13" t="str">
        <x:v>TRILATERAL_SPLIT_MERGE</x:v>
      </x:c>
      <x:c r="E419" s="13" t="str">
        <x:v>Pending</x:v>
      </x:c>
      <x:c r="F419" s="13" t="n">
        <x:v>2</x:v>
      </x:c>
      <x:c r="G419" s="13" t="n">
        <x:v>1</x:v>
      </x:c>
      <x:c r="H419" s="13" t="n">
        <x:v>2</x:v>
      </x:c>
      <x:c r="I419" s="13" t="str">
        <x:v>0709591100; 0709599100</x:v>
      </x:c>
      <x:c r="J419" s="13" t="str">
        <x:v>0709599900</x:v>
      </x:c>
      <x:c r="K419" s="13" t="str">
        <x:v>0709591000; 0709599000</x:v>
      </x:c>
      <x:c r="L419" s="13" t="str">
        <x:v>UNRESOLVED</x:v>
      </x:c>
      <x:c r="M419" s="13" t="str"/>
      <x:c r="N419" s="13" t="str">
        <x:v>NO / DEFAULT</x:v>
      </x:c>
      <x:c r="O419" s="13" t="str"/>
      <x:c r="P419" s="13" t="str">
        <x:v>NO / DEFAULT</x:v>
      </x:c>
      <x:c r="Q419" s="13" t="str"/>
      <x:c r="R419" s="13" t="str">
        <x:v>INDEPENDENT / DEFAULT</x:v>
      </x:c>
      <x:c r="S419" s="13" t="str"/>
      <x:c r="T419" s="13" t="str">
        <x:v>UNRESOLVED</x:v>
      </x:c>
      <x:c r="U419" s="13" t="str"/>
      <x:c r="V419" s="13" t="str"/>
      <x:c r="W419" s="13" t="str"/>
      <x:c r="X419" s="13" t="str">
        <x:f>IF(L419&lt;&gt;"COVERED","HELD — COVERAGE",IF(N419="YES — SENSITIVE","C ACTIONABLE","CHAPTER 5 DEFAULT"))</x:f>
        <x:v>HELD — COVERAGE</x:v>
      </x:c>
      <x:c r="Y419" s="13" t="str">
        <x:f>IF(L419&lt;&gt;"COVERED","HELD — COVERAGE",IF(P419="YES — MANAGED ACCESS","D ACTIONABLE","NO D FIELD"))</x:f>
        <x:v>HELD — COVERAGE</x:v>
      </x:c>
      <x:c r="Z419" s="13" t="str">
        <x:f>IF(L419&lt;&gt;"COVERED","HELD — COVERAGE",IF(OR(R419="PAIRED SYNCHRONIZED",R419="TRILATERAL SYNCHRONIZED"),"E ACTIONABLE","INDEPENDENT"))</x:f>
        <x:v>HELD — COVERAGE</x:v>
      </x:c>
      <x:c r="AA419" s="13" t="str">
        <x:f>IF(L419&lt;&gt;"COVERED","HELD — COVERAGE","WAIT FOR UPSTREAM COMPLETION")</x:f>
        <x:v>HELD — COVERAGE</x:v>
      </x:c>
      <x:c r="AB419" s="13" t="str">
        <x:f>IF(L419&lt;&gt;"COVERED","HELD — COVERAGE",IF(T419="UNRESOLVED","G DECISION REQUIRED",IF(T419="NOT APPLICABLE","G N/A","G ACTIONABLE")))</x:f>
        <x:v>HELD — COVERAGE</x:v>
      </x:c>
      <x:c r="AC419" s="13" t="str">
        <x:f>IF(L419="UNRESOLVED","COVERAGE FIRST",IF(OR(L419="EXCLUDED",L419="OUT OF SCOPE"),"CLOSED BY COVERAGE",IF(AND(L419="COVERED",T419&lt;&gt;"UNRESOLVED"),"PARTIALLY ADOPTED","DECISIONS REMAIN")))</x:f>
        <x:v>COVERAGE FIRST</x:v>
      </x:c>
    </x:row>
    <x:row r="420">
      <x:c r="A420" s="13" t="str">
        <x:v>NAAFTC-HS6-070960</x:v>
      </x:c>
      <x:c r="B420" s="13" t="str">
        <x:v>070960</x:v>
      </x:c>
      <x:c r="C420" s="13" t="str">
        <x:v>07</x:v>
      </x:c>
      <x:c r="D420" s="13" t="str">
        <x:v>TRILATERAL_SPLIT_MERGE</x:v>
      </x:c>
      <x:c r="E420" s="13" t="str">
        <x:v>Pending</x:v>
      </x:c>
      <x:c r="F420" s="13" t="n">
        <x:v>30</x:v>
      </x:c>
      <x:c r="G420" s="13" t="n">
        <x:v>11</x:v>
      </x:c>
      <x:c r="H420" s="13" t="n">
        <x:v>2</x:v>
      </x:c>
      <x:c r="I420" s="13" t="str">
        <x:v>0709602010; 0709602020; 0709602030; 0709602040; 0709602050; 0709602060; +24 more</x:v>
      </x:c>
      <x:c r="J420" s="13" t="str">
        <x:v>0709600300; 0709600400; 0709609901; 0709609902; 0709609903; 0709609904; +5 more</x:v>
      </x:c>
      <x:c r="K420" s="13" t="str">
        <x:v>0709601000; 07096090</x:v>
      </x:c>
      <x:c r="L420" s="13" t="str">
        <x:v>UNRESOLVED</x:v>
      </x:c>
      <x:c r="M420" s="13" t="str"/>
      <x:c r="N420" s="13" t="str">
        <x:v>NO / DEFAULT</x:v>
      </x:c>
      <x:c r="O420" s="13" t="str"/>
      <x:c r="P420" s="13" t="str">
        <x:v>NO / DEFAULT</x:v>
      </x:c>
      <x:c r="Q420" s="13" t="str"/>
      <x:c r="R420" s="13" t="str">
        <x:v>INDEPENDENT / DEFAULT</x:v>
      </x:c>
      <x:c r="S420" s="13" t="str"/>
      <x:c r="T420" s="13" t="str">
        <x:v>UNRESOLVED</x:v>
      </x:c>
      <x:c r="U420" s="13" t="str"/>
      <x:c r="V420" s="13" t="str"/>
      <x:c r="W420" s="13" t="str"/>
      <x:c r="X420" s="13" t="str">
        <x:f>IF(L420&lt;&gt;"COVERED","HELD — COVERAGE",IF(N420="YES — SENSITIVE","C ACTIONABLE","CHAPTER 5 DEFAULT"))</x:f>
        <x:v>HELD — COVERAGE</x:v>
      </x:c>
      <x:c r="Y420" s="13" t="str">
        <x:f>IF(L420&lt;&gt;"COVERED","HELD — COVERAGE",IF(P420="YES — MANAGED ACCESS","D ACTIONABLE","NO D FIELD"))</x:f>
        <x:v>HELD — COVERAGE</x:v>
      </x:c>
      <x:c r="Z420" s="13" t="str">
        <x:f>IF(L420&lt;&gt;"COVERED","HELD — COVERAGE",IF(OR(R420="PAIRED SYNCHRONIZED",R420="TRILATERAL SYNCHRONIZED"),"E ACTIONABLE","INDEPENDENT"))</x:f>
        <x:v>HELD — COVERAGE</x:v>
      </x:c>
      <x:c r="AA420" s="13" t="str">
        <x:f>IF(L420&lt;&gt;"COVERED","HELD — COVERAGE","WAIT FOR UPSTREAM COMPLETION")</x:f>
        <x:v>HELD — COVERAGE</x:v>
      </x:c>
      <x:c r="AB420" s="13" t="str">
        <x:f>IF(L420&lt;&gt;"COVERED","HELD — COVERAGE",IF(T420="UNRESOLVED","G DECISION REQUIRED",IF(T420="NOT APPLICABLE","G N/A","G ACTIONABLE")))</x:f>
        <x:v>HELD — COVERAGE</x:v>
      </x:c>
      <x:c r="AC420" s="13" t="str">
        <x:f>IF(L420="UNRESOLVED","COVERAGE FIRST",IF(OR(L420="EXCLUDED",L420="OUT OF SCOPE"),"CLOSED BY COVERAGE",IF(AND(L420="COVERED",T420&lt;&gt;"UNRESOLVED"),"PARTIALLY ADOPTED","DECISIONS REMAIN")))</x:f>
        <x:v>COVERAGE FIRST</x:v>
      </x:c>
    </x:row>
    <x:row r="421">
      <x:c r="A421" s="13" t="str">
        <x:v>NAAFTC-HS6-070970</x:v>
      </x:c>
      <x:c r="B421" s="13" t="str">
        <x:v>070970</x:v>
      </x:c>
      <x:c r="C421" s="13" t="str">
        <x:v>07</x:v>
      </x:c>
      <x:c r="D421" s="13" t="str">
        <x:v>TRILATERAL_SPLIT_MERGE</x:v>
      </x:c>
      <x:c r="E421" s="13" t="str">
        <x:v>Pending</x:v>
      </x:c>
      <x:c r="F421" s="13" t="n">
        <x:v>2</x:v>
      </x:c>
      <x:c r="G421" s="13" t="n">
        <x:v>1</x:v>
      </x:c>
      <x:c r="H421" s="13" t="n">
        <x:v>1</x:v>
      </x:c>
      <x:c r="I421" s="13" t="str">
        <x:v>0709700010; 0709700050</x:v>
      </x:c>
      <x:c r="J421" s="13" t="str">
        <x:v>0709700100</x:v>
      </x:c>
      <x:c r="K421" s="13" t="str">
        <x:v>07097000</x:v>
      </x:c>
      <x:c r="L421" s="13" t="str">
        <x:v>UNRESOLVED</x:v>
      </x:c>
      <x:c r="M421" s="13" t="str"/>
      <x:c r="N421" s="13" t="str">
        <x:v>NO / DEFAULT</x:v>
      </x:c>
      <x:c r="O421" s="13" t="str"/>
      <x:c r="P421" s="13" t="str">
        <x:v>NO / DEFAULT</x:v>
      </x:c>
      <x:c r="Q421" s="13" t="str"/>
      <x:c r="R421" s="13" t="str">
        <x:v>INDEPENDENT / DEFAULT</x:v>
      </x:c>
      <x:c r="S421" s="13" t="str"/>
      <x:c r="T421" s="13" t="str">
        <x:v>UNRESOLVED</x:v>
      </x:c>
      <x:c r="U421" s="13" t="str"/>
      <x:c r="V421" s="13" t="str"/>
      <x:c r="W421" s="13" t="str"/>
      <x:c r="X421" s="13" t="str">
        <x:f>IF(L421&lt;&gt;"COVERED","HELD — COVERAGE",IF(N421="YES — SENSITIVE","C ACTIONABLE","CHAPTER 5 DEFAULT"))</x:f>
        <x:v>HELD — COVERAGE</x:v>
      </x:c>
      <x:c r="Y421" s="13" t="str">
        <x:f>IF(L421&lt;&gt;"COVERED","HELD — COVERAGE",IF(P421="YES — MANAGED ACCESS","D ACTIONABLE","NO D FIELD"))</x:f>
        <x:v>HELD — COVERAGE</x:v>
      </x:c>
      <x:c r="Z421" s="13" t="str">
        <x:f>IF(L421&lt;&gt;"COVERED","HELD — COVERAGE",IF(OR(R421="PAIRED SYNCHRONIZED",R421="TRILATERAL SYNCHRONIZED"),"E ACTIONABLE","INDEPENDENT"))</x:f>
        <x:v>HELD — COVERAGE</x:v>
      </x:c>
      <x:c r="AA421" s="13" t="str">
        <x:f>IF(L421&lt;&gt;"COVERED","HELD — COVERAGE","WAIT FOR UPSTREAM COMPLETION")</x:f>
        <x:v>HELD — COVERAGE</x:v>
      </x:c>
      <x:c r="AB421" s="13" t="str">
        <x:f>IF(L421&lt;&gt;"COVERED","HELD — COVERAGE",IF(T421="UNRESOLVED","G DECISION REQUIRED",IF(T421="NOT APPLICABLE","G N/A","G ACTIONABLE")))</x:f>
        <x:v>HELD — COVERAGE</x:v>
      </x:c>
      <x:c r="AC421" s="13" t="str">
        <x:f>IF(L421="UNRESOLVED","COVERAGE FIRST",IF(OR(L421="EXCLUDED",L421="OUT OF SCOPE"),"CLOSED BY COVERAGE",IF(AND(L421="COVERED",T421&lt;&gt;"UNRESOLVED"),"PARTIALLY ADOPTED","DECISIONS REMAIN")))</x:f>
        <x:v>COVERAGE FIRST</x:v>
      </x:c>
    </x:row>
    <x:row r="422">
      <x:c r="A422" s="13" t="str">
        <x:v>NAAFTC-HS6-070991</x:v>
      </x:c>
      <x:c r="B422" s="13" t="str">
        <x:v>070991</x:v>
      </x:c>
      <x:c r="C422" s="13" t="str">
        <x:v>07</x:v>
      </x:c>
      <x:c r="D422" s="13" t="str">
        <x:v>TRILATERAL_1_TO_1_TO_1</x:v>
      </x:c>
      <x:c r="E422" s="13" t="str">
        <x:v>Pending</x:v>
      </x:c>
      <x:c r="F422" s="13" t="n">
        <x:v>1</x:v>
      </x:c>
      <x:c r="G422" s="13" t="n">
        <x:v>1</x:v>
      </x:c>
      <x:c r="H422" s="13" t="n">
        <x:v>1</x:v>
      </x:c>
      <x:c r="I422" s="13" t="str">
        <x:v>0709910000</x:v>
      </x:c>
      <x:c r="J422" s="13" t="str">
        <x:v>0709910100</x:v>
      </x:c>
      <x:c r="K422" s="13" t="str">
        <x:v>0709910000</x:v>
      </x:c>
      <x:c r="L422" s="13" t="str">
        <x:v>UNRESOLVED</x:v>
      </x:c>
      <x:c r="M422" s="13" t="str"/>
      <x:c r="N422" s="13" t="str">
        <x:v>NO / DEFAULT</x:v>
      </x:c>
      <x:c r="O422" s="13" t="str"/>
      <x:c r="P422" s="13" t="str">
        <x:v>NO / DEFAULT</x:v>
      </x:c>
      <x:c r="Q422" s="13" t="str"/>
      <x:c r="R422" s="13" t="str">
        <x:v>INDEPENDENT / DEFAULT</x:v>
      </x:c>
      <x:c r="S422" s="13" t="str"/>
      <x:c r="T422" s="13" t="str">
        <x:v>UNRESOLVED</x:v>
      </x:c>
      <x:c r="U422" s="13" t="str"/>
      <x:c r="V422" s="13" t="str"/>
      <x:c r="W422" s="13" t="str"/>
      <x:c r="X422" s="13" t="str">
        <x:f>IF(L422&lt;&gt;"COVERED","HELD — COVERAGE",IF(N422="YES — SENSITIVE","C ACTIONABLE","CHAPTER 5 DEFAULT"))</x:f>
        <x:v>HELD — COVERAGE</x:v>
      </x:c>
      <x:c r="Y422" s="13" t="str">
        <x:f>IF(L422&lt;&gt;"COVERED","HELD — COVERAGE",IF(P422="YES — MANAGED ACCESS","D ACTIONABLE","NO D FIELD"))</x:f>
        <x:v>HELD — COVERAGE</x:v>
      </x:c>
      <x:c r="Z422" s="13" t="str">
        <x:f>IF(L422&lt;&gt;"COVERED","HELD — COVERAGE",IF(OR(R422="PAIRED SYNCHRONIZED",R422="TRILATERAL SYNCHRONIZED"),"E ACTIONABLE","INDEPENDENT"))</x:f>
        <x:v>HELD — COVERAGE</x:v>
      </x:c>
      <x:c r="AA422" s="13" t="str">
        <x:f>IF(L422&lt;&gt;"COVERED","HELD — COVERAGE","WAIT FOR UPSTREAM COMPLETION")</x:f>
        <x:v>HELD — COVERAGE</x:v>
      </x:c>
      <x:c r="AB422" s="13" t="str">
        <x:f>IF(L422&lt;&gt;"COVERED","HELD — COVERAGE",IF(T422="UNRESOLVED","G DECISION REQUIRED",IF(T422="NOT APPLICABLE","G N/A","G ACTIONABLE")))</x:f>
        <x:v>HELD — COVERAGE</x:v>
      </x:c>
      <x:c r="AC422" s="13" t="str">
        <x:f>IF(L422="UNRESOLVED","COVERAGE FIRST",IF(OR(L422="EXCLUDED",L422="OUT OF SCOPE"),"CLOSED BY COVERAGE",IF(AND(L422="COVERED",T422&lt;&gt;"UNRESOLVED"),"PARTIALLY ADOPTED","DECISIONS REMAIN")))</x:f>
        <x:v>COVERAGE FIRST</x:v>
      </x:c>
    </x:row>
    <x:row r="423">
      <x:c r="A423" s="13" t="str">
        <x:v>NAAFTC-HS6-070992</x:v>
      </x:c>
      <x:c r="B423" s="13" t="str">
        <x:v>070992</x:v>
      </x:c>
      <x:c r="C423" s="13" t="str">
        <x:v>07</x:v>
      </x:c>
      <x:c r="D423" s="13" t="str">
        <x:v>TRILATERAL_1_TO_1_TO_1</x:v>
      </x:c>
      <x:c r="E423" s="13" t="str">
        <x:v>Pending</x:v>
      </x:c>
      <x:c r="F423" s="13" t="n">
        <x:v>1</x:v>
      </x:c>
      <x:c r="G423" s="13" t="n">
        <x:v>1</x:v>
      </x:c>
      <x:c r="H423" s="13" t="n">
        <x:v>1</x:v>
      </x:c>
      <x:c r="I423" s="13" t="str">
        <x:v>0709920000</x:v>
      </x:c>
      <x:c r="J423" s="13" t="str">
        <x:v>0709920100</x:v>
      </x:c>
      <x:c r="K423" s="13" t="str">
        <x:v>0709920000</x:v>
      </x:c>
      <x:c r="L423" s="13" t="str">
        <x:v>UNRESOLVED</x:v>
      </x:c>
      <x:c r="M423" s="13" t="str"/>
      <x:c r="N423" s="13" t="str">
        <x:v>NO / DEFAULT</x:v>
      </x:c>
      <x:c r="O423" s="13" t="str"/>
      <x:c r="P423" s="13" t="str">
        <x:v>NO / DEFAULT</x:v>
      </x:c>
      <x:c r="Q423" s="13" t="str"/>
      <x:c r="R423" s="13" t="str">
        <x:v>INDEPENDENT / DEFAULT</x:v>
      </x:c>
      <x:c r="S423" s="13" t="str"/>
      <x:c r="T423" s="13" t="str">
        <x:v>UNRESOLVED</x:v>
      </x:c>
      <x:c r="U423" s="13" t="str"/>
      <x:c r="V423" s="13" t="str"/>
      <x:c r="W423" s="13" t="str"/>
      <x:c r="X423" s="13" t="str">
        <x:f>IF(L423&lt;&gt;"COVERED","HELD — COVERAGE",IF(N423="YES — SENSITIVE","C ACTIONABLE","CHAPTER 5 DEFAULT"))</x:f>
        <x:v>HELD — COVERAGE</x:v>
      </x:c>
      <x:c r="Y423" s="13" t="str">
        <x:f>IF(L423&lt;&gt;"COVERED","HELD — COVERAGE",IF(P423="YES — MANAGED ACCESS","D ACTIONABLE","NO D FIELD"))</x:f>
        <x:v>HELD — COVERAGE</x:v>
      </x:c>
      <x:c r="Z423" s="13" t="str">
        <x:f>IF(L423&lt;&gt;"COVERED","HELD — COVERAGE",IF(OR(R423="PAIRED SYNCHRONIZED",R423="TRILATERAL SYNCHRONIZED"),"E ACTIONABLE","INDEPENDENT"))</x:f>
        <x:v>HELD — COVERAGE</x:v>
      </x:c>
      <x:c r="AA423" s="13" t="str">
        <x:f>IF(L423&lt;&gt;"COVERED","HELD — COVERAGE","WAIT FOR UPSTREAM COMPLETION")</x:f>
        <x:v>HELD — COVERAGE</x:v>
      </x:c>
      <x:c r="AB423" s="13" t="str">
        <x:f>IF(L423&lt;&gt;"COVERED","HELD — COVERAGE",IF(T423="UNRESOLVED","G DECISION REQUIRED",IF(T423="NOT APPLICABLE","G N/A","G ACTIONABLE")))</x:f>
        <x:v>HELD — COVERAGE</x:v>
      </x:c>
      <x:c r="AC423" s="13" t="str">
        <x:f>IF(L423="UNRESOLVED","COVERAGE FIRST",IF(OR(L423="EXCLUDED",L423="OUT OF SCOPE"),"CLOSED BY COVERAGE",IF(AND(L423="COVERED",T423&lt;&gt;"UNRESOLVED"),"PARTIALLY ADOPTED","DECISIONS REMAIN")))</x:f>
        <x:v>COVERAGE FIRST</x:v>
      </x:c>
    </x:row>
    <x:row r="424">
      <x:c r="A424" s="13" t="str">
        <x:v>NAAFTC-HS6-070993</x:v>
      </x:c>
      <x:c r="B424" s="13" t="str">
        <x:v>070993</x:v>
      </x:c>
      <x:c r="C424" s="13" t="str">
        <x:v>07</x:v>
      </x:c>
      <x:c r="D424" s="13" t="str">
        <x:v>TRILATERAL_SPLIT_MERGE</x:v>
      </x:c>
      <x:c r="E424" s="13" t="str">
        <x:v>Pending</x:v>
      </x:c>
      <x:c r="F424" s="13" t="n">
        <x:v>18</x:v>
      </x:c>
      <x:c r="G424" s="13" t="n">
        <x:v>2</x:v>
      </x:c>
      <x:c r="H424" s="13" t="n">
        <x:v>1</x:v>
      </x:c>
      <x:c r="I424" s="13" t="str">
        <x:v>0709931000; 0709932020; 0709932022; 0709932025; 0709932028; 0709932030; +12 more</x:v>
      </x:c>
      <x:c r="J424" s="13" t="str">
        <x:v>0709930101; 0709930199</x:v>
      </x:c>
      <x:c r="K424" s="13" t="str">
        <x:v>0709930000</x:v>
      </x:c>
      <x:c r="L424" s="13" t="str">
        <x:v>UNRESOLVED</x:v>
      </x:c>
      <x:c r="M424" s="13" t="str"/>
      <x:c r="N424" s="13" t="str">
        <x:v>NO / DEFAULT</x:v>
      </x:c>
      <x:c r="O424" s="13" t="str"/>
      <x:c r="P424" s="13" t="str">
        <x:v>NO / DEFAULT</x:v>
      </x:c>
      <x:c r="Q424" s="13" t="str"/>
      <x:c r="R424" s="13" t="str">
        <x:v>INDEPENDENT / DEFAULT</x:v>
      </x:c>
      <x:c r="S424" s="13" t="str"/>
      <x:c r="T424" s="13" t="str">
        <x:v>UNRESOLVED</x:v>
      </x:c>
      <x:c r="U424" s="13" t="str"/>
      <x:c r="V424" s="13" t="str"/>
      <x:c r="W424" s="13" t="str"/>
      <x:c r="X424" s="13" t="str">
        <x:f>IF(L424&lt;&gt;"COVERED","HELD — COVERAGE",IF(N424="YES — SENSITIVE","C ACTIONABLE","CHAPTER 5 DEFAULT"))</x:f>
        <x:v>HELD — COVERAGE</x:v>
      </x:c>
      <x:c r="Y424" s="13" t="str">
        <x:f>IF(L424&lt;&gt;"COVERED","HELD — COVERAGE",IF(P424="YES — MANAGED ACCESS","D ACTIONABLE","NO D FIELD"))</x:f>
        <x:v>HELD — COVERAGE</x:v>
      </x:c>
      <x:c r="Z424" s="13" t="str">
        <x:f>IF(L424&lt;&gt;"COVERED","HELD — COVERAGE",IF(OR(R424="PAIRED SYNCHRONIZED",R424="TRILATERAL SYNCHRONIZED"),"E ACTIONABLE","INDEPENDENT"))</x:f>
        <x:v>HELD — COVERAGE</x:v>
      </x:c>
      <x:c r="AA424" s="13" t="str">
        <x:f>IF(L424&lt;&gt;"COVERED","HELD — COVERAGE","WAIT FOR UPSTREAM COMPLETION")</x:f>
        <x:v>HELD — COVERAGE</x:v>
      </x:c>
      <x:c r="AB424" s="13" t="str">
        <x:f>IF(L424&lt;&gt;"COVERED","HELD — COVERAGE",IF(T424="UNRESOLVED","G DECISION REQUIRED",IF(T424="NOT APPLICABLE","G N/A","G ACTIONABLE")))</x:f>
        <x:v>HELD — COVERAGE</x:v>
      </x:c>
      <x:c r="AC424" s="13" t="str">
        <x:f>IF(L424="UNRESOLVED","COVERAGE FIRST",IF(OR(L424="EXCLUDED",L424="OUT OF SCOPE"),"CLOSED BY COVERAGE",IF(AND(L424="COVERED",T424&lt;&gt;"UNRESOLVED"),"PARTIALLY ADOPTED","DECISIONS REMAIN")))</x:f>
        <x:v>COVERAGE FIRST</x:v>
      </x:c>
    </x:row>
    <x:row r="425">
      <x:c r="A425" s="13" t="str">
        <x:v>NAAFTC-HS6-070999</x:v>
      </x:c>
      <x:c r="B425" s="13" t="str">
        <x:v>070999</x:v>
      </x:c>
      <x:c r="C425" s="13" t="str">
        <x:v>07</x:v>
      </x:c>
      <x:c r="D425" s="13" t="str">
        <x:v>TRILATERAL_SPLIT_MERGE</x:v>
      </x:c>
      <x:c r="E425" s="13" t="str">
        <x:v>Pending</x:v>
      </x:c>
      <x:c r="F425" s="13" t="n">
        <x:v>9</x:v>
      </x:c>
      <x:c r="G425" s="13" t="n">
        <x:v>2</x:v>
      </x:c>
      <x:c r="H425" s="13" t="n">
        <x:v>2</x:v>
      </x:c>
      <x:c r="I425" s="13" t="str">
        <x:v>0709990500; 0709991000; 0709991400; 0709993000; 0709994500; 0709999005; +3 more</x:v>
      </x:c>
      <x:c r="J425" s="13" t="str">
        <x:v>0709999901; 0709999999</x:v>
      </x:c>
      <x:c r="K425" s="13" t="str">
        <x:v>07099940; 07099990</x:v>
      </x:c>
      <x:c r="L425" s="13" t="str">
        <x:v>UNRESOLVED</x:v>
      </x:c>
      <x:c r="M425" s="13" t="str"/>
      <x:c r="N425" s="13" t="str">
        <x:v>NO / DEFAULT</x:v>
      </x:c>
      <x:c r="O425" s="13" t="str"/>
      <x:c r="P425" s="13" t="str">
        <x:v>NO / DEFAULT</x:v>
      </x:c>
      <x:c r="Q425" s="13" t="str"/>
      <x:c r="R425" s="13" t="str">
        <x:v>INDEPENDENT / DEFAULT</x:v>
      </x:c>
      <x:c r="S425" s="13" t="str"/>
      <x:c r="T425" s="13" t="str">
        <x:v>UNRESOLVED</x:v>
      </x:c>
      <x:c r="U425" s="13" t="str"/>
      <x:c r="V425" s="13" t="str"/>
      <x:c r="W425" s="13" t="str"/>
      <x:c r="X425" s="13" t="str">
        <x:f>IF(L425&lt;&gt;"COVERED","HELD — COVERAGE",IF(N425="YES — SENSITIVE","C ACTIONABLE","CHAPTER 5 DEFAULT"))</x:f>
        <x:v>HELD — COVERAGE</x:v>
      </x:c>
      <x:c r="Y425" s="13" t="str">
        <x:f>IF(L425&lt;&gt;"COVERED","HELD — COVERAGE",IF(P425="YES — MANAGED ACCESS","D ACTIONABLE","NO D FIELD"))</x:f>
        <x:v>HELD — COVERAGE</x:v>
      </x:c>
      <x:c r="Z425" s="13" t="str">
        <x:f>IF(L425&lt;&gt;"COVERED","HELD — COVERAGE",IF(OR(R425="PAIRED SYNCHRONIZED",R425="TRILATERAL SYNCHRONIZED"),"E ACTIONABLE","INDEPENDENT"))</x:f>
        <x:v>HELD — COVERAGE</x:v>
      </x:c>
      <x:c r="AA425" s="13" t="str">
        <x:f>IF(L425&lt;&gt;"COVERED","HELD — COVERAGE","WAIT FOR UPSTREAM COMPLETION")</x:f>
        <x:v>HELD — COVERAGE</x:v>
      </x:c>
      <x:c r="AB425" s="13" t="str">
        <x:f>IF(L425&lt;&gt;"COVERED","HELD — COVERAGE",IF(T425="UNRESOLVED","G DECISION REQUIRED",IF(T425="NOT APPLICABLE","G N/A","G ACTIONABLE")))</x:f>
        <x:v>HELD — COVERAGE</x:v>
      </x:c>
      <x:c r="AC425" s="13" t="str">
        <x:f>IF(L425="UNRESOLVED","COVERAGE FIRST",IF(OR(L425="EXCLUDED",L425="OUT OF SCOPE"),"CLOSED BY COVERAGE",IF(AND(L425="COVERED",T425&lt;&gt;"UNRESOLVED"),"PARTIALLY ADOPTED","DECISIONS REMAIN")))</x:f>
        <x:v>COVERAGE FIRST</x:v>
      </x:c>
    </x:row>
    <x:row r="426">
      <x:c r="A426" s="13" t="str">
        <x:v>NAAFTC-HS6-071010</x:v>
      </x:c>
      <x:c r="B426" s="13" t="str">
        <x:v>071010</x:v>
      </x:c>
      <x:c r="C426" s="13" t="str">
        <x:v>07</x:v>
      </x:c>
      <x:c r="D426" s="13" t="str">
        <x:v>TRILATERAL_1_TO_1_TO_1</x:v>
      </x:c>
      <x:c r="E426" s="13" t="str">
        <x:v>Pending</x:v>
      </x:c>
      <x:c r="F426" s="13" t="n">
        <x:v>1</x:v>
      </x:c>
      <x:c r="G426" s="13" t="n">
        <x:v>1</x:v>
      </x:c>
      <x:c r="H426" s="13" t="n">
        <x:v>1</x:v>
      </x:c>
      <x:c r="I426" s="13" t="str">
        <x:v>0710100000</x:v>
      </x:c>
      <x:c r="J426" s="13" t="str">
        <x:v>0710100100</x:v>
      </x:c>
      <x:c r="K426" s="13" t="str">
        <x:v>0710100000</x:v>
      </x:c>
      <x:c r="L426" s="13" t="str">
        <x:v>UNRESOLVED</x:v>
      </x:c>
      <x:c r="M426" s="13" t="str"/>
      <x:c r="N426" s="13" t="str">
        <x:v>NO / DEFAULT</x:v>
      </x:c>
      <x:c r="O426" s="13" t="str"/>
      <x:c r="P426" s="13" t="str">
        <x:v>NO / DEFAULT</x:v>
      </x:c>
      <x:c r="Q426" s="13" t="str"/>
      <x:c r="R426" s="13" t="str">
        <x:v>INDEPENDENT / DEFAULT</x:v>
      </x:c>
      <x:c r="S426" s="13" t="str"/>
      <x:c r="T426" s="13" t="str">
        <x:v>UNRESOLVED</x:v>
      </x:c>
      <x:c r="U426" s="13" t="str"/>
      <x:c r="V426" s="13" t="str"/>
      <x:c r="W426" s="13" t="str"/>
      <x:c r="X426" s="13" t="str">
        <x:f>IF(L426&lt;&gt;"COVERED","HELD — COVERAGE",IF(N426="YES — SENSITIVE","C ACTIONABLE","CHAPTER 5 DEFAULT"))</x:f>
        <x:v>HELD — COVERAGE</x:v>
      </x:c>
      <x:c r="Y426" s="13" t="str">
        <x:f>IF(L426&lt;&gt;"COVERED","HELD — COVERAGE",IF(P426="YES — MANAGED ACCESS","D ACTIONABLE","NO D FIELD"))</x:f>
        <x:v>HELD — COVERAGE</x:v>
      </x:c>
      <x:c r="Z426" s="13" t="str">
        <x:f>IF(L426&lt;&gt;"COVERED","HELD — COVERAGE",IF(OR(R426="PAIRED SYNCHRONIZED",R426="TRILATERAL SYNCHRONIZED"),"E ACTIONABLE","INDEPENDENT"))</x:f>
        <x:v>HELD — COVERAGE</x:v>
      </x:c>
      <x:c r="AA426" s="13" t="str">
        <x:f>IF(L426&lt;&gt;"COVERED","HELD — COVERAGE","WAIT FOR UPSTREAM COMPLETION")</x:f>
        <x:v>HELD — COVERAGE</x:v>
      </x:c>
      <x:c r="AB426" s="13" t="str">
        <x:f>IF(L426&lt;&gt;"COVERED","HELD — COVERAGE",IF(T426="UNRESOLVED","G DECISION REQUIRED",IF(T426="NOT APPLICABLE","G N/A","G ACTIONABLE")))</x:f>
        <x:v>HELD — COVERAGE</x:v>
      </x:c>
      <x:c r="AC426" s="13" t="str">
        <x:f>IF(L426="UNRESOLVED","COVERAGE FIRST",IF(OR(L426="EXCLUDED",L426="OUT OF SCOPE"),"CLOSED BY COVERAGE",IF(AND(L426="COVERED",T426&lt;&gt;"UNRESOLVED"),"PARTIALLY ADOPTED","DECISIONS REMAIN")))</x:f>
        <x:v>COVERAGE FIRST</x:v>
      </x:c>
    </x:row>
    <x:row r="427">
      <x:c r="A427" s="13" t="str">
        <x:v>NAAFTC-HS6-071021</x:v>
      </x:c>
      <x:c r="B427" s="13" t="str">
        <x:v>071021</x:v>
      </x:c>
      <x:c r="C427" s="13" t="str">
        <x:v>07</x:v>
      </x:c>
      <x:c r="D427" s="13" t="str">
        <x:v>TRILATERAL_SPLIT_MERGE</x:v>
      </x:c>
      <x:c r="E427" s="13" t="str">
        <x:v>Pending</x:v>
      </x:c>
      <x:c r="F427" s="13" t="n">
        <x:v>2</x:v>
      </x:c>
      <x:c r="G427" s="13" t="n">
        <x:v>1</x:v>
      </x:c>
      <x:c r="H427" s="13" t="n">
        <x:v>1</x:v>
      </x:c>
      <x:c r="I427" s="13" t="str">
        <x:v>0710212000; 0710214000</x:v>
      </x:c>
      <x:c r="J427" s="13" t="str">
        <x:v>0710210100</x:v>
      </x:c>
      <x:c r="K427" s="13" t="str">
        <x:v>0710210000</x:v>
      </x:c>
      <x:c r="L427" s="13" t="str">
        <x:v>UNRESOLVED</x:v>
      </x:c>
      <x:c r="M427" s="13" t="str"/>
      <x:c r="N427" s="13" t="str">
        <x:v>NO / DEFAULT</x:v>
      </x:c>
      <x:c r="O427" s="13" t="str"/>
      <x:c r="P427" s="13" t="str">
        <x:v>NO / DEFAULT</x:v>
      </x:c>
      <x:c r="Q427" s="13" t="str"/>
      <x:c r="R427" s="13" t="str">
        <x:v>INDEPENDENT / DEFAULT</x:v>
      </x:c>
      <x:c r="S427" s="13" t="str"/>
      <x:c r="T427" s="13" t="str">
        <x:v>UNRESOLVED</x:v>
      </x:c>
      <x:c r="U427" s="13" t="str"/>
      <x:c r="V427" s="13" t="str"/>
      <x:c r="W427" s="13" t="str"/>
      <x:c r="X427" s="13" t="str">
        <x:f>IF(L427&lt;&gt;"COVERED","HELD — COVERAGE",IF(N427="YES — SENSITIVE","C ACTIONABLE","CHAPTER 5 DEFAULT"))</x:f>
        <x:v>HELD — COVERAGE</x:v>
      </x:c>
      <x:c r="Y427" s="13" t="str">
        <x:f>IF(L427&lt;&gt;"COVERED","HELD — COVERAGE",IF(P427="YES — MANAGED ACCESS","D ACTIONABLE","NO D FIELD"))</x:f>
        <x:v>HELD — COVERAGE</x:v>
      </x:c>
      <x:c r="Z427" s="13" t="str">
        <x:f>IF(L427&lt;&gt;"COVERED","HELD — COVERAGE",IF(OR(R427="PAIRED SYNCHRONIZED",R427="TRILATERAL SYNCHRONIZED"),"E ACTIONABLE","INDEPENDENT"))</x:f>
        <x:v>HELD — COVERAGE</x:v>
      </x:c>
      <x:c r="AA427" s="13" t="str">
        <x:f>IF(L427&lt;&gt;"COVERED","HELD — COVERAGE","WAIT FOR UPSTREAM COMPLETION")</x:f>
        <x:v>HELD — COVERAGE</x:v>
      </x:c>
      <x:c r="AB427" s="13" t="str">
        <x:f>IF(L427&lt;&gt;"COVERED","HELD — COVERAGE",IF(T427="UNRESOLVED","G DECISION REQUIRED",IF(T427="NOT APPLICABLE","G N/A","G ACTIONABLE")))</x:f>
        <x:v>HELD — COVERAGE</x:v>
      </x:c>
      <x:c r="AC427" s="13" t="str">
        <x:f>IF(L427="UNRESOLVED","COVERAGE FIRST",IF(OR(L427="EXCLUDED",L427="OUT OF SCOPE"),"CLOSED BY COVERAGE",IF(AND(L427="COVERED",T427&lt;&gt;"UNRESOLVED"),"PARTIALLY ADOPTED","DECISIONS REMAIN")))</x:f>
        <x:v>COVERAGE FIRST</x:v>
      </x:c>
    </x:row>
    <x:row r="428">
      <x:c r="A428" s="13" t="str">
        <x:v>NAAFTC-HS6-071022</x:v>
      </x:c>
      <x:c r="B428" s="13" t="str">
        <x:v>071022</x:v>
      </x:c>
      <x:c r="C428" s="13" t="str">
        <x:v>07</x:v>
      </x:c>
      <x:c r="D428" s="13" t="str">
        <x:v>TRILATERAL_SPLIT_MERGE</x:v>
      </x:c>
      <x:c r="E428" s="13" t="str">
        <x:v>Pending</x:v>
      </x:c>
      <x:c r="F428" s="13" t="n">
        <x:v>7</x:v>
      </x:c>
      <x:c r="G428" s="13" t="n">
        <x:v>1</x:v>
      </x:c>
      <x:c r="H428" s="13" t="n">
        <x:v>1</x:v>
      </x:c>
      <x:c r="I428" s="13" t="str">
        <x:v>0710221000; 0710221500; 0710222000; 0710222500; 0710223700; 0710224010; +1 more</x:v>
      </x:c>
      <x:c r="J428" s="13" t="str">
        <x:v>0710220100</x:v>
      </x:c>
      <x:c r="K428" s="13" t="str">
        <x:v>07102200</x:v>
      </x:c>
      <x:c r="L428" s="13" t="str">
        <x:v>UNRESOLVED</x:v>
      </x:c>
      <x:c r="M428" s="13" t="str"/>
      <x:c r="N428" s="13" t="str">
        <x:v>NO / DEFAULT</x:v>
      </x:c>
      <x:c r="O428" s="13" t="str"/>
      <x:c r="P428" s="13" t="str">
        <x:v>NO / DEFAULT</x:v>
      </x:c>
      <x:c r="Q428" s="13" t="str"/>
      <x:c r="R428" s="13" t="str">
        <x:v>INDEPENDENT / DEFAULT</x:v>
      </x:c>
      <x:c r="S428" s="13" t="str"/>
      <x:c r="T428" s="13" t="str">
        <x:v>UNRESOLVED</x:v>
      </x:c>
      <x:c r="U428" s="13" t="str"/>
      <x:c r="V428" s="13" t="str"/>
      <x:c r="W428" s="13" t="str"/>
      <x:c r="X428" s="13" t="str">
        <x:f>IF(L428&lt;&gt;"COVERED","HELD — COVERAGE",IF(N428="YES — SENSITIVE","C ACTIONABLE","CHAPTER 5 DEFAULT"))</x:f>
        <x:v>HELD — COVERAGE</x:v>
      </x:c>
      <x:c r="Y428" s="13" t="str">
        <x:f>IF(L428&lt;&gt;"COVERED","HELD — COVERAGE",IF(P428="YES — MANAGED ACCESS","D ACTIONABLE","NO D FIELD"))</x:f>
        <x:v>HELD — COVERAGE</x:v>
      </x:c>
      <x:c r="Z428" s="13" t="str">
        <x:f>IF(L428&lt;&gt;"COVERED","HELD — COVERAGE",IF(OR(R428="PAIRED SYNCHRONIZED",R428="TRILATERAL SYNCHRONIZED"),"E ACTIONABLE","INDEPENDENT"))</x:f>
        <x:v>HELD — COVERAGE</x:v>
      </x:c>
      <x:c r="AA428" s="13" t="str">
        <x:f>IF(L428&lt;&gt;"COVERED","HELD — COVERAGE","WAIT FOR UPSTREAM COMPLETION")</x:f>
        <x:v>HELD — COVERAGE</x:v>
      </x:c>
      <x:c r="AB428" s="13" t="str">
        <x:f>IF(L428&lt;&gt;"COVERED","HELD — COVERAGE",IF(T428="UNRESOLVED","G DECISION REQUIRED",IF(T428="NOT APPLICABLE","G N/A","G ACTIONABLE")))</x:f>
        <x:v>HELD — COVERAGE</x:v>
      </x:c>
      <x:c r="AC428" s="13" t="str">
        <x:f>IF(L428="UNRESOLVED","COVERAGE FIRST",IF(OR(L428="EXCLUDED",L428="OUT OF SCOPE"),"CLOSED BY COVERAGE",IF(AND(L428="COVERED",T428&lt;&gt;"UNRESOLVED"),"PARTIALLY ADOPTED","DECISIONS REMAIN")))</x:f>
        <x:v>COVERAGE FIRST</x:v>
      </x:c>
    </x:row>
    <x:row r="429">
      <x:c r="A429" s="13" t="str">
        <x:v>NAAFTC-HS6-071029</x:v>
      </x:c>
      <x:c r="B429" s="13" t="str">
        <x:v>071029</x:v>
      </x:c>
      <x:c r="C429" s="13" t="str">
        <x:v>07</x:v>
      </x:c>
      <x:c r="D429" s="13" t="str">
        <x:v>TRILATERAL_SPLIT_MERGE</x:v>
      </x:c>
      <x:c r="E429" s="13" t="str">
        <x:v>Pending</x:v>
      </x:c>
      <x:c r="F429" s="13" t="n">
        <x:v>5</x:v>
      </x:c>
      <x:c r="G429" s="13" t="n">
        <x:v>1</x:v>
      </x:c>
      <x:c r="H429" s="13" t="n">
        <x:v>1</x:v>
      </x:c>
      <x:c r="I429" s="13" t="str">
        <x:v>0710290500; 0710291500; 0710292500; 0710293000; 0710294000</x:v>
      </x:c>
      <x:c r="J429" s="13" t="str">
        <x:v>0710299900</x:v>
      </x:c>
      <x:c r="K429" s="13" t="str">
        <x:v>0710290000</x:v>
      </x:c>
      <x:c r="L429" s="13" t="str">
        <x:v>UNRESOLVED</x:v>
      </x:c>
      <x:c r="M429" s="13" t="str"/>
      <x:c r="N429" s="13" t="str">
        <x:v>NO / DEFAULT</x:v>
      </x:c>
      <x:c r="O429" s="13" t="str"/>
      <x:c r="P429" s="13" t="str">
        <x:v>NO / DEFAULT</x:v>
      </x:c>
      <x:c r="Q429" s="13" t="str"/>
      <x:c r="R429" s="13" t="str">
        <x:v>INDEPENDENT / DEFAULT</x:v>
      </x:c>
      <x:c r="S429" s="13" t="str"/>
      <x:c r="T429" s="13" t="str">
        <x:v>UNRESOLVED</x:v>
      </x:c>
      <x:c r="U429" s="13" t="str"/>
      <x:c r="V429" s="13" t="str"/>
      <x:c r="W429" s="13" t="str"/>
      <x:c r="X429" s="13" t="str">
        <x:f>IF(L429&lt;&gt;"COVERED","HELD — COVERAGE",IF(N429="YES — SENSITIVE","C ACTIONABLE","CHAPTER 5 DEFAULT"))</x:f>
        <x:v>HELD — COVERAGE</x:v>
      </x:c>
      <x:c r="Y429" s="13" t="str">
        <x:f>IF(L429&lt;&gt;"COVERED","HELD — COVERAGE",IF(P429="YES — MANAGED ACCESS","D ACTIONABLE","NO D FIELD"))</x:f>
        <x:v>HELD — COVERAGE</x:v>
      </x:c>
      <x:c r="Z429" s="13" t="str">
        <x:f>IF(L429&lt;&gt;"COVERED","HELD — COVERAGE",IF(OR(R429="PAIRED SYNCHRONIZED",R429="TRILATERAL SYNCHRONIZED"),"E ACTIONABLE","INDEPENDENT"))</x:f>
        <x:v>HELD — COVERAGE</x:v>
      </x:c>
      <x:c r="AA429" s="13" t="str">
        <x:f>IF(L429&lt;&gt;"COVERED","HELD — COVERAGE","WAIT FOR UPSTREAM COMPLETION")</x:f>
        <x:v>HELD — COVERAGE</x:v>
      </x:c>
      <x:c r="AB429" s="13" t="str">
        <x:f>IF(L429&lt;&gt;"COVERED","HELD — COVERAGE",IF(T429="UNRESOLVED","G DECISION REQUIRED",IF(T429="NOT APPLICABLE","G N/A","G ACTIONABLE")))</x:f>
        <x:v>HELD — COVERAGE</x:v>
      </x:c>
      <x:c r="AC429" s="13" t="str">
        <x:f>IF(L429="UNRESOLVED","COVERAGE FIRST",IF(OR(L429="EXCLUDED",L429="OUT OF SCOPE"),"CLOSED BY COVERAGE",IF(AND(L429="COVERED",T429&lt;&gt;"UNRESOLVED"),"PARTIALLY ADOPTED","DECISIONS REMAIN")))</x:f>
        <x:v>COVERAGE FIRST</x:v>
      </x:c>
    </x:row>
    <x:row r="430">
      <x:c r="A430" s="13" t="str">
        <x:v>NAAFTC-HS6-071030</x:v>
      </x:c>
      <x:c r="B430" s="13" t="str">
        <x:v>071030</x:v>
      </x:c>
      <x:c r="C430" s="13" t="str">
        <x:v>07</x:v>
      </x:c>
      <x:c r="D430" s="13" t="str">
        <x:v>TRILATERAL_1_TO_1_TO_1</x:v>
      </x:c>
      <x:c r="E430" s="13" t="str">
        <x:v>Pending</x:v>
      </x:c>
      <x:c r="F430" s="13" t="n">
        <x:v>1</x:v>
      </x:c>
      <x:c r="G430" s="13" t="n">
        <x:v>1</x:v>
      </x:c>
      <x:c r="H430" s="13" t="n">
        <x:v>1</x:v>
      </x:c>
      <x:c r="I430" s="13" t="str">
        <x:v>0710300000</x:v>
      </x:c>
      <x:c r="J430" s="13" t="str">
        <x:v>0710300100</x:v>
      </x:c>
      <x:c r="K430" s="13" t="str">
        <x:v>0710300000</x:v>
      </x:c>
      <x:c r="L430" s="13" t="str">
        <x:v>UNRESOLVED</x:v>
      </x:c>
      <x:c r="M430" s="13" t="str"/>
      <x:c r="N430" s="13" t="str">
        <x:v>NO / DEFAULT</x:v>
      </x:c>
      <x:c r="O430" s="13" t="str"/>
      <x:c r="P430" s="13" t="str">
        <x:v>NO / DEFAULT</x:v>
      </x:c>
      <x:c r="Q430" s="13" t="str"/>
      <x:c r="R430" s="13" t="str">
        <x:v>INDEPENDENT / DEFAULT</x:v>
      </x:c>
      <x:c r="S430" s="13" t="str"/>
      <x:c r="T430" s="13" t="str">
        <x:v>UNRESOLVED</x:v>
      </x:c>
      <x:c r="U430" s="13" t="str"/>
      <x:c r="V430" s="13" t="str"/>
      <x:c r="W430" s="13" t="str"/>
      <x:c r="X430" s="13" t="str">
        <x:f>IF(L430&lt;&gt;"COVERED","HELD — COVERAGE",IF(N430="YES — SENSITIVE","C ACTIONABLE","CHAPTER 5 DEFAULT"))</x:f>
        <x:v>HELD — COVERAGE</x:v>
      </x:c>
      <x:c r="Y430" s="13" t="str">
        <x:f>IF(L430&lt;&gt;"COVERED","HELD — COVERAGE",IF(P430="YES — MANAGED ACCESS","D ACTIONABLE","NO D FIELD"))</x:f>
        <x:v>HELD — COVERAGE</x:v>
      </x:c>
      <x:c r="Z430" s="13" t="str">
        <x:f>IF(L430&lt;&gt;"COVERED","HELD — COVERAGE",IF(OR(R430="PAIRED SYNCHRONIZED",R430="TRILATERAL SYNCHRONIZED"),"E ACTIONABLE","INDEPENDENT"))</x:f>
        <x:v>HELD — COVERAGE</x:v>
      </x:c>
      <x:c r="AA430" s="13" t="str">
        <x:f>IF(L430&lt;&gt;"COVERED","HELD — COVERAGE","WAIT FOR UPSTREAM COMPLETION")</x:f>
        <x:v>HELD — COVERAGE</x:v>
      </x:c>
      <x:c r="AB430" s="13" t="str">
        <x:f>IF(L430&lt;&gt;"COVERED","HELD — COVERAGE",IF(T430="UNRESOLVED","G DECISION REQUIRED",IF(T430="NOT APPLICABLE","G N/A","G ACTIONABLE")))</x:f>
        <x:v>HELD — COVERAGE</x:v>
      </x:c>
      <x:c r="AC430" s="13" t="str">
        <x:f>IF(L430="UNRESOLVED","COVERAGE FIRST",IF(OR(L430="EXCLUDED",L430="OUT OF SCOPE"),"CLOSED BY COVERAGE",IF(AND(L430="COVERED",T430&lt;&gt;"UNRESOLVED"),"PARTIALLY ADOPTED","DECISIONS REMAIN")))</x:f>
        <x:v>COVERAGE FIRST</x:v>
      </x:c>
    </x:row>
    <x:row r="431">
      <x:c r="A431" s="13" t="str">
        <x:v>NAAFTC-HS6-071040</x:v>
      </x:c>
      <x:c r="B431" s="13" t="str">
        <x:v>071040</x:v>
      </x:c>
      <x:c r="C431" s="13" t="str">
        <x:v>07</x:v>
      </x:c>
      <x:c r="D431" s="13" t="str">
        <x:v>TRILATERAL_1_TO_1_TO_1</x:v>
      </x:c>
      <x:c r="E431" s="13" t="str">
        <x:v>Pending</x:v>
      </x:c>
      <x:c r="F431" s="13" t="n">
        <x:v>1</x:v>
      </x:c>
      <x:c r="G431" s="13" t="n">
        <x:v>1</x:v>
      </x:c>
      <x:c r="H431" s="13" t="n">
        <x:v>1</x:v>
      </x:c>
      <x:c r="I431" s="13" t="str">
        <x:v>0710400000</x:v>
      </x:c>
      <x:c r="J431" s="13" t="str">
        <x:v>0710400100</x:v>
      </x:c>
      <x:c r="K431" s="13" t="str">
        <x:v>0710400000</x:v>
      </x:c>
      <x:c r="L431" s="13" t="str">
        <x:v>UNRESOLVED</x:v>
      </x:c>
      <x:c r="M431" s="13" t="str"/>
      <x:c r="N431" s="13" t="str">
        <x:v>NO / DEFAULT</x:v>
      </x:c>
      <x:c r="O431" s="13" t="str"/>
      <x:c r="P431" s="13" t="str">
        <x:v>NO / DEFAULT</x:v>
      </x:c>
      <x:c r="Q431" s="13" t="str"/>
      <x:c r="R431" s="13" t="str">
        <x:v>INDEPENDENT / DEFAULT</x:v>
      </x:c>
      <x:c r="S431" s="13" t="str"/>
      <x:c r="T431" s="13" t="str">
        <x:v>UNRESOLVED</x:v>
      </x:c>
      <x:c r="U431" s="13" t="str"/>
      <x:c r="V431" s="13" t="str"/>
      <x:c r="W431" s="13" t="str"/>
      <x:c r="X431" s="13" t="str">
        <x:f>IF(L431&lt;&gt;"COVERED","HELD — COVERAGE",IF(N431="YES — SENSITIVE","C ACTIONABLE","CHAPTER 5 DEFAULT"))</x:f>
        <x:v>HELD — COVERAGE</x:v>
      </x:c>
      <x:c r="Y431" s="13" t="str">
        <x:f>IF(L431&lt;&gt;"COVERED","HELD — COVERAGE",IF(P431="YES — MANAGED ACCESS","D ACTIONABLE","NO D FIELD"))</x:f>
        <x:v>HELD — COVERAGE</x:v>
      </x:c>
      <x:c r="Z431" s="13" t="str">
        <x:f>IF(L431&lt;&gt;"COVERED","HELD — COVERAGE",IF(OR(R431="PAIRED SYNCHRONIZED",R431="TRILATERAL SYNCHRONIZED"),"E ACTIONABLE","INDEPENDENT"))</x:f>
        <x:v>HELD — COVERAGE</x:v>
      </x:c>
      <x:c r="AA431" s="13" t="str">
        <x:f>IF(L431&lt;&gt;"COVERED","HELD — COVERAGE","WAIT FOR UPSTREAM COMPLETION")</x:f>
        <x:v>HELD — COVERAGE</x:v>
      </x:c>
      <x:c r="AB431" s="13" t="str">
        <x:f>IF(L431&lt;&gt;"COVERED","HELD — COVERAGE",IF(T431="UNRESOLVED","G DECISION REQUIRED",IF(T431="NOT APPLICABLE","G N/A","G ACTIONABLE")))</x:f>
        <x:v>HELD — COVERAGE</x:v>
      </x:c>
      <x:c r="AC431" s="13" t="str">
        <x:f>IF(L431="UNRESOLVED","COVERAGE FIRST",IF(OR(L431="EXCLUDED",L431="OUT OF SCOPE"),"CLOSED BY COVERAGE",IF(AND(L431="COVERED",T431&lt;&gt;"UNRESOLVED"),"PARTIALLY ADOPTED","DECISIONS REMAIN")))</x:f>
        <x:v>COVERAGE FIRST</x:v>
      </x:c>
    </x:row>
    <x:row r="432">
      <x:c r="A432" s="13" t="str">
        <x:v>NAAFTC-HS6-071080</x:v>
      </x:c>
      <x:c r="B432" s="13" t="str">
        <x:v>071080</x:v>
      </x:c>
      <x:c r="C432" s="13" t="str">
        <x:v>07</x:v>
      </x:c>
      <x:c r="D432" s="13" t="str">
        <x:v>TRILATERAL_SPLIT_MERGE</x:v>
      </x:c>
      <x:c r="E432" s="13" t="str">
        <x:v>Pending</x:v>
      </x:c>
      <x:c r="F432" s="13" t="n">
        <x:v>19</x:v>
      </x:c>
      <x:c r="G432" s="13" t="n">
        <x:v>4</x:v>
      </x:c>
      <x:c r="H432" s="13" t="n">
        <x:v>1</x:v>
      </x:c>
      <x:c r="I432" s="13" t="str">
        <x:v>0710801500; 0710802000; 0710804000; 0710804500; 0710805000; 0710806000; +13 more</x:v>
      </x:c>
      <x:c r="J432" s="13" t="str">
        <x:v>0710800100; 0710809901; 0710809902; 0710809999</x:v>
      </x:c>
      <x:c r="K432" s="13" t="str">
        <x:v>07108000</x:v>
      </x:c>
      <x:c r="L432" s="13" t="str">
        <x:v>UNRESOLVED</x:v>
      </x:c>
      <x:c r="M432" s="13" t="str"/>
      <x:c r="N432" s="13" t="str">
        <x:v>NO / DEFAULT</x:v>
      </x:c>
      <x:c r="O432" s="13" t="str"/>
      <x:c r="P432" s="13" t="str">
        <x:v>NO / DEFAULT</x:v>
      </x:c>
      <x:c r="Q432" s="13" t="str"/>
      <x:c r="R432" s="13" t="str">
        <x:v>INDEPENDENT / DEFAULT</x:v>
      </x:c>
      <x:c r="S432" s="13" t="str"/>
      <x:c r="T432" s="13" t="str">
        <x:v>UNRESOLVED</x:v>
      </x:c>
      <x:c r="U432" s="13" t="str"/>
      <x:c r="V432" s="13" t="str"/>
      <x:c r="W432" s="13" t="str"/>
      <x:c r="X432" s="13" t="str">
        <x:f>IF(L432&lt;&gt;"COVERED","HELD — COVERAGE",IF(N432="YES — SENSITIVE","C ACTIONABLE","CHAPTER 5 DEFAULT"))</x:f>
        <x:v>HELD — COVERAGE</x:v>
      </x:c>
      <x:c r="Y432" s="13" t="str">
        <x:f>IF(L432&lt;&gt;"COVERED","HELD — COVERAGE",IF(P432="YES — MANAGED ACCESS","D ACTIONABLE","NO D FIELD"))</x:f>
        <x:v>HELD — COVERAGE</x:v>
      </x:c>
      <x:c r="Z432" s="13" t="str">
        <x:f>IF(L432&lt;&gt;"COVERED","HELD — COVERAGE",IF(OR(R432="PAIRED SYNCHRONIZED",R432="TRILATERAL SYNCHRONIZED"),"E ACTIONABLE","INDEPENDENT"))</x:f>
        <x:v>HELD — COVERAGE</x:v>
      </x:c>
      <x:c r="AA432" s="13" t="str">
        <x:f>IF(L432&lt;&gt;"COVERED","HELD — COVERAGE","WAIT FOR UPSTREAM COMPLETION")</x:f>
        <x:v>HELD — COVERAGE</x:v>
      </x:c>
      <x:c r="AB432" s="13" t="str">
        <x:f>IF(L432&lt;&gt;"COVERED","HELD — COVERAGE",IF(T432="UNRESOLVED","G DECISION REQUIRED",IF(T432="NOT APPLICABLE","G N/A","G ACTIONABLE")))</x:f>
        <x:v>HELD — COVERAGE</x:v>
      </x:c>
      <x:c r="AC432" s="13" t="str">
        <x:f>IF(L432="UNRESOLVED","COVERAGE FIRST",IF(OR(L432="EXCLUDED",L432="OUT OF SCOPE"),"CLOSED BY COVERAGE",IF(AND(L432="COVERED",T432&lt;&gt;"UNRESOLVED"),"PARTIALLY ADOPTED","DECISIONS REMAIN")))</x:f>
        <x:v>COVERAGE FIRST</x:v>
      </x:c>
    </x:row>
    <x:row r="433">
      <x:c r="A433" s="13" t="str">
        <x:v>NAAFTC-HS6-071090</x:v>
      </x:c>
      <x:c r="B433" s="13" t="str">
        <x:v>071090</x:v>
      </x:c>
      <x:c r="C433" s="13" t="str">
        <x:v>07</x:v>
      </x:c>
      <x:c r="D433" s="13" t="str">
        <x:v>TRILATERAL_SPLIT_MERGE</x:v>
      </x:c>
      <x:c r="E433" s="13" t="str">
        <x:v>Pending</x:v>
      </x:c>
      <x:c r="F433" s="13" t="n">
        <x:v>3</x:v>
      </x:c>
      <x:c r="G433" s="13" t="n">
        <x:v>1</x:v>
      </x:c>
      <x:c r="H433" s="13" t="n">
        <x:v>1</x:v>
      </x:c>
      <x:c r="I433" s="13" t="str">
        <x:v>0710901100; 0710909120; 0710909140</x:v>
      </x:c>
      <x:c r="J433" s="13" t="str">
        <x:v>0710900200</x:v>
      </x:c>
      <x:c r="K433" s="13" t="str">
        <x:v>0710900000</x:v>
      </x:c>
      <x:c r="L433" s="13" t="str">
        <x:v>UNRESOLVED</x:v>
      </x:c>
      <x:c r="M433" s="13" t="str"/>
      <x:c r="N433" s="13" t="str">
        <x:v>NO / DEFAULT</x:v>
      </x:c>
      <x:c r="O433" s="13" t="str"/>
      <x:c r="P433" s="13" t="str">
        <x:v>NO / DEFAULT</x:v>
      </x:c>
      <x:c r="Q433" s="13" t="str"/>
      <x:c r="R433" s="13" t="str">
        <x:v>INDEPENDENT / DEFAULT</x:v>
      </x:c>
      <x:c r="S433" s="13" t="str"/>
      <x:c r="T433" s="13" t="str">
        <x:v>UNRESOLVED</x:v>
      </x:c>
      <x:c r="U433" s="13" t="str"/>
      <x:c r="V433" s="13" t="str"/>
      <x:c r="W433" s="13" t="str"/>
      <x:c r="X433" s="13" t="str">
        <x:f>IF(L433&lt;&gt;"COVERED","HELD — COVERAGE",IF(N433="YES — SENSITIVE","C ACTIONABLE","CHAPTER 5 DEFAULT"))</x:f>
        <x:v>HELD — COVERAGE</x:v>
      </x:c>
      <x:c r="Y433" s="13" t="str">
        <x:f>IF(L433&lt;&gt;"COVERED","HELD — COVERAGE",IF(P433="YES — MANAGED ACCESS","D ACTIONABLE","NO D FIELD"))</x:f>
        <x:v>HELD — COVERAGE</x:v>
      </x:c>
      <x:c r="Z433" s="13" t="str">
        <x:f>IF(L433&lt;&gt;"COVERED","HELD — COVERAGE",IF(OR(R433="PAIRED SYNCHRONIZED",R433="TRILATERAL SYNCHRONIZED"),"E ACTIONABLE","INDEPENDENT"))</x:f>
        <x:v>HELD — COVERAGE</x:v>
      </x:c>
      <x:c r="AA433" s="13" t="str">
        <x:f>IF(L433&lt;&gt;"COVERED","HELD — COVERAGE","WAIT FOR UPSTREAM COMPLETION")</x:f>
        <x:v>HELD — COVERAGE</x:v>
      </x:c>
      <x:c r="AB433" s="13" t="str">
        <x:f>IF(L433&lt;&gt;"COVERED","HELD — COVERAGE",IF(T433="UNRESOLVED","G DECISION REQUIRED",IF(T433="NOT APPLICABLE","G N/A","G ACTIONABLE")))</x:f>
        <x:v>HELD — COVERAGE</x:v>
      </x:c>
      <x:c r="AC433" s="13" t="str">
        <x:f>IF(L433="UNRESOLVED","COVERAGE FIRST",IF(OR(L433="EXCLUDED",L433="OUT OF SCOPE"),"CLOSED BY COVERAGE",IF(AND(L433="COVERED",T433&lt;&gt;"UNRESOLVED"),"PARTIALLY ADOPTED","DECISIONS REMAIN")))</x:f>
        <x:v>COVERAGE FIRST</x:v>
      </x:c>
    </x:row>
    <x:row r="434">
      <x:c r="A434" s="13" t="str">
        <x:v>NAAFTC-HS6-071120</x:v>
      </x:c>
      <x:c r="B434" s="13" t="str">
        <x:v>071120</x:v>
      </x:c>
      <x:c r="C434" s="13" t="str">
        <x:v>07</x:v>
      </x:c>
      <x:c r="D434" s="13" t="str">
        <x:v>TRILATERAL_SPLIT_MERGE</x:v>
      </x:c>
      <x:c r="E434" s="13" t="str">
        <x:v>Pending</x:v>
      </x:c>
      <x:c r="F434" s="13" t="n">
        <x:v>4</x:v>
      </x:c>
      <x:c r="G434" s="13" t="n">
        <x:v>1</x:v>
      </x:c>
      <x:c r="H434" s="13" t="n">
        <x:v>1</x:v>
      </x:c>
      <x:c r="I434" s="13" t="str">
        <x:v>0711201800; 0711202800; 0711203800; 0711204000</x:v>
      </x:c>
      <x:c r="J434" s="13" t="str">
        <x:v>0711200100</x:v>
      </x:c>
      <x:c r="K434" s="13" t="str">
        <x:v>0711200000</x:v>
      </x:c>
      <x:c r="L434" s="13" t="str">
        <x:v>UNRESOLVED</x:v>
      </x:c>
      <x:c r="M434" s="13" t="str"/>
      <x:c r="N434" s="13" t="str">
        <x:v>NO / DEFAULT</x:v>
      </x:c>
      <x:c r="O434" s="13" t="str"/>
      <x:c r="P434" s="13" t="str">
        <x:v>NO / DEFAULT</x:v>
      </x:c>
      <x:c r="Q434" s="13" t="str"/>
      <x:c r="R434" s="13" t="str">
        <x:v>INDEPENDENT / DEFAULT</x:v>
      </x:c>
      <x:c r="S434" s="13" t="str"/>
      <x:c r="T434" s="13" t="str">
        <x:v>UNRESOLVED</x:v>
      </x:c>
      <x:c r="U434" s="13" t="str"/>
      <x:c r="V434" s="13" t="str"/>
      <x:c r="W434" s="13" t="str"/>
      <x:c r="X434" s="13" t="str">
        <x:f>IF(L434&lt;&gt;"COVERED","HELD — COVERAGE",IF(N434="YES — SENSITIVE","C ACTIONABLE","CHAPTER 5 DEFAULT"))</x:f>
        <x:v>HELD — COVERAGE</x:v>
      </x:c>
      <x:c r="Y434" s="13" t="str">
        <x:f>IF(L434&lt;&gt;"COVERED","HELD — COVERAGE",IF(P434="YES — MANAGED ACCESS","D ACTIONABLE","NO D FIELD"))</x:f>
        <x:v>HELD — COVERAGE</x:v>
      </x:c>
      <x:c r="Z434" s="13" t="str">
        <x:f>IF(L434&lt;&gt;"COVERED","HELD — COVERAGE",IF(OR(R434="PAIRED SYNCHRONIZED",R434="TRILATERAL SYNCHRONIZED"),"E ACTIONABLE","INDEPENDENT"))</x:f>
        <x:v>HELD — COVERAGE</x:v>
      </x:c>
      <x:c r="AA434" s="13" t="str">
        <x:f>IF(L434&lt;&gt;"COVERED","HELD — COVERAGE","WAIT FOR UPSTREAM COMPLETION")</x:f>
        <x:v>HELD — COVERAGE</x:v>
      </x:c>
      <x:c r="AB434" s="13" t="str">
        <x:f>IF(L434&lt;&gt;"COVERED","HELD — COVERAGE",IF(T434="UNRESOLVED","G DECISION REQUIRED",IF(T434="NOT APPLICABLE","G N/A","G ACTIONABLE")))</x:f>
        <x:v>HELD — COVERAGE</x:v>
      </x:c>
      <x:c r="AC434" s="13" t="str">
        <x:f>IF(L434="UNRESOLVED","COVERAGE FIRST",IF(OR(L434="EXCLUDED",L434="OUT OF SCOPE"),"CLOSED BY COVERAGE",IF(AND(L434="COVERED",T434&lt;&gt;"UNRESOLVED"),"PARTIALLY ADOPTED","DECISIONS REMAIN")))</x:f>
        <x:v>COVERAGE FIRST</x:v>
      </x:c>
    </x:row>
    <x:row r="435">
      <x:c r="A435" s="13" t="str">
        <x:v>NAAFTC-HS6-071140</x:v>
      </x:c>
      <x:c r="B435" s="13" t="str">
        <x:v>071140</x:v>
      </x:c>
      <x:c r="C435" s="13" t="str">
        <x:v>07</x:v>
      </x:c>
      <x:c r="D435" s="13" t="str">
        <x:v>TRILATERAL_SPLIT_MERGE</x:v>
      </x:c>
      <x:c r="E435" s="13" t="str">
        <x:v>Pending</x:v>
      </x:c>
      <x:c r="F435" s="13" t="n">
        <x:v>1</x:v>
      </x:c>
      <x:c r="G435" s="13" t="n">
        <x:v>1</x:v>
      </x:c>
      <x:c r="H435" s="13" t="n">
        <x:v>2</x:v>
      </x:c>
      <x:c r="I435" s="13" t="str">
        <x:v>0711400000</x:v>
      </x:c>
      <x:c r="J435" s="13" t="str">
        <x:v>0711400100</x:v>
      </x:c>
      <x:c r="K435" s="13" t="str">
        <x:v>0711401000; 0711409000</x:v>
      </x:c>
      <x:c r="L435" s="13" t="str">
        <x:v>UNRESOLVED</x:v>
      </x:c>
      <x:c r="M435" s="13" t="str"/>
      <x:c r="N435" s="13" t="str">
        <x:v>NO / DEFAULT</x:v>
      </x:c>
      <x:c r="O435" s="13" t="str"/>
      <x:c r="P435" s="13" t="str">
        <x:v>NO / DEFAULT</x:v>
      </x:c>
      <x:c r="Q435" s="13" t="str"/>
      <x:c r="R435" s="13" t="str">
        <x:v>INDEPENDENT / DEFAULT</x:v>
      </x:c>
      <x:c r="S435" s="13" t="str"/>
      <x:c r="T435" s="13" t="str">
        <x:v>UNRESOLVED</x:v>
      </x:c>
      <x:c r="U435" s="13" t="str"/>
      <x:c r="V435" s="13" t="str"/>
      <x:c r="W435" s="13" t="str"/>
      <x:c r="X435" s="13" t="str">
        <x:f>IF(L435&lt;&gt;"COVERED","HELD — COVERAGE",IF(N435="YES — SENSITIVE","C ACTIONABLE","CHAPTER 5 DEFAULT"))</x:f>
        <x:v>HELD — COVERAGE</x:v>
      </x:c>
      <x:c r="Y435" s="13" t="str">
        <x:f>IF(L435&lt;&gt;"COVERED","HELD — COVERAGE",IF(P435="YES — MANAGED ACCESS","D ACTIONABLE","NO D FIELD"))</x:f>
        <x:v>HELD — COVERAGE</x:v>
      </x:c>
      <x:c r="Z435" s="13" t="str">
        <x:f>IF(L435&lt;&gt;"COVERED","HELD — COVERAGE",IF(OR(R435="PAIRED SYNCHRONIZED",R435="TRILATERAL SYNCHRONIZED"),"E ACTIONABLE","INDEPENDENT"))</x:f>
        <x:v>HELD — COVERAGE</x:v>
      </x:c>
      <x:c r="AA435" s="13" t="str">
        <x:f>IF(L435&lt;&gt;"COVERED","HELD — COVERAGE","WAIT FOR UPSTREAM COMPLETION")</x:f>
        <x:v>HELD — COVERAGE</x:v>
      </x:c>
      <x:c r="AB435" s="13" t="str">
        <x:f>IF(L435&lt;&gt;"COVERED","HELD — COVERAGE",IF(T435="UNRESOLVED","G DECISION REQUIRED",IF(T435="NOT APPLICABLE","G N/A","G ACTIONABLE")))</x:f>
        <x:v>HELD — COVERAGE</x:v>
      </x:c>
      <x:c r="AC435" s="13" t="str">
        <x:f>IF(L435="UNRESOLVED","COVERAGE FIRST",IF(OR(L435="EXCLUDED",L435="OUT OF SCOPE"),"CLOSED BY COVERAGE",IF(AND(L435="COVERED",T435&lt;&gt;"UNRESOLVED"),"PARTIALLY ADOPTED","DECISIONS REMAIN")))</x:f>
        <x:v>COVERAGE FIRST</x:v>
      </x:c>
    </x:row>
    <x:row r="436">
      <x:c r="A436" s="13" t="str">
        <x:v>NAAFTC-HS6-071151</x:v>
      </x:c>
      <x:c r="B436" s="13" t="str">
        <x:v>071151</x:v>
      </x:c>
      <x:c r="C436" s="13" t="str">
        <x:v>07</x:v>
      </x:c>
      <x:c r="D436" s="13" t="str">
        <x:v>TRILATERAL_1_TO_1_TO_1</x:v>
      </x:c>
      <x:c r="E436" s="13" t="str">
        <x:v>Pending</x:v>
      </x:c>
      <x:c r="F436" s="13" t="n">
        <x:v>1</x:v>
      </x:c>
      <x:c r="G436" s="13" t="n">
        <x:v>1</x:v>
      </x:c>
      <x:c r="H436" s="13" t="n">
        <x:v>1</x:v>
      </x:c>
      <x:c r="I436" s="13" t="str">
        <x:v>0711510000</x:v>
      </x:c>
      <x:c r="J436" s="13" t="str">
        <x:v>0711510100</x:v>
      </x:c>
      <x:c r="K436" s="13" t="str">
        <x:v>0711510000</x:v>
      </x:c>
      <x:c r="L436" s="13" t="str">
        <x:v>UNRESOLVED</x:v>
      </x:c>
      <x:c r="M436" s="13" t="str"/>
      <x:c r="N436" s="13" t="str">
        <x:v>NO / DEFAULT</x:v>
      </x:c>
      <x:c r="O436" s="13" t="str"/>
      <x:c r="P436" s="13" t="str">
        <x:v>NO / DEFAULT</x:v>
      </x:c>
      <x:c r="Q436" s="13" t="str"/>
      <x:c r="R436" s="13" t="str">
        <x:v>INDEPENDENT / DEFAULT</x:v>
      </x:c>
      <x:c r="S436" s="13" t="str"/>
      <x:c r="T436" s="13" t="str">
        <x:v>UNRESOLVED</x:v>
      </x:c>
      <x:c r="U436" s="13" t="str"/>
      <x:c r="V436" s="13" t="str"/>
      <x:c r="W436" s="13" t="str"/>
      <x:c r="X436" s="13" t="str">
        <x:f>IF(L436&lt;&gt;"COVERED","HELD — COVERAGE",IF(N436="YES — SENSITIVE","C ACTIONABLE","CHAPTER 5 DEFAULT"))</x:f>
        <x:v>HELD — COVERAGE</x:v>
      </x:c>
      <x:c r="Y436" s="13" t="str">
        <x:f>IF(L436&lt;&gt;"COVERED","HELD — COVERAGE",IF(P436="YES — MANAGED ACCESS","D ACTIONABLE","NO D FIELD"))</x:f>
        <x:v>HELD — COVERAGE</x:v>
      </x:c>
      <x:c r="Z436" s="13" t="str">
        <x:f>IF(L436&lt;&gt;"COVERED","HELD — COVERAGE",IF(OR(R436="PAIRED SYNCHRONIZED",R436="TRILATERAL SYNCHRONIZED"),"E ACTIONABLE","INDEPENDENT"))</x:f>
        <x:v>HELD — COVERAGE</x:v>
      </x:c>
      <x:c r="AA436" s="13" t="str">
        <x:f>IF(L436&lt;&gt;"COVERED","HELD — COVERAGE","WAIT FOR UPSTREAM COMPLETION")</x:f>
        <x:v>HELD — COVERAGE</x:v>
      </x:c>
      <x:c r="AB436" s="13" t="str">
        <x:f>IF(L436&lt;&gt;"COVERED","HELD — COVERAGE",IF(T436="UNRESOLVED","G DECISION REQUIRED",IF(T436="NOT APPLICABLE","G N/A","G ACTIONABLE")))</x:f>
        <x:v>HELD — COVERAGE</x:v>
      </x:c>
      <x:c r="AC436" s="13" t="str">
        <x:f>IF(L436="UNRESOLVED","COVERAGE FIRST",IF(OR(L436="EXCLUDED",L436="OUT OF SCOPE"),"CLOSED BY COVERAGE",IF(AND(L436="COVERED",T436&lt;&gt;"UNRESOLVED"),"PARTIALLY ADOPTED","DECISIONS REMAIN")))</x:f>
        <x:v>COVERAGE FIRST</x:v>
      </x:c>
    </x:row>
    <x:row r="437">
      <x:c r="A437" s="13" t="str">
        <x:v>NAAFTC-HS6-071159</x:v>
      </x:c>
      <x:c r="B437" s="13" t="str">
        <x:v>071159</x:v>
      </x:c>
      <x:c r="C437" s="13" t="str">
        <x:v>07</x:v>
      </x:c>
      <x:c r="D437" s="13" t="str">
        <x:v>TRILATERAL_SPLIT_MERGE</x:v>
      </x:c>
      <x:c r="E437" s="13" t="str">
        <x:v>Pending</x:v>
      </x:c>
      <x:c r="F437" s="13" t="n">
        <x:v>2</x:v>
      </x:c>
      <x:c r="G437" s="13" t="n">
        <x:v>1</x:v>
      </x:c>
      <x:c r="H437" s="13" t="n">
        <x:v>1</x:v>
      </x:c>
      <x:c r="I437" s="13" t="str">
        <x:v>0711591000; 0711599000</x:v>
      </x:c>
      <x:c r="J437" s="13" t="str">
        <x:v>0711599900</x:v>
      </x:c>
      <x:c r="K437" s="13" t="str">
        <x:v>0711590000</x:v>
      </x:c>
      <x:c r="L437" s="13" t="str">
        <x:v>UNRESOLVED</x:v>
      </x:c>
      <x:c r="M437" s="13" t="str"/>
      <x:c r="N437" s="13" t="str">
        <x:v>NO / DEFAULT</x:v>
      </x:c>
      <x:c r="O437" s="13" t="str"/>
      <x:c r="P437" s="13" t="str">
        <x:v>NO / DEFAULT</x:v>
      </x:c>
      <x:c r="Q437" s="13" t="str"/>
      <x:c r="R437" s="13" t="str">
        <x:v>INDEPENDENT / DEFAULT</x:v>
      </x:c>
      <x:c r="S437" s="13" t="str"/>
      <x:c r="T437" s="13" t="str">
        <x:v>UNRESOLVED</x:v>
      </x:c>
      <x:c r="U437" s="13" t="str"/>
      <x:c r="V437" s="13" t="str"/>
      <x:c r="W437" s="13" t="str"/>
      <x:c r="X437" s="13" t="str">
        <x:f>IF(L437&lt;&gt;"COVERED","HELD — COVERAGE",IF(N437="YES — SENSITIVE","C ACTIONABLE","CHAPTER 5 DEFAULT"))</x:f>
        <x:v>HELD — COVERAGE</x:v>
      </x:c>
      <x:c r="Y437" s="13" t="str">
        <x:f>IF(L437&lt;&gt;"COVERED","HELD — COVERAGE",IF(P437="YES — MANAGED ACCESS","D ACTIONABLE","NO D FIELD"))</x:f>
        <x:v>HELD — COVERAGE</x:v>
      </x:c>
      <x:c r="Z437" s="13" t="str">
        <x:f>IF(L437&lt;&gt;"COVERED","HELD — COVERAGE",IF(OR(R437="PAIRED SYNCHRONIZED",R437="TRILATERAL SYNCHRONIZED"),"E ACTIONABLE","INDEPENDENT"))</x:f>
        <x:v>HELD — COVERAGE</x:v>
      </x:c>
      <x:c r="AA437" s="13" t="str">
        <x:f>IF(L437&lt;&gt;"COVERED","HELD — COVERAGE","WAIT FOR UPSTREAM COMPLETION")</x:f>
        <x:v>HELD — COVERAGE</x:v>
      </x:c>
      <x:c r="AB437" s="13" t="str">
        <x:f>IF(L437&lt;&gt;"COVERED","HELD — COVERAGE",IF(T437="UNRESOLVED","G DECISION REQUIRED",IF(T437="NOT APPLICABLE","G N/A","G ACTIONABLE")))</x:f>
        <x:v>HELD — COVERAGE</x:v>
      </x:c>
      <x:c r="AC437" s="13" t="str">
        <x:f>IF(L437="UNRESOLVED","COVERAGE FIRST",IF(OR(L437="EXCLUDED",L437="OUT OF SCOPE"),"CLOSED BY COVERAGE",IF(AND(L437="COVERED",T437&lt;&gt;"UNRESOLVED"),"PARTIALLY ADOPTED","DECISIONS REMAIN")))</x:f>
        <x:v>COVERAGE FIRST</x:v>
      </x:c>
    </x:row>
    <x:row r="438">
      <x:c r="A438" s="13" t="str">
        <x:v>NAAFTC-HS6-071190</x:v>
      </x:c>
      <x:c r="B438" s="13" t="str">
        <x:v>071190</x:v>
      </x:c>
      <x:c r="C438" s="13" t="str">
        <x:v>07</x:v>
      </x:c>
      <x:c r="D438" s="13" t="str">
        <x:v>TRILATERAL_SPLIT_MERGE</x:v>
      </x:c>
      <x:c r="E438" s="13" t="str">
        <x:v>Pending</x:v>
      </x:c>
      <x:c r="F438" s="13" t="n">
        <x:v>4</x:v>
      </x:c>
      <x:c r="G438" s="13" t="n">
        <x:v>2</x:v>
      </x:c>
      <x:c r="H438" s="13" t="n">
        <x:v>1</x:v>
      </x:c>
      <x:c r="I438" s="13" t="str">
        <x:v>0711902000; 0711903000; 0711905000; 0711906500</x:v>
      </x:c>
      <x:c r="J438" s="13" t="str">
        <x:v>0711900300; 0711909900</x:v>
      </x:c>
      <x:c r="K438" s="13" t="str">
        <x:v>0711900000</x:v>
      </x:c>
      <x:c r="L438" s="13" t="str">
        <x:v>UNRESOLVED</x:v>
      </x:c>
      <x:c r="M438" s="13" t="str"/>
      <x:c r="N438" s="13" t="str">
        <x:v>NO / DEFAULT</x:v>
      </x:c>
      <x:c r="O438" s="13" t="str"/>
      <x:c r="P438" s="13" t="str">
        <x:v>NO / DEFAULT</x:v>
      </x:c>
      <x:c r="Q438" s="13" t="str"/>
      <x:c r="R438" s="13" t="str">
        <x:v>INDEPENDENT / DEFAULT</x:v>
      </x:c>
      <x:c r="S438" s="13" t="str"/>
      <x:c r="T438" s="13" t="str">
        <x:v>UNRESOLVED</x:v>
      </x:c>
      <x:c r="U438" s="13" t="str"/>
      <x:c r="V438" s="13" t="str"/>
      <x:c r="W438" s="13" t="str"/>
      <x:c r="X438" s="13" t="str">
        <x:f>IF(L438&lt;&gt;"COVERED","HELD — COVERAGE",IF(N438="YES — SENSITIVE","C ACTIONABLE","CHAPTER 5 DEFAULT"))</x:f>
        <x:v>HELD — COVERAGE</x:v>
      </x:c>
      <x:c r="Y438" s="13" t="str">
        <x:f>IF(L438&lt;&gt;"COVERED","HELD — COVERAGE",IF(P438="YES — MANAGED ACCESS","D ACTIONABLE","NO D FIELD"))</x:f>
        <x:v>HELD — COVERAGE</x:v>
      </x:c>
      <x:c r="Z438" s="13" t="str">
        <x:f>IF(L438&lt;&gt;"COVERED","HELD — COVERAGE",IF(OR(R438="PAIRED SYNCHRONIZED",R438="TRILATERAL SYNCHRONIZED"),"E ACTIONABLE","INDEPENDENT"))</x:f>
        <x:v>HELD — COVERAGE</x:v>
      </x:c>
      <x:c r="AA438" s="13" t="str">
        <x:f>IF(L438&lt;&gt;"COVERED","HELD — COVERAGE","WAIT FOR UPSTREAM COMPLETION")</x:f>
        <x:v>HELD — COVERAGE</x:v>
      </x:c>
      <x:c r="AB438" s="13" t="str">
        <x:f>IF(L438&lt;&gt;"COVERED","HELD — COVERAGE",IF(T438="UNRESOLVED","G DECISION REQUIRED",IF(T438="NOT APPLICABLE","G N/A","G ACTIONABLE")))</x:f>
        <x:v>HELD — COVERAGE</x:v>
      </x:c>
      <x:c r="AC438" s="13" t="str">
        <x:f>IF(L438="UNRESOLVED","COVERAGE FIRST",IF(OR(L438="EXCLUDED",L438="OUT OF SCOPE"),"CLOSED BY COVERAGE",IF(AND(L438="COVERED",T438&lt;&gt;"UNRESOLVED"),"PARTIALLY ADOPTED","DECISIONS REMAIN")))</x:f>
        <x:v>COVERAGE FIRST</x:v>
      </x:c>
    </x:row>
    <x:row r="439">
      <x:c r="A439" s="13" t="str">
        <x:v>NAAFTC-HS6-071220</x:v>
      </x:c>
      <x:c r="B439" s="13" t="str">
        <x:v>071220</x:v>
      </x:c>
      <x:c r="C439" s="13" t="str">
        <x:v>07</x:v>
      </x:c>
      <x:c r="D439" s="13" t="str">
        <x:v>TRILATERAL_SPLIT_MERGE</x:v>
      </x:c>
      <x:c r="E439" s="13" t="str">
        <x:v>Pending</x:v>
      </x:c>
      <x:c r="F439" s="13" t="n">
        <x:v>2</x:v>
      </x:c>
      <x:c r="G439" s="13" t="n">
        <x:v>1</x:v>
      </x:c>
      <x:c r="H439" s="13" t="n">
        <x:v>1</x:v>
      </x:c>
      <x:c r="I439" s="13" t="str">
        <x:v>0712202000; 0712204000</x:v>
      </x:c>
      <x:c r="J439" s="13" t="str">
        <x:v>0712200100</x:v>
      </x:c>
      <x:c r="K439" s="13" t="str">
        <x:v>0712200000</x:v>
      </x:c>
      <x:c r="L439" s="13" t="str">
        <x:v>UNRESOLVED</x:v>
      </x:c>
      <x:c r="M439" s="13" t="str"/>
      <x:c r="N439" s="13" t="str">
        <x:v>NO / DEFAULT</x:v>
      </x:c>
      <x:c r="O439" s="13" t="str"/>
      <x:c r="P439" s="13" t="str">
        <x:v>NO / DEFAULT</x:v>
      </x:c>
      <x:c r="Q439" s="13" t="str"/>
      <x:c r="R439" s="13" t="str">
        <x:v>INDEPENDENT / DEFAULT</x:v>
      </x:c>
      <x:c r="S439" s="13" t="str"/>
      <x:c r="T439" s="13" t="str">
        <x:v>UNRESOLVED</x:v>
      </x:c>
      <x:c r="U439" s="13" t="str"/>
      <x:c r="V439" s="13" t="str"/>
      <x:c r="W439" s="13" t="str"/>
      <x:c r="X439" s="13" t="str">
        <x:f>IF(L439&lt;&gt;"COVERED","HELD — COVERAGE",IF(N439="YES — SENSITIVE","C ACTIONABLE","CHAPTER 5 DEFAULT"))</x:f>
        <x:v>HELD — COVERAGE</x:v>
      </x:c>
      <x:c r="Y439" s="13" t="str">
        <x:f>IF(L439&lt;&gt;"COVERED","HELD — COVERAGE",IF(P439="YES — MANAGED ACCESS","D ACTIONABLE","NO D FIELD"))</x:f>
        <x:v>HELD — COVERAGE</x:v>
      </x:c>
      <x:c r="Z439" s="13" t="str">
        <x:f>IF(L439&lt;&gt;"COVERED","HELD — COVERAGE",IF(OR(R439="PAIRED SYNCHRONIZED",R439="TRILATERAL SYNCHRONIZED"),"E ACTIONABLE","INDEPENDENT"))</x:f>
        <x:v>HELD — COVERAGE</x:v>
      </x:c>
      <x:c r="AA439" s="13" t="str">
        <x:f>IF(L439&lt;&gt;"COVERED","HELD — COVERAGE","WAIT FOR UPSTREAM COMPLETION")</x:f>
        <x:v>HELD — COVERAGE</x:v>
      </x:c>
      <x:c r="AB439" s="13" t="str">
        <x:f>IF(L439&lt;&gt;"COVERED","HELD — COVERAGE",IF(T439="UNRESOLVED","G DECISION REQUIRED",IF(T439="NOT APPLICABLE","G N/A","G ACTIONABLE")))</x:f>
        <x:v>HELD — COVERAGE</x:v>
      </x:c>
      <x:c r="AC439" s="13" t="str">
        <x:f>IF(L439="UNRESOLVED","COVERAGE FIRST",IF(OR(L439="EXCLUDED",L439="OUT OF SCOPE"),"CLOSED BY COVERAGE",IF(AND(L439="COVERED",T439&lt;&gt;"UNRESOLVED"),"PARTIALLY ADOPTED","DECISIONS REMAIN")))</x:f>
        <x:v>COVERAGE FIRST</x:v>
      </x:c>
    </x:row>
    <x:row r="440">
      <x:c r="A440" s="13" t="str">
        <x:v>NAAFTC-HS6-071231</x:v>
      </x:c>
      <x:c r="B440" s="13" t="str">
        <x:v>071231</x:v>
      </x:c>
      <x:c r="C440" s="13" t="str">
        <x:v>07</x:v>
      </x:c>
      <x:c r="D440" s="13" t="str">
        <x:v>TRILATERAL_SPLIT_MERGE</x:v>
      </x:c>
      <x:c r="E440" s="13" t="str">
        <x:v>Pending</x:v>
      </x:c>
      <x:c r="F440" s="13" t="n">
        <x:v>2</x:v>
      </x:c>
      <x:c r="G440" s="13" t="n">
        <x:v>1</x:v>
      </x:c>
      <x:c r="H440" s="13" t="n">
        <x:v>1</x:v>
      </x:c>
      <x:c r="I440" s="13" t="str">
        <x:v>0712311000; 0712312000</x:v>
      </x:c>
      <x:c r="J440" s="13" t="str">
        <x:v>0712310100</x:v>
      </x:c>
      <x:c r="K440" s="13" t="str">
        <x:v>0712310000</x:v>
      </x:c>
      <x:c r="L440" s="13" t="str">
        <x:v>UNRESOLVED</x:v>
      </x:c>
      <x:c r="M440" s="13" t="str"/>
      <x:c r="N440" s="13" t="str">
        <x:v>NO / DEFAULT</x:v>
      </x:c>
      <x:c r="O440" s="13" t="str"/>
      <x:c r="P440" s="13" t="str">
        <x:v>NO / DEFAULT</x:v>
      </x:c>
      <x:c r="Q440" s="13" t="str"/>
      <x:c r="R440" s="13" t="str">
        <x:v>INDEPENDENT / DEFAULT</x:v>
      </x:c>
      <x:c r="S440" s="13" t="str"/>
      <x:c r="T440" s="13" t="str">
        <x:v>UNRESOLVED</x:v>
      </x:c>
      <x:c r="U440" s="13" t="str"/>
      <x:c r="V440" s="13" t="str"/>
      <x:c r="W440" s="13" t="str"/>
      <x:c r="X440" s="13" t="str">
        <x:f>IF(L440&lt;&gt;"COVERED","HELD — COVERAGE",IF(N440="YES — SENSITIVE","C ACTIONABLE","CHAPTER 5 DEFAULT"))</x:f>
        <x:v>HELD — COVERAGE</x:v>
      </x:c>
      <x:c r="Y440" s="13" t="str">
        <x:f>IF(L440&lt;&gt;"COVERED","HELD — COVERAGE",IF(P440="YES — MANAGED ACCESS","D ACTIONABLE","NO D FIELD"))</x:f>
        <x:v>HELD — COVERAGE</x:v>
      </x:c>
      <x:c r="Z440" s="13" t="str">
        <x:f>IF(L440&lt;&gt;"COVERED","HELD — COVERAGE",IF(OR(R440="PAIRED SYNCHRONIZED",R440="TRILATERAL SYNCHRONIZED"),"E ACTIONABLE","INDEPENDENT"))</x:f>
        <x:v>HELD — COVERAGE</x:v>
      </x:c>
      <x:c r="AA440" s="13" t="str">
        <x:f>IF(L440&lt;&gt;"COVERED","HELD — COVERAGE","WAIT FOR UPSTREAM COMPLETION")</x:f>
        <x:v>HELD — COVERAGE</x:v>
      </x:c>
      <x:c r="AB440" s="13" t="str">
        <x:f>IF(L440&lt;&gt;"COVERED","HELD — COVERAGE",IF(T440="UNRESOLVED","G DECISION REQUIRED",IF(T440="NOT APPLICABLE","G N/A","G ACTIONABLE")))</x:f>
        <x:v>HELD — COVERAGE</x:v>
      </x:c>
      <x:c r="AC440" s="13" t="str">
        <x:f>IF(L440="UNRESOLVED","COVERAGE FIRST",IF(OR(L440="EXCLUDED",L440="OUT OF SCOPE"),"CLOSED BY COVERAGE",IF(AND(L440="COVERED",T440&lt;&gt;"UNRESOLVED"),"PARTIALLY ADOPTED","DECISIONS REMAIN")))</x:f>
        <x:v>COVERAGE FIRST</x:v>
      </x:c>
    </x:row>
    <x:row r="441">
      <x:c r="A441" s="13" t="str">
        <x:v>NAAFTC-HS6-071232</x:v>
      </x:c>
      <x:c r="B441" s="13" t="str">
        <x:v>071232</x:v>
      </x:c>
      <x:c r="C441" s="13" t="str">
        <x:v>07</x:v>
      </x:c>
      <x:c r="D441" s="13" t="str">
        <x:v>TRILATERAL_1_TO_1_TO_1</x:v>
      </x:c>
      <x:c r="E441" s="13" t="str">
        <x:v>Pending</x:v>
      </x:c>
      <x:c r="F441" s="13" t="n">
        <x:v>1</x:v>
      </x:c>
      <x:c r="G441" s="13" t="n">
        <x:v>1</x:v>
      </x:c>
      <x:c r="H441" s="13" t="n">
        <x:v>1</x:v>
      </x:c>
      <x:c r="I441" s="13" t="str">
        <x:v>0712320000</x:v>
      </x:c>
      <x:c r="J441" s="13" t="str">
        <x:v>0712320100</x:v>
      </x:c>
      <x:c r="K441" s="13" t="str">
        <x:v>0712321000</x:v>
      </x:c>
      <x:c r="L441" s="13" t="str">
        <x:v>UNRESOLVED</x:v>
      </x:c>
      <x:c r="M441" s="13" t="str"/>
      <x:c r="N441" s="13" t="str">
        <x:v>NO / DEFAULT</x:v>
      </x:c>
      <x:c r="O441" s="13" t="str"/>
      <x:c r="P441" s="13" t="str">
        <x:v>NO / DEFAULT</x:v>
      </x:c>
      <x:c r="Q441" s="13" t="str"/>
      <x:c r="R441" s="13" t="str">
        <x:v>INDEPENDENT / DEFAULT</x:v>
      </x:c>
      <x:c r="S441" s="13" t="str"/>
      <x:c r="T441" s="13" t="str">
        <x:v>UNRESOLVED</x:v>
      </x:c>
      <x:c r="U441" s="13" t="str"/>
      <x:c r="V441" s="13" t="str"/>
      <x:c r="W441" s="13" t="str"/>
      <x:c r="X441" s="13" t="str">
        <x:f>IF(L441&lt;&gt;"COVERED","HELD — COVERAGE",IF(N441="YES — SENSITIVE","C ACTIONABLE","CHAPTER 5 DEFAULT"))</x:f>
        <x:v>HELD — COVERAGE</x:v>
      </x:c>
      <x:c r="Y441" s="13" t="str">
        <x:f>IF(L441&lt;&gt;"COVERED","HELD — COVERAGE",IF(P441="YES — MANAGED ACCESS","D ACTIONABLE","NO D FIELD"))</x:f>
        <x:v>HELD — COVERAGE</x:v>
      </x:c>
      <x:c r="Z441" s="13" t="str">
        <x:f>IF(L441&lt;&gt;"COVERED","HELD — COVERAGE",IF(OR(R441="PAIRED SYNCHRONIZED",R441="TRILATERAL SYNCHRONIZED"),"E ACTIONABLE","INDEPENDENT"))</x:f>
        <x:v>HELD — COVERAGE</x:v>
      </x:c>
      <x:c r="AA441" s="13" t="str">
        <x:f>IF(L441&lt;&gt;"COVERED","HELD — COVERAGE","WAIT FOR UPSTREAM COMPLETION")</x:f>
        <x:v>HELD — COVERAGE</x:v>
      </x:c>
      <x:c r="AB441" s="13" t="str">
        <x:f>IF(L441&lt;&gt;"COVERED","HELD — COVERAGE",IF(T441="UNRESOLVED","G DECISION REQUIRED",IF(T441="NOT APPLICABLE","G N/A","G ACTIONABLE")))</x:f>
        <x:v>HELD — COVERAGE</x:v>
      </x:c>
      <x:c r="AC441" s="13" t="str">
        <x:f>IF(L441="UNRESOLVED","COVERAGE FIRST",IF(OR(L441="EXCLUDED",L441="OUT OF SCOPE"),"CLOSED BY COVERAGE",IF(AND(L441="COVERED",T441&lt;&gt;"UNRESOLVED"),"PARTIALLY ADOPTED","DECISIONS REMAIN")))</x:f>
        <x:v>COVERAGE FIRST</x:v>
      </x:c>
    </x:row>
    <x:row r="442">
      <x:c r="A442" s="13" t="str">
        <x:v>NAAFTC-HS6-071233</x:v>
      </x:c>
      <x:c r="B442" s="13" t="str">
        <x:v>071233</x:v>
      </x:c>
      <x:c r="C442" s="13" t="str">
        <x:v>07</x:v>
      </x:c>
      <x:c r="D442" s="13" t="str">
        <x:v>TRILATERAL_1_TO_1_TO_1</x:v>
      </x:c>
      <x:c r="E442" s="13" t="str">
        <x:v>Pending</x:v>
      </x:c>
      <x:c r="F442" s="13" t="n">
        <x:v>1</x:v>
      </x:c>
      <x:c r="G442" s="13" t="n">
        <x:v>1</x:v>
      </x:c>
      <x:c r="H442" s="13" t="n">
        <x:v>1</x:v>
      </x:c>
      <x:c r="I442" s="13" t="str">
        <x:v>0712330000</x:v>
      </x:c>
      <x:c r="J442" s="13" t="str">
        <x:v>0712330100</x:v>
      </x:c>
      <x:c r="K442" s="13" t="str">
        <x:v>0712330000</x:v>
      </x:c>
      <x:c r="L442" s="13" t="str">
        <x:v>UNRESOLVED</x:v>
      </x:c>
      <x:c r="M442" s="13" t="str"/>
      <x:c r="N442" s="13" t="str">
        <x:v>NO / DEFAULT</x:v>
      </x:c>
      <x:c r="O442" s="13" t="str"/>
      <x:c r="P442" s="13" t="str">
        <x:v>NO / DEFAULT</x:v>
      </x:c>
      <x:c r="Q442" s="13" t="str"/>
      <x:c r="R442" s="13" t="str">
        <x:v>INDEPENDENT / DEFAULT</x:v>
      </x:c>
      <x:c r="S442" s="13" t="str"/>
      <x:c r="T442" s="13" t="str">
        <x:v>UNRESOLVED</x:v>
      </x:c>
      <x:c r="U442" s="13" t="str"/>
      <x:c r="V442" s="13" t="str"/>
      <x:c r="W442" s="13" t="str"/>
      <x:c r="X442" s="13" t="str">
        <x:f>IF(L442&lt;&gt;"COVERED","HELD — COVERAGE",IF(N442="YES — SENSITIVE","C ACTIONABLE","CHAPTER 5 DEFAULT"))</x:f>
        <x:v>HELD — COVERAGE</x:v>
      </x:c>
      <x:c r="Y442" s="13" t="str">
        <x:f>IF(L442&lt;&gt;"COVERED","HELD — COVERAGE",IF(P442="YES — MANAGED ACCESS","D ACTIONABLE","NO D FIELD"))</x:f>
        <x:v>HELD — COVERAGE</x:v>
      </x:c>
      <x:c r="Z442" s="13" t="str">
        <x:f>IF(L442&lt;&gt;"COVERED","HELD — COVERAGE",IF(OR(R442="PAIRED SYNCHRONIZED",R442="TRILATERAL SYNCHRONIZED"),"E ACTIONABLE","INDEPENDENT"))</x:f>
        <x:v>HELD — COVERAGE</x:v>
      </x:c>
      <x:c r="AA442" s="13" t="str">
        <x:f>IF(L442&lt;&gt;"COVERED","HELD — COVERAGE","WAIT FOR UPSTREAM COMPLETION")</x:f>
        <x:v>HELD — COVERAGE</x:v>
      </x:c>
      <x:c r="AB442" s="13" t="str">
        <x:f>IF(L442&lt;&gt;"COVERED","HELD — COVERAGE",IF(T442="UNRESOLVED","G DECISION REQUIRED",IF(T442="NOT APPLICABLE","G N/A","G ACTIONABLE")))</x:f>
        <x:v>HELD — COVERAGE</x:v>
      </x:c>
      <x:c r="AC442" s="13" t="str">
        <x:f>IF(L442="UNRESOLVED","COVERAGE FIRST",IF(OR(L442="EXCLUDED",L442="OUT OF SCOPE"),"CLOSED BY COVERAGE",IF(AND(L442="COVERED",T442&lt;&gt;"UNRESOLVED"),"PARTIALLY ADOPTED","DECISIONS REMAIN")))</x:f>
        <x:v>COVERAGE FIRST</x:v>
      </x:c>
    </x:row>
    <x:row r="443">
      <x:c r="A443" s="13" t="str">
        <x:v>NAAFTC-HS6-071234</x:v>
      </x:c>
      <x:c r="B443" s="13" t="str">
        <x:v>071234</x:v>
      </x:c>
      <x:c r="C443" s="13" t="str">
        <x:v>07</x:v>
      </x:c>
      <x:c r="D443" s="13" t="str">
        <x:v>TRILATERAL_SPLIT_MERGE</x:v>
      </x:c>
      <x:c r="E443" s="13" t="str">
        <x:v>Pending</x:v>
      </x:c>
      <x:c r="F443" s="13" t="n">
        <x:v>2</x:v>
      </x:c>
      <x:c r="G443" s="13" t="n">
        <x:v>1</x:v>
      </x:c>
      <x:c r="H443" s="13" t="n">
        <x:v>2</x:v>
      </x:c>
      <x:c r="I443" s="13" t="str">
        <x:v>0712341000; 0712342000</x:v>
      </x:c>
      <x:c r="J443" s="13" t="str">
        <x:v>0712340100</x:v>
      </x:c>
      <x:c r="K443" s="13" t="str">
        <x:v>0712341000; 0712349000</x:v>
      </x:c>
      <x:c r="L443" s="13" t="str">
        <x:v>UNRESOLVED</x:v>
      </x:c>
      <x:c r="M443" s="13" t="str"/>
      <x:c r="N443" s="13" t="str">
        <x:v>NO / DEFAULT</x:v>
      </x:c>
      <x:c r="O443" s="13" t="str"/>
      <x:c r="P443" s="13" t="str">
        <x:v>NO / DEFAULT</x:v>
      </x:c>
      <x:c r="Q443" s="13" t="str"/>
      <x:c r="R443" s="13" t="str">
        <x:v>INDEPENDENT / DEFAULT</x:v>
      </x:c>
      <x:c r="S443" s="13" t="str"/>
      <x:c r="T443" s="13" t="str">
        <x:v>UNRESOLVED</x:v>
      </x:c>
      <x:c r="U443" s="13" t="str"/>
      <x:c r="V443" s="13" t="str"/>
      <x:c r="W443" s="13" t="str"/>
      <x:c r="X443" s="13" t="str">
        <x:f>IF(L443&lt;&gt;"COVERED","HELD — COVERAGE",IF(N443="YES — SENSITIVE","C ACTIONABLE","CHAPTER 5 DEFAULT"))</x:f>
        <x:v>HELD — COVERAGE</x:v>
      </x:c>
      <x:c r="Y443" s="13" t="str">
        <x:f>IF(L443&lt;&gt;"COVERED","HELD — COVERAGE",IF(P443="YES — MANAGED ACCESS","D ACTIONABLE","NO D FIELD"))</x:f>
        <x:v>HELD — COVERAGE</x:v>
      </x:c>
      <x:c r="Z443" s="13" t="str">
        <x:f>IF(L443&lt;&gt;"COVERED","HELD — COVERAGE",IF(OR(R443="PAIRED SYNCHRONIZED",R443="TRILATERAL SYNCHRONIZED"),"E ACTIONABLE","INDEPENDENT"))</x:f>
        <x:v>HELD — COVERAGE</x:v>
      </x:c>
      <x:c r="AA443" s="13" t="str">
        <x:f>IF(L443&lt;&gt;"COVERED","HELD — COVERAGE","WAIT FOR UPSTREAM COMPLETION")</x:f>
        <x:v>HELD — COVERAGE</x:v>
      </x:c>
      <x:c r="AB443" s="13" t="str">
        <x:f>IF(L443&lt;&gt;"COVERED","HELD — COVERAGE",IF(T443="UNRESOLVED","G DECISION REQUIRED",IF(T443="NOT APPLICABLE","G N/A","G ACTIONABLE")))</x:f>
        <x:v>HELD — COVERAGE</x:v>
      </x:c>
      <x:c r="AC443" s="13" t="str">
        <x:f>IF(L443="UNRESOLVED","COVERAGE FIRST",IF(OR(L443="EXCLUDED",L443="OUT OF SCOPE"),"CLOSED BY COVERAGE",IF(AND(L443="COVERED",T443&lt;&gt;"UNRESOLVED"),"PARTIALLY ADOPTED","DECISIONS REMAIN")))</x:f>
        <x:v>COVERAGE FIRST</x:v>
      </x:c>
    </x:row>
    <x:row r="444">
      <x:c r="A444" s="13" t="str">
        <x:v>NAAFTC-HS6-071239</x:v>
      </x:c>
      <x:c r="B444" s="13" t="str">
        <x:v>071239</x:v>
      </x:c>
      <x:c r="C444" s="13" t="str">
        <x:v>07</x:v>
      </x:c>
      <x:c r="D444" s="13" t="str">
        <x:v>TRILATERAL_SPLIT_MERGE</x:v>
      </x:c>
      <x:c r="E444" s="13" t="str">
        <x:v>Pending</x:v>
      </x:c>
      <x:c r="F444" s="13" t="n">
        <x:v>3</x:v>
      </x:c>
      <x:c r="G444" s="13" t="n">
        <x:v>1</x:v>
      </x:c>
      <x:c r="H444" s="13" t="n">
        <x:v>3</x:v>
      </x:c>
      <x:c r="I444" s="13" t="str">
        <x:v>0712391100; 0712392100; 0712394000</x:v>
      </x:c>
      <x:c r="J444" s="13" t="str">
        <x:v>0712399900</x:v>
      </x:c>
      <x:c r="K444" s="13" t="str">
        <x:v>0712391100; 0712391900; 0712392000</x:v>
      </x:c>
      <x:c r="L444" s="13" t="str">
        <x:v>UNRESOLVED</x:v>
      </x:c>
      <x:c r="M444" s="13" t="str"/>
      <x:c r="N444" s="13" t="str">
        <x:v>NO / DEFAULT</x:v>
      </x:c>
      <x:c r="O444" s="13" t="str"/>
      <x:c r="P444" s="13" t="str">
        <x:v>NO / DEFAULT</x:v>
      </x:c>
      <x:c r="Q444" s="13" t="str"/>
      <x:c r="R444" s="13" t="str">
        <x:v>INDEPENDENT / DEFAULT</x:v>
      </x:c>
      <x:c r="S444" s="13" t="str"/>
      <x:c r="T444" s="13" t="str">
        <x:v>UNRESOLVED</x:v>
      </x:c>
      <x:c r="U444" s="13" t="str"/>
      <x:c r="V444" s="13" t="str"/>
      <x:c r="W444" s="13" t="str"/>
      <x:c r="X444" s="13" t="str">
        <x:f>IF(L444&lt;&gt;"COVERED","HELD — COVERAGE",IF(N444="YES — SENSITIVE","C ACTIONABLE","CHAPTER 5 DEFAULT"))</x:f>
        <x:v>HELD — COVERAGE</x:v>
      </x:c>
      <x:c r="Y444" s="13" t="str">
        <x:f>IF(L444&lt;&gt;"COVERED","HELD — COVERAGE",IF(P444="YES — MANAGED ACCESS","D ACTIONABLE","NO D FIELD"))</x:f>
        <x:v>HELD — COVERAGE</x:v>
      </x:c>
      <x:c r="Z444" s="13" t="str">
        <x:f>IF(L444&lt;&gt;"COVERED","HELD — COVERAGE",IF(OR(R444="PAIRED SYNCHRONIZED",R444="TRILATERAL SYNCHRONIZED"),"E ACTIONABLE","INDEPENDENT"))</x:f>
        <x:v>HELD — COVERAGE</x:v>
      </x:c>
      <x:c r="AA444" s="13" t="str">
        <x:f>IF(L444&lt;&gt;"COVERED","HELD — COVERAGE","WAIT FOR UPSTREAM COMPLETION")</x:f>
        <x:v>HELD — COVERAGE</x:v>
      </x:c>
      <x:c r="AB444" s="13" t="str">
        <x:f>IF(L444&lt;&gt;"COVERED","HELD — COVERAGE",IF(T444="UNRESOLVED","G DECISION REQUIRED",IF(T444="NOT APPLICABLE","G N/A","G ACTIONABLE")))</x:f>
        <x:v>HELD — COVERAGE</x:v>
      </x:c>
      <x:c r="AC444" s="13" t="str">
        <x:f>IF(L444="UNRESOLVED","COVERAGE FIRST",IF(OR(L444="EXCLUDED",L444="OUT OF SCOPE"),"CLOSED BY COVERAGE",IF(AND(L444="COVERED",T444&lt;&gt;"UNRESOLVED"),"PARTIALLY ADOPTED","DECISIONS REMAIN")))</x:f>
        <x:v>COVERAGE FIRST</x:v>
      </x:c>
    </x:row>
    <x:row r="445">
      <x:c r="A445" s="13" t="str">
        <x:v>NAAFTC-HS6-071290</x:v>
      </x:c>
      <x:c r="B445" s="13" t="str">
        <x:v>071290</x:v>
      </x:c>
      <x:c r="C445" s="13" t="str">
        <x:v>07</x:v>
      </x:c>
      <x:c r="D445" s="13" t="str">
        <x:v>TRILATERAL_SPLIT_MERGE</x:v>
      </x:c>
      <x:c r="E445" s="13" t="str">
        <x:v>Pending</x:v>
      </x:c>
      <x:c r="F445" s="13" t="n">
        <x:v>17</x:v>
      </x:c>
      <x:c r="G445" s="13" t="n">
        <x:v>4</x:v>
      </x:c>
      <x:c r="H445" s="13" t="n">
        <x:v>1</x:v>
      </x:c>
      <x:c r="I445" s="13" t="str">
        <x:v>0712901000; 0712901500; 0712902000; 0712903000; 0712904020; 0712904040; +11 more</x:v>
      </x:c>
      <x:c r="J445" s="13" t="str">
        <x:v>0712900100; 0712909901; 0712909902; 0712909999</x:v>
      </x:c>
      <x:c r="K445" s="13" t="str">
        <x:v>07129000</x:v>
      </x:c>
      <x:c r="L445" s="13" t="str">
        <x:v>UNRESOLVED</x:v>
      </x:c>
      <x:c r="M445" s="13" t="str"/>
      <x:c r="N445" s="13" t="str">
        <x:v>NO / DEFAULT</x:v>
      </x:c>
      <x:c r="O445" s="13" t="str"/>
      <x:c r="P445" s="13" t="str">
        <x:v>NO / DEFAULT</x:v>
      </x:c>
      <x:c r="Q445" s="13" t="str"/>
      <x:c r="R445" s="13" t="str">
        <x:v>INDEPENDENT / DEFAULT</x:v>
      </x:c>
      <x:c r="S445" s="13" t="str"/>
      <x:c r="T445" s="13" t="str">
        <x:v>UNRESOLVED</x:v>
      </x:c>
      <x:c r="U445" s="13" t="str"/>
      <x:c r="V445" s="13" t="str"/>
      <x:c r="W445" s="13" t="str"/>
      <x:c r="X445" s="13" t="str">
        <x:f>IF(L445&lt;&gt;"COVERED","HELD — COVERAGE",IF(N445="YES — SENSITIVE","C ACTIONABLE","CHAPTER 5 DEFAULT"))</x:f>
        <x:v>HELD — COVERAGE</x:v>
      </x:c>
      <x:c r="Y445" s="13" t="str">
        <x:f>IF(L445&lt;&gt;"COVERED","HELD — COVERAGE",IF(P445="YES — MANAGED ACCESS","D ACTIONABLE","NO D FIELD"))</x:f>
        <x:v>HELD — COVERAGE</x:v>
      </x:c>
      <x:c r="Z445" s="13" t="str">
        <x:f>IF(L445&lt;&gt;"COVERED","HELD — COVERAGE",IF(OR(R445="PAIRED SYNCHRONIZED",R445="TRILATERAL SYNCHRONIZED"),"E ACTIONABLE","INDEPENDENT"))</x:f>
        <x:v>HELD — COVERAGE</x:v>
      </x:c>
      <x:c r="AA445" s="13" t="str">
        <x:f>IF(L445&lt;&gt;"COVERED","HELD — COVERAGE","WAIT FOR UPSTREAM COMPLETION")</x:f>
        <x:v>HELD — COVERAGE</x:v>
      </x:c>
      <x:c r="AB445" s="13" t="str">
        <x:f>IF(L445&lt;&gt;"COVERED","HELD — COVERAGE",IF(T445="UNRESOLVED","G DECISION REQUIRED",IF(T445="NOT APPLICABLE","G N/A","G ACTIONABLE")))</x:f>
        <x:v>HELD — COVERAGE</x:v>
      </x:c>
      <x:c r="AC445" s="13" t="str">
        <x:f>IF(L445="UNRESOLVED","COVERAGE FIRST",IF(OR(L445="EXCLUDED",L445="OUT OF SCOPE"),"CLOSED BY COVERAGE",IF(AND(L445="COVERED",T445&lt;&gt;"UNRESOLVED"),"PARTIALLY ADOPTED","DECISIONS REMAIN")))</x:f>
        <x:v>COVERAGE FIRST</x:v>
      </x:c>
    </x:row>
    <x:row r="446">
      <x:c r="A446" s="13" t="str">
        <x:v>NAAFTC-HS6-071310</x:v>
      </x:c>
      <x:c r="B446" s="13" t="str">
        <x:v>071310</x:v>
      </x:c>
      <x:c r="C446" s="13" t="str">
        <x:v>07</x:v>
      </x:c>
      <x:c r="D446" s="13" t="str">
        <x:v>TRILATERAL_SPLIT_MERGE</x:v>
      </x:c>
      <x:c r="E446" s="13" t="str">
        <x:v>Pending</x:v>
      </x:c>
      <x:c r="F446" s="13" t="n">
        <x:v>7</x:v>
      </x:c>
      <x:c r="G446" s="13" t="n">
        <x:v>2</x:v>
      </x:c>
      <x:c r="H446" s="13" t="n">
        <x:v>2</x:v>
      </x:c>
      <x:c r="I446" s="13" t="str">
        <x:v>0713101000; 0713102000; 0713104005; 0713104015; 0713104020; 0713104060; +1 more</x:v>
      </x:c>
      <x:c r="J446" s="13" t="str">
        <x:v>0713100100; 0713109900</x:v>
      </x:c>
      <x:c r="K446" s="13" t="str">
        <x:v>0713101000; 07131090</x:v>
      </x:c>
      <x:c r="L446" s="13" t="str">
        <x:v>UNRESOLVED</x:v>
      </x:c>
      <x:c r="M446" s="13" t="str"/>
      <x:c r="N446" s="13" t="str">
        <x:v>NO / DEFAULT</x:v>
      </x:c>
      <x:c r="O446" s="13" t="str"/>
      <x:c r="P446" s="13" t="str">
        <x:v>NO / DEFAULT</x:v>
      </x:c>
      <x:c r="Q446" s="13" t="str"/>
      <x:c r="R446" s="13" t="str">
        <x:v>INDEPENDENT / DEFAULT</x:v>
      </x:c>
      <x:c r="S446" s="13" t="str"/>
      <x:c r="T446" s="13" t="str">
        <x:v>UNRESOLVED</x:v>
      </x:c>
      <x:c r="U446" s="13" t="str"/>
      <x:c r="V446" s="13" t="str"/>
      <x:c r="W446" s="13" t="str"/>
      <x:c r="X446" s="13" t="str">
        <x:f>IF(L446&lt;&gt;"COVERED","HELD — COVERAGE",IF(N446="YES — SENSITIVE","C ACTIONABLE","CHAPTER 5 DEFAULT"))</x:f>
        <x:v>HELD — COVERAGE</x:v>
      </x:c>
      <x:c r="Y446" s="13" t="str">
        <x:f>IF(L446&lt;&gt;"COVERED","HELD — COVERAGE",IF(P446="YES — MANAGED ACCESS","D ACTIONABLE","NO D FIELD"))</x:f>
        <x:v>HELD — COVERAGE</x:v>
      </x:c>
      <x:c r="Z446" s="13" t="str">
        <x:f>IF(L446&lt;&gt;"COVERED","HELD — COVERAGE",IF(OR(R446="PAIRED SYNCHRONIZED",R446="TRILATERAL SYNCHRONIZED"),"E ACTIONABLE","INDEPENDENT"))</x:f>
        <x:v>HELD — COVERAGE</x:v>
      </x:c>
      <x:c r="AA446" s="13" t="str">
        <x:f>IF(L446&lt;&gt;"COVERED","HELD — COVERAGE","WAIT FOR UPSTREAM COMPLETION")</x:f>
        <x:v>HELD — COVERAGE</x:v>
      </x:c>
      <x:c r="AB446" s="13" t="str">
        <x:f>IF(L446&lt;&gt;"COVERED","HELD — COVERAGE",IF(T446="UNRESOLVED","G DECISION REQUIRED",IF(T446="NOT APPLICABLE","G N/A","G ACTIONABLE")))</x:f>
        <x:v>HELD — COVERAGE</x:v>
      </x:c>
      <x:c r="AC446" s="13" t="str">
        <x:f>IF(L446="UNRESOLVED","COVERAGE FIRST",IF(OR(L446="EXCLUDED",L446="OUT OF SCOPE"),"CLOSED BY COVERAGE",IF(AND(L446="COVERED",T446&lt;&gt;"UNRESOLVED"),"PARTIALLY ADOPTED","DECISIONS REMAIN")))</x:f>
        <x:v>COVERAGE FIRST</x:v>
      </x:c>
    </x:row>
    <x:row r="447">
      <x:c r="A447" s="13" t="str">
        <x:v>NAAFTC-HS6-071320</x:v>
      </x:c>
      <x:c r="B447" s="13" t="str">
        <x:v>071320</x:v>
      </x:c>
      <x:c r="C447" s="13" t="str">
        <x:v>07</x:v>
      </x:c>
      <x:c r="D447" s="13" t="str">
        <x:v>TRILATERAL_SPLIT_MERGE</x:v>
      </x:c>
      <x:c r="E447" s="13" t="str">
        <x:v>Pending</x:v>
      </x:c>
      <x:c r="F447" s="13" t="n">
        <x:v>4</x:v>
      </x:c>
      <x:c r="G447" s="13" t="n">
        <x:v>1</x:v>
      </x:c>
      <x:c r="H447" s="13" t="n">
        <x:v>1</x:v>
      </x:c>
      <x:c r="I447" s="13" t="str">
        <x:v>0713201000; 0713202015; 0713202025; 0713202075</x:v>
      </x:c>
      <x:c r="J447" s="13" t="str">
        <x:v>0713200100</x:v>
      </x:c>
      <x:c r="K447" s="13" t="str">
        <x:v>07132000</x:v>
      </x:c>
      <x:c r="L447" s="13" t="str">
        <x:v>UNRESOLVED</x:v>
      </x:c>
      <x:c r="M447" s="13" t="str"/>
      <x:c r="N447" s="13" t="str">
        <x:v>NO / DEFAULT</x:v>
      </x:c>
      <x:c r="O447" s="13" t="str"/>
      <x:c r="P447" s="13" t="str">
        <x:v>NO / DEFAULT</x:v>
      </x:c>
      <x:c r="Q447" s="13" t="str"/>
      <x:c r="R447" s="13" t="str">
        <x:v>INDEPENDENT / DEFAULT</x:v>
      </x:c>
      <x:c r="S447" s="13" t="str"/>
      <x:c r="T447" s="13" t="str">
        <x:v>UNRESOLVED</x:v>
      </x:c>
      <x:c r="U447" s="13" t="str"/>
      <x:c r="V447" s="13" t="str"/>
      <x:c r="W447" s="13" t="str"/>
      <x:c r="X447" s="13" t="str">
        <x:f>IF(L447&lt;&gt;"COVERED","HELD — COVERAGE",IF(N447="YES — SENSITIVE","C ACTIONABLE","CHAPTER 5 DEFAULT"))</x:f>
        <x:v>HELD — COVERAGE</x:v>
      </x:c>
      <x:c r="Y447" s="13" t="str">
        <x:f>IF(L447&lt;&gt;"COVERED","HELD — COVERAGE",IF(P447="YES — MANAGED ACCESS","D ACTIONABLE","NO D FIELD"))</x:f>
        <x:v>HELD — COVERAGE</x:v>
      </x:c>
      <x:c r="Z447" s="13" t="str">
        <x:f>IF(L447&lt;&gt;"COVERED","HELD — COVERAGE",IF(OR(R447="PAIRED SYNCHRONIZED",R447="TRILATERAL SYNCHRONIZED"),"E ACTIONABLE","INDEPENDENT"))</x:f>
        <x:v>HELD — COVERAGE</x:v>
      </x:c>
      <x:c r="AA447" s="13" t="str">
        <x:f>IF(L447&lt;&gt;"COVERED","HELD — COVERAGE","WAIT FOR UPSTREAM COMPLETION")</x:f>
        <x:v>HELD — COVERAGE</x:v>
      </x:c>
      <x:c r="AB447" s="13" t="str">
        <x:f>IF(L447&lt;&gt;"COVERED","HELD — COVERAGE",IF(T447="UNRESOLVED","G DECISION REQUIRED",IF(T447="NOT APPLICABLE","G N/A","G ACTIONABLE")))</x:f>
        <x:v>HELD — COVERAGE</x:v>
      </x:c>
      <x:c r="AC447" s="13" t="str">
        <x:f>IF(L447="UNRESOLVED","COVERAGE FIRST",IF(OR(L447="EXCLUDED",L447="OUT OF SCOPE"),"CLOSED BY COVERAGE",IF(AND(L447="COVERED",T447&lt;&gt;"UNRESOLVED"),"PARTIALLY ADOPTED","DECISIONS REMAIN")))</x:f>
        <x:v>COVERAGE FIRST</x:v>
      </x:c>
    </x:row>
    <x:row r="448">
      <x:c r="A448" s="13" t="str">
        <x:v>NAAFTC-HS6-071331</x:v>
      </x:c>
      <x:c r="B448" s="13" t="str">
        <x:v>071331</x:v>
      </x:c>
      <x:c r="C448" s="13" t="str">
        <x:v>07</x:v>
      </x:c>
      <x:c r="D448" s="13" t="str">
        <x:v>TRILATERAL_SPLIT_MERGE</x:v>
      </x:c>
      <x:c r="E448" s="13" t="str">
        <x:v>Pending</x:v>
      </x:c>
      <x:c r="F448" s="13" t="n">
        <x:v>3</x:v>
      </x:c>
      <x:c r="G448" s="13" t="n">
        <x:v>1</x:v>
      </x:c>
      <x:c r="H448" s="13" t="n">
        <x:v>2</x:v>
      </x:c>
      <x:c r="I448" s="13" t="str">
        <x:v>0713311000; 0713312000; 0713314000</x:v>
      </x:c>
      <x:c r="J448" s="13" t="str">
        <x:v>0713310100</x:v>
      </x:c>
      <x:c r="K448" s="13" t="str">
        <x:v>07133110; 0713319000</x:v>
      </x:c>
      <x:c r="L448" s="13" t="str">
        <x:v>UNRESOLVED</x:v>
      </x:c>
      <x:c r="M448" s="13" t="str"/>
      <x:c r="N448" s="13" t="str">
        <x:v>NO / DEFAULT</x:v>
      </x:c>
      <x:c r="O448" s="13" t="str"/>
      <x:c r="P448" s="13" t="str">
        <x:v>NO / DEFAULT</x:v>
      </x:c>
      <x:c r="Q448" s="13" t="str"/>
      <x:c r="R448" s="13" t="str">
        <x:v>INDEPENDENT / DEFAULT</x:v>
      </x:c>
      <x:c r="S448" s="13" t="str"/>
      <x:c r="T448" s="13" t="str">
        <x:v>UNRESOLVED</x:v>
      </x:c>
      <x:c r="U448" s="13" t="str"/>
      <x:c r="V448" s="13" t="str"/>
      <x:c r="W448" s="13" t="str"/>
      <x:c r="X448" s="13" t="str">
        <x:f>IF(L448&lt;&gt;"COVERED","HELD — COVERAGE",IF(N448="YES — SENSITIVE","C ACTIONABLE","CHAPTER 5 DEFAULT"))</x:f>
        <x:v>HELD — COVERAGE</x:v>
      </x:c>
      <x:c r="Y448" s="13" t="str">
        <x:f>IF(L448&lt;&gt;"COVERED","HELD — COVERAGE",IF(P448="YES — MANAGED ACCESS","D ACTIONABLE","NO D FIELD"))</x:f>
        <x:v>HELD — COVERAGE</x:v>
      </x:c>
      <x:c r="Z448" s="13" t="str">
        <x:f>IF(L448&lt;&gt;"COVERED","HELD — COVERAGE",IF(OR(R448="PAIRED SYNCHRONIZED",R448="TRILATERAL SYNCHRONIZED"),"E ACTIONABLE","INDEPENDENT"))</x:f>
        <x:v>HELD — COVERAGE</x:v>
      </x:c>
      <x:c r="AA448" s="13" t="str">
        <x:f>IF(L448&lt;&gt;"COVERED","HELD — COVERAGE","WAIT FOR UPSTREAM COMPLETION")</x:f>
        <x:v>HELD — COVERAGE</x:v>
      </x:c>
      <x:c r="AB448" s="13" t="str">
        <x:f>IF(L448&lt;&gt;"COVERED","HELD — COVERAGE",IF(T448="UNRESOLVED","G DECISION REQUIRED",IF(T448="NOT APPLICABLE","G N/A","G ACTIONABLE")))</x:f>
        <x:v>HELD — COVERAGE</x:v>
      </x:c>
      <x:c r="AC448" s="13" t="str">
        <x:f>IF(L448="UNRESOLVED","COVERAGE FIRST",IF(OR(L448="EXCLUDED",L448="OUT OF SCOPE"),"CLOSED BY COVERAGE",IF(AND(L448="COVERED",T448&lt;&gt;"UNRESOLVED"),"PARTIALLY ADOPTED","DECISIONS REMAIN")))</x:f>
        <x:v>COVERAGE FIRST</x:v>
      </x:c>
    </x:row>
    <x:row r="449">
      <x:c r="A449" s="13" t="str">
        <x:v>NAAFTC-HS6-071332</x:v>
      </x:c>
      <x:c r="B449" s="13" t="str">
        <x:v>071332</x:v>
      </x:c>
      <x:c r="C449" s="13" t="str">
        <x:v>07</x:v>
      </x:c>
      <x:c r="D449" s="13" t="str">
        <x:v>TRILATERAL_SPLIT_MERGE</x:v>
      </x:c>
      <x:c r="E449" s="13" t="str">
        <x:v>Pending</x:v>
      </x:c>
      <x:c r="F449" s="13" t="n">
        <x:v>2</x:v>
      </x:c>
      <x:c r="G449" s="13" t="n">
        <x:v>1</x:v>
      </x:c>
      <x:c r="H449" s="13" t="n">
        <x:v>1</x:v>
      </x:c>
      <x:c r="I449" s="13" t="str">
        <x:v>0713321000; 0713322000</x:v>
      </x:c>
      <x:c r="J449" s="13" t="str">
        <x:v>0713320100</x:v>
      </x:c>
      <x:c r="K449" s="13" t="str">
        <x:v>0713320000</x:v>
      </x:c>
      <x:c r="L449" s="13" t="str">
        <x:v>UNRESOLVED</x:v>
      </x:c>
      <x:c r="M449" s="13" t="str"/>
      <x:c r="N449" s="13" t="str">
        <x:v>NO / DEFAULT</x:v>
      </x:c>
      <x:c r="O449" s="13" t="str"/>
      <x:c r="P449" s="13" t="str">
        <x:v>NO / DEFAULT</x:v>
      </x:c>
      <x:c r="Q449" s="13" t="str"/>
      <x:c r="R449" s="13" t="str">
        <x:v>INDEPENDENT / DEFAULT</x:v>
      </x:c>
      <x:c r="S449" s="13" t="str"/>
      <x:c r="T449" s="13" t="str">
        <x:v>UNRESOLVED</x:v>
      </x:c>
      <x:c r="U449" s="13" t="str"/>
      <x:c r="V449" s="13" t="str"/>
      <x:c r="W449" s="13" t="str"/>
      <x:c r="X449" s="13" t="str">
        <x:f>IF(L449&lt;&gt;"COVERED","HELD — COVERAGE",IF(N449="YES — SENSITIVE","C ACTIONABLE","CHAPTER 5 DEFAULT"))</x:f>
        <x:v>HELD — COVERAGE</x:v>
      </x:c>
      <x:c r="Y449" s="13" t="str">
        <x:f>IF(L449&lt;&gt;"COVERED","HELD — COVERAGE",IF(P449="YES — MANAGED ACCESS","D ACTIONABLE","NO D FIELD"))</x:f>
        <x:v>HELD — COVERAGE</x:v>
      </x:c>
      <x:c r="Z449" s="13" t="str">
        <x:f>IF(L449&lt;&gt;"COVERED","HELD — COVERAGE",IF(OR(R449="PAIRED SYNCHRONIZED",R449="TRILATERAL SYNCHRONIZED"),"E ACTIONABLE","INDEPENDENT"))</x:f>
        <x:v>HELD — COVERAGE</x:v>
      </x:c>
      <x:c r="AA449" s="13" t="str">
        <x:f>IF(L449&lt;&gt;"COVERED","HELD — COVERAGE","WAIT FOR UPSTREAM COMPLETION")</x:f>
        <x:v>HELD — COVERAGE</x:v>
      </x:c>
      <x:c r="AB449" s="13" t="str">
        <x:f>IF(L449&lt;&gt;"COVERED","HELD — COVERAGE",IF(T449="UNRESOLVED","G DECISION REQUIRED",IF(T449="NOT APPLICABLE","G N/A","G ACTIONABLE")))</x:f>
        <x:v>HELD — COVERAGE</x:v>
      </x:c>
      <x:c r="AC449" s="13" t="str">
        <x:f>IF(L449="UNRESOLVED","COVERAGE FIRST",IF(OR(L449="EXCLUDED",L449="OUT OF SCOPE"),"CLOSED BY COVERAGE",IF(AND(L449="COVERED",T449&lt;&gt;"UNRESOLVED"),"PARTIALLY ADOPTED","DECISIONS REMAIN")))</x:f>
        <x:v>COVERAGE FIRST</x:v>
      </x:c>
    </x:row>
    <x:row r="450">
      <x:c r="A450" s="13" t="str">
        <x:v>NAAFTC-HS6-071333</x:v>
      </x:c>
      <x:c r="B450" s="13" t="str">
        <x:v>071333</x:v>
      </x:c>
      <x:c r="C450" s="13" t="str">
        <x:v>07</x:v>
      </x:c>
      <x:c r="D450" s="13" t="str">
        <x:v>TRILATERAL_SPLIT_MERGE</x:v>
      </x:c>
      <x:c r="E450" s="13" t="str">
        <x:v>Pending</x:v>
      </x:c>
      <x:c r="F450" s="13" t="n">
        <x:v>10</x:v>
      </x:c>
      <x:c r="G450" s="13" t="n">
        <x:v>4</x:v>
      </x:c>
      <x:c r="H450" s="13" t="n">
        <x:v>1</x:v>
      </x:c>
      <x:c r="I450" s="13" t="str">
        <x:v>0713331020; 0713331040; 0713332020; 0713332030; 0713332050; 0713332090; +4 more</x:v>
      </x:c>
      <x:c r="J450" s="13" t="str">
        <x:v>0713330100; 0713339901; 0713339902; 0713339999</x:v>
      </x:c>
      <x:c r="K450" s="13" t="str">
        <x:v>07133300</x:v>
      </x:c>
      <x:c r="L450" s="13" t="str">
        <x:v>UNRESOLVED</x:v>
      </x:c>
      <x:c r="M450" s="13" t="str"/>
      <x:c r="N450" s="13" t="str">
        <x:v>NO / DEFAULT</x:v>
      </x:c>
      <x:c r="O450" s="13" t="str"/>
      <x:c r="P450" s="13" t="str">
        <x:v>NO / DEFAULT</x:v>
      </x:c>
      <x:c r="Q450" s="13" t="str"/>
      <x:c r="R450" s="13" t="str">
        <x:v>INDEPENDENT / DEFAULT</x:v>
      </x:c>
      <x:c r="S450" s="13" t="str"/>
      <x:c r="T450" s="13" t="str">
        <x:v>UNRESOLVED</x:v>
      </x:c>
      <x:c r="U450" s="13" t="str"/>
      <x:c r="V450" s="13" t="str"/>
      <x:c r="W450" s="13" t="str"/>
      <x:c r="X450" s="13" t="str">
        <x:f>IF(L450&lt;&gt;"COVERED","HELD — COVERAGE",IF(N450="YES — SENSITIVE","C ACTIONABLE","CHAPTER 5 DEFAULT"))</x:f>
        <x:v>HELD — COVERAGE</x:v>
      </x:c>
      <x:c r="Y450" s="13" t="str">
        <x:f>IF(L450&lt;&gt;"COVERED","HELD — COVERAGE",IF(P450="YES — MANAGED ACCESS","D ACTIONABLE","NO D FIELD"))</x:f>
        <x:v>HELD — COVERAGE</x:v>
      </x:c>
      <x:c r="Z450" s="13" t="str">
        <x:f>IF(L450&lt;&gt;"COVERED","HELD — COVERAGE",IF(OR(R450="PAIRED SYNCHRONIZED",R450="TRILATERAL SYNCHRONIZED"),"E ACTIONABLE","INDEPENDENT"))</x:f>
        <x:v>HELD — COVERAGE</x:v>
      </x:c>
      <x:c r="AA450" s="13" t="str">
        <x:f>IF(L450&lt;&gt;"COVERED","HELD — COVERAGE","WAIT FOR UPSTREAM COMPLETION")</x:f>
        <x:v>HELD — COVERAGE</x:v>
      </x:c>
      <x:c r="AB450" s="13" t="str">
        <x:f>IF(L450&lt;&gt;"COVERED","HELD — COVERAGE",IF(T450="UNRESOLVED","G DECISION REQUIRED",IF(T450="NOT APPLICABLE","G N/A","G ACTIONABLE")))</x:f>
        <x:v>HELD — COVERAGE</x:v>
      </x:c>
      <x:c r="AC450" s="13" t="str">
        <x:f>IF(L450="UNRESOLVED","COVERAGE FIRST",IF(OR(L450="EXCLUDED",L450="OUT OF SCOPE"),"CLOSED BY COVERAGE",IF(AND(L450="COVERED",T450&lt;&gt;"UNRESOLVED"),"PARTIALLY ADOPTED","DECISIONS REMAIN")))</x:f>
        <x:v>COVERAGE FIRST</x:v>
      </x:c>
    </x:row>
    <x:row r="451">
      <x:c r="A451" s="13" t="str">
        <x:v>NAAFTC-HS6-071334</x:v>
      </x:c>
      <x:c r="B451" s="13" t="str">
        <x:v>071334</x:v>
      </x:c>
      <x:c r="C451" s="13" t="str">
        <x:v>07</x:v>
      </x:c>
      <x:c r="D451" s="13" t="str">
        <x:v>TRILATERAL_SPLIT_MERGE</x:v>
      </x:c>
      <x:c r="E451" s="13" t="str">
        <x:v>Pending</x:v>
      </x:c>
      <x:c r="F451" s="13" t="n">
        <x:v>3</x:v>
      </x:c>
      <x:c r="G451" s="13" t="n">
        <x:v>1</x:v>
      </x:c>
      <x:c r="H451" s="13" t="n">
        <x:v>1</x:v>
      </x:c>
      <x:c r="I451" s="13" t="str">
        <x:v>0713341000; 0713342000; 0713344000</x:v>
      </x:c>
      <x:c r="J451" s="13" t="str">
        <x:v>0713340100</x:v>
      </x:c>
      <x:c r="K451" s="13" t="str">
        <x:v>0713340000</x:v>
      </x:c>
      <x:c r="L451" s="13" t="str">
        <x:v>UNRESOLVED</x:v>
      </x:c>
      <x:c r="M451" s="13" t="str"/>
      <x:c r="N451" s="13" t="str">
        <x:v>NO / DEFAULT</x:v>
      </x:c>
      <x:c r="O451" s="13" t="str"/>
      <x:c r="P451" s="13" t="str">
        <x:v>NO / DEFAULT</x:v>
      </x:c>
      <x:c r="Q451" s="13" t="str"/>
      <x:c r="R451" s="13" t="str">
        <x:v>INDEPENDENT / DEFAULT</x:v>
      </x:c>
      <x:c r="S451" s="13" t="str"/>
      <x:c r="T451" s="13" t="str">
        <x:v>UNRESOLVED</x:v>
      </x:c>
      <x:c r="U451" s="13" t="str"/>
      <x:c r="V451" s="13" t="str"/>
      <x:c r="W451" s="13" t="str"/>
      <x:c r="X451" s="13" t="str">
        <x:f>IF(L451&lt;&gt;"COVERED","HELD — COVERAGE",IF(N451="YES — SENSITIVE","C ACTIONABLE","CHAPTER 5 DEFAULT"))</x:f>
        <x:v>HELD — COVERAGE</x:v>
      </x:c>
      <x:c r="Y451" s="13" t="str">
        <x:f>IF(L451&lt;&gt;"COVERED","HELD — COVERAGE",IF(P451="YES — MANAGED ACCESS","D ACTIONABLE","NO D FIELD"))</x:f>
        <x:v>HELD — COVERAGE</x:v>
      </x:c>
      <x:c r="Z451" s="13" t="str">
        <x:f>IF(L451&lt;&gt;"COVERED","HELD — COVERAGE",IF(OR(R451="PAIRED SYNCHRONIZED",R451="TRILATERAL SYNCHRONIZED"),"E ACTIONABLE","INDEPENDENT"))</x:f>
        <x:v>HELD — COVERAGE</x:v>
      </x:c>
      <x:c r="AA451" s="13" t="str">
        <x:f>IF(L451&lt;&gt;"COVERED","HELD — COVERAGE","WAIT FOR UPSTREAM COMPLETION")</x:f>
        <x:v>HELD — COVERAGE</x:v>
      </x:c>
      <x:c r="AB451" s="13" t="str">
        <x:f>IF(L451&lt;&gt;"COVERED","HELD — COVERAGE",IF(T451="UNRESOLVED","G DECISION REQUIRED",IF(T451="NOT APPLICABLE","G N/A","G ACTIONABLE")))</x:f>
        <x:v>HELD — COVERAGE</x:v>
      </x:c>
      <x:c r="AC451" s="13" t="str">
        <x:f>IF(L451="UNRESOLVED","COVERAGE FIRST",IF(OR(L451="EXCLUDED",L451="OUT OF SCOPE"),"CLOSED BY COVERAGE",IF(AND(L451="COVERED",T451&lt;&gt;"UNRESOLVED"),"PARTIALLY ADOPTED","DECISIONS REMAIN")))</x:f>
        <x:v>COVERAGE FIRST</x:v>
      </x:c>
    </x:row>
    <x:row r="452">
      <x:c r="A452" s="13" t="str">
        <x:v>NAAFTC-HS6-071335</x:v>
      </x:c>
      <x:c r="B452" s="13" t="str">
        <x:v>071335</x:v>
      </x:c>
      <x:c r="C452" s="13" t="str">
        <x:v>07</x:v>
      </x:c>
      <x:c r="D452" s="13" t="str">
        <x:v>TRILATERAL_1_TO_1_TO_1</x:v>
      </x:c>
      <x:c r="E452" s="13" t="str">
        <x:v>Pending</x:v>
      </x:c>
      <x:c r="F452" s="13" t="n">
        <x:v>1</x:v>
      </x:c>
      <x:c r="G452" s="13" t="n">
        <x:v>1</x:v>
      </x:c>
      <x:c r="H452" s="13" t="n">
        <x:v>1</x:v>
      </x:c>
      <x:c r="I452" s="13" t="str">
        <x:v>0713350000</x:v>
      </x:c>
      <x:c r="J452" s="13" t="str">
        <x:v>0713350100</x:v>
      </x:c>
      <x:c r="K452" s="13" t="str">
        <x:v>0713350000</x:v>
      </x:c>
      <x:c r="L452" s="13" t="str">
        <x:v>UNRESOLVED</x:v>
      </x:c>
      <x:c r="M452" s="13" t="str"/>
      <x:c r="N452" s="13" t="str">
        <x:v>NO / DEFAULT</x:v>
      </x:c>
      <x:c r="O452" s="13" t="str"/>
      <x:c r="P452" s="13" t="str">
        <x:v>NO / DEFAULT</x:v>
      </x:c>
      <x:c r="Q452" s="13" t="str"/>
      <x:c r="R452" s="13" t="str">
        <x:v>INDEPENDENT / DEFAULT</x:v>
      </x:c>
      <x:c r="S452" s="13" t="str"/>
      <x:c r="T452" s="13" t="str">
        <x:v>UNRESOLVED</x:v>
      </x:c>
      <x:c r="U452" s="13" t="str"/>
      <x:c r="V452" s="13" t="str"/>
      <x:c r="W452" s="13" t="str"/>
      <x:c r="X452" s="13" t="str">
        <x:f>IF(L452&lt;&gt;"COVERED","HELD — COVERAGE",IF(N452="YES — SENSITIVE","C ACTIONABLE","CHAPTER 5 DEFAULT"))</x:f>
        <x:v>HELD — COVERAGE</x:v>
      </x:c>
      <x:c r="Y452" s="13" t="str">
        <x:f>IF(L452&lt;&gt;"COVERED","HELD — COVERAGE",IF(P452="YES — MANAGED ACCESS","D ACTIONABLE","NO D FIELD"))</x:f>
        <x:v>HELD — COVERAGE</x:v>
      </x:c>
      <x:c r="Z452" s="13" t="str">
        <x:f>IF(L452&lt;&gt;"COVERED","HELD — COVERAGE",IF(OR(R452="PAIRED SYNCHRONIZED",R452="TRILATERAL SYNCHRONIZED"),"E ACTIONABLE","INDEPENDENT"))</x:f>
        <x:v>HELD — COVERAGE</x:v>
      </x:c>
      <x:c r="AA452" s="13" t="str">
        <x:f>IF(L452&lt;&gt;"COVERED","HELD — COVERAGE","WAIT FOR UPSTREAM COMPLETION")</x:f>
        <x:v>HELD — COVERAGE</x:v>
      </x:c>
      <x:c r="AB452" s="13" t="str">
        <x:f>IF(L452&lt;&gt;"COVERED","HELD — COVERAGE",IF(T452="UNRESOLVED","G DECISION REQUIRED",IF(T452="NOT APPLICABLE","G N/A","G ACTIONABLE")))</x:f>
        <x:v>HELD — COVERAGE</x:v>
      </x:c>
      <x:c r="AC452" s="13" t="str">
        <x:f>IF(L452="UNRESOLVED","COVERAGE FIRST",IF(OR(L452="EXCLUDED",L452="OUT OF SCOPE"),"CLOSED BY COVERAGE",IF(AND(L452="COVERED",T452&lt;&gt;"UNRESOLVED"),"PARTIALLY ADOPTED","DECISIONS REMAIN")))</x:f>
        <x:v>COVERAGE FIRST</x:v>
      </x:c>
    </x:row>
    <x:row r="453">
      <x:c r="A453" s="13" t="str">
        <x:v>NAAFTC-HS6-071339</x:v>
      </x:c>
      <x:c r="B453" s="13" t="str">
        <x:v>071339</x:v>
      </x:c>
      <x:c r="C453" s="13" t="str">
        <x:v>07</x:v>
      </x:c>
      <x:c r="D453" s="13" t="str">
        <x:v>TRILATERAL_SPLIT_MERGE</x:v>
      </x:c>
      <x:c r="E453" s="13" t="str">
        <x:v>Pending</x:v>
      </x:c>
      <x:c r="F453" s="13" t="n">
        <x:v>16</x:v>
      </x:c>
      <x:c r="G453" s="13" t="n">
        <x:v>1</x:v>
      </x:c>
      <x:c r="H453" s="13" t="n">
        <x:v>1</x:v>
      </x:c>
      <x:c r="I453" s="13" t="str">
        <x:v>0713391110; 0713391190; 0713392110; 0713392120; 0713392130; 0713392140; +10 more</x:v>
      </x:c>
      <x:c r="J453" s="13" t="str">
        <x:v>0713399900</x:v>
      </x:c>
      <x:c r="K453" s="13" t="str">
        <x:v>07133900</x:v>
      </x:c>
      <x:c r="L453" s="13" t="str">
        <x:v>UNRESOLVED</x:v>
      </x:c>
      <x:c r="M453" s="13" t="str"/>
      <x:c r="N453" s="13" t="str">
        <x:v>NO / DEFAULT</x:v>
      </x:c>
      <x:c r="O453" s="13" t="str"/>
      <x:c r="P453" s="13" t="str">
        <x:v>NO / DEFAULT</x:v>
      </x:c>
      <x:c r="Q453" s="13" t="str"/>
      <x:c r="R453" s="13" t="str">
        <x:v>INDEPENDENT / DEFAULT</x:v>
      </x:c>
      <x:c r="S453" s="13" t="str"/>
      <x:c r="T453" s="13" t="str">
        <x:v>UNRESOLVED</x:v>
      </x:c>
      <x:c r="U453" s="13" t="str"/>
      <x:c r="V453" s="13" t="str"/>
      <x:c r="W453" s="13" t="str"/>
      <x:c r="X453" s="13" t="str">
        <x:f>IF(L453&lt;&gt;"COVERED","HELD — COVERAGE",IF(N453="YES — SENSITIVE","C ACTIONABLE","CHAPTER 5 DEFAULT"))</x:f>
        <x:v>HELD — COVERAGE</x:v>
      </x:c>
      <x:c r="Y453" s="13" t="str">
        <x:f>IF(L453&lt;&gt;"COVERED","HELD — COVERAGE",IF(P453="YES — MANAGED ACCESS","D ACTIONABLE","NO D FIELD"))</x:f>
        <x:v>HELD — COVERAGE</x:v>
      </x:c>
      <x:c r="Z453" s="13" t="str">
        <x:f>IF(L453&lt;&gt;"COVERED","HELD — COVERAGE",IF(OR(R453="PAIRED SYNCHRONIZED",R453="TRILATERAL SYNCHRONIZED"),"E ACTIONABLE","INDEPENDENT"))</x:f>
        <x:v>HELD — COVERAGE</x:v>
      </x:c>
      <x:c r="AA453" s="13" t="str">
        <x:f>IF(L453&lt;&gt;"COVERED","HELD — COVERAGE","WAIT FOR UPSTREAM COMPLETION")</x:f>
        <x:v>HELD — COVERAGE</x:v>
      </x:c>
      <x:c r="AB453" s="13" t="str">
        <x:f>IF(L453&lt;&gt;"COVERED","HELD — COVERAGE",IF(T453="UNRESOLVED","G DECISION REQUIRED",IF(T453="NOT APPLICABLE","G N/A","G ACTIONABLE")))</x:f>
        <x:v>HELD — COVERAGE</x:v>
      </x:c>
      <x:c r="AC453" s="13" t="str">
        <x:f>IF(L453="UNRESOLVED","COVERAGE FIRST",IF(OR(L453="EXCLUDED",L453="OUT OF SCOPE"),"CLOSED BY COVERAGE",IF(AND(L453="COVERED",T453&lt;&gt;"UNRESOLVED"),"PARTIALLY ADOPTED","DECISIONS REMAIN")))</x:f>
        <x:v>COVERAGE FIRST</x:v>
      </x:c>
    </x:row>
    <x:row r="454">
      <x:c r="A454" s="13" t="str">
        <x:v>NAAFTC-HS6-071340</x:v>
      </x:c>
      <x:c r="B454" s="13" t="str">
        <x:v>071340</x:v>
      </x:c>
      <x:c r="C454" s="13" t="str">
        <x:v>07</x:v>
      </x:c>
      <x:c r="D454" s="13" t="str">
        <x:v>TRILATERAL_SPLIT_MERGE</x:v>
      </x:c>
      <x:c r="E454" s="13" t="str">
        <x:v>Pending</x:v>
      </x:c>
      <x:c r="F454" s="13" t="n">
        <x:v>7</x:v>
      </x:c>
      <x:c r="G454" s="13" t="n">
        <x:v>1</x:v>
      </x:c>
      <x:c r="H454" s="13" t="n">
        <x:v>1</x:v>
      </x:c>
      <x:c r="I454" s="13" t="str">
        <x:v>0713401000; 0713402015; 0713402020; 0713402035; 0713402050; 0713402065; +1 more</x:v>
      </x:c>
      <x:c r="J454" s="13" t="str">
        <x:v>0713400100</x:v>
      </x:c>
      <x:c r="K454" s="13" t="str">
        <x:v>07134000</x:v>
      </x:c>
      <x:c r="L454" s="13" t="str">
        <x:v>UNRESOLVED</x:v>
      </x:c>
      <x:c r="M454" s="13" t="str"/>
      <x:c r="N454" s="13" t="str">
        <x:v>NO / DEFAULT</x:v>
      </x:c>
      <x:c r="O454" s="13" t="str"/>
      <x:c r="P454" s="13" t="str">
        <x:v>NO / DEFAULT</x:v>
      </x:c>
      <x:c r="Q454" s="13" t="str"/>
      <x:c r="R454" s="13" t="str">
        <x:v>INDEPENDENT / DEFAULT</x:v>
      </x:c>
      <x:c r="S454" s="13" t="str"/>
      <x:c r="T454" s="13" t="str">
        <x:v>UNRESOLVED</x:v>
      </x:c>
      <x:c r="U454" s="13" t="str"/>
      <x:c r="V454" s="13" t="str"/>
      <x:c r="W454" s="13" t="str"/>
      <x:c r="X454" s="13" t="str">
        <x:f>IF(L454&lt;&gt;"COVERED","HELD — COVERAGE",IF(N454="YES — SENSITIVE","C ACTIONABLE","CHAPTER 5 DEFAULT"))</x:f>
        <x:v>HELD — COVERAGE</x:v>
      </x:c>
      <x:c r="Y454" s="13" t="str">
        <x:f>IF(L454&lt;&gt;"COVERED","HELD — COVERAGE",IF(P454="YES — MANAGED ACCESS","D ACTIONABLE","NO D FIELD"))</x:f>
        <x:v>HELD — COVERAGE</x:v>
      </x:c>
      <x:c r="Z454" s="13" t="str">
        <x:f>IF(L454&lt;&gt;"COVERED","HELD — COVERAGE",IF(OR(R454="PAIRED SYNCHRONIZED",R454="TRILATERAL SYNCHRONIZED"),"E ACTIONABLE","INDEPENDENT"))</x:f>
        <x:v>HELD — COVERAGE</x:v>
      </x:c>
      <x:c r="AA454" s="13" t="str">
        <x:f>IF(L454&lt;&gt;"COVERED","HELD — COVERAGE","WAIT FOR UPSTREAM COMPLETION")</x:f>
        <x:v>HELD — COVERAGE</x:v>
      </x:c>
      <x:c r="AB454" s="13" t="str">
        <x:f>IF(L454&lt;&gt;"COVERED","HELD — COVERAGE",IF(T454="UNRESOLVED","G DECISION REQUIRED",IF(T454="NOT APPLICABLE","G N/A","G ACTIONABLE")))</x:f>
        <x:v>HELD — COVERAGE</x:v>
      </x:c>
      <x:c r="AC454" s="13" t="str">
        <x:f>IF(L454="UNRESOLVED","COVERAGE FIRST",IF(OR(L454="EXCLUDED",L454="OUT OF SCOPE"),"CLOSED BY COVERAGE",IF(AND(L454="COVERED",T454&lt;&gt;"UNRESOLVED"),"PARTIALLY ADOPTED","DECISIONS REMAIN")))</x:f>
        <x:v>COVERAGE FIRST</x:v>
      </x:c>
    </x:row>
    <x:row r="455">
      <x:c r="A455" s="13" t="str">
        <x:v>NAAFTC-HS6-071350</x:v>
      </x:c>
      <x:c r="B455" s="13" t="str">
        <x:v>071350</x:v>
      </x:c>
      <x:c r="C455" s="13" t="str">
        <x:v>07</x:v>
      </x:c>
      <x:c r="D455" s="13" t="str">
        <x:v>TRILATERAL_SPLIT_MERGE</x:v>
      </x:c>
      <x:c r="E455" s="13" t="str">
        <x:v>Pending</x:v>
      </x:c>
      <x:c r="F455" s="13" t="n">
        <x:v>2</x:v>
      </x:c>
      <x:c r="G455" s="13" t="n">
        <x:v>1</x:v>
      </x:c>
      <x:c r="H455" s="13" t="n">
        <x:v>1</x:v>
      </x:c>
      <x:c r="I455" s="13" t="str">
        <x:v>0713501000; 0713502000</x:v>
      </x:c>
      <x:c r="J455" s="13" t="str">
        <x:v>0713500100</x:v>
      </x:c>
      <x:c r="K455" s="13" t="str">
        <x:v>0713500000</x:v>
      </x:c>
      <x:c r="L455" s="13" t="str">
        <x:v>UNRESOLVED</x:v>
      </x:c>
      <x:c r="M455" s="13" t="str"/>
      <x:c r="N455" s="13" t="str">
        <x:v>NO / DEFAULT</x:v>
      </x:c>
      <x:c r="O455" s="13" t="str"/>
      <x:c r="P455" s="13" t="str">
        <x:v>NO / DEFAULT</x:v>
      </x:c>
      <x:c r="Q455" s="13" t="str"/>
      <x:c r="R455" s="13" t="str">
        <x:v>INDEPENDENT / DEFAULT</x:v>
      </x:c>
      <x:c r="S455" s="13" t="str"/>
      <x:c r="T455" s="13" t="str">
        <x:v>UNRESOLVED</x:v>
      </x:c>
      <x:c r="U455" s="13" t="str"/>
      <x:c r="V455" s="13" t="str"/>
      <x:c r="W455" s="13" t="str"/>
      <x:c r="X455" s="13" t="str">
        <x:f>IF(L455&lt;&gt;"COVERED","HELD — COVERAGE",IF(N455="YES — SENSITIVE","C ACTIONABLE","CHAPTER 5 DEFAULT"))</x:f>
        <x:v>HELD — COVERAGE</x:v>
      </x:c>
      <x:c r="Y455" s="13" t="str">
        <x:f>IF(L455&lt;&gt;"COVERED","HELD — COVERAGE",IF(P455="YES — MANAGED ACCESS","D ACTIONABLE","NO D FIELD"))</x:f>
        <x:v>HELD — COVERAGE</x:v>
      </x:c>
      <x:c r="Z455" s="13" t="str">
        <x:f>IF(L455&lt;&gt;"COVERED","HELD — COVERAGE",IF(OR(R455="PAIRED SYNCHRONIZED",R455="TRILATERAL SYNCHRONIZED"),"E ACTIONABLE","INDEPENDENT"))</x:f>
        <x:v>HELD — COVERAGE</x:v>
      </x:c>
      <x:c r="AA455" s="13" t="str">
        <x:f>IF(L455&lt;&gt;"COVERED","HELD — COVERAGE","WAIT FOR UPSTREAM COMPLETION")</x:f>
        <x:v>HELD — COVERAGE</x:v>
      </x:c>
      <x:c r="AB455" s="13" t="str">
        <x:f>IF(L455&lt;&gt;"COVERED","HELD — COVERAGE",IF(T455="UNRESOLVED","G DECISION REQUIRED",IF(T455="NOT APPLICABLE","G N/A","G ACTIONABLE")))</x:f>
        <x:v>HELD — COVERAGE</x:v>
      </x:c>
      <x:c r="AC455" s="13" t="str">
        <x:f>IF(L455="UNRESOLVED","COVERAGE FIRST",IF(OR(L455="EXCLUDED",L455="OUT OF SCOPE"),"CLOSED BY COVERAGE",IF(AND(L455="COVERED",T455&lt;&gt;"UNRESOLVED"),"PARTIALLY ADOPTED","DECISIONS REMAIN")))</x:f>
        <x:v>COVERAGE FIRST</x:v>
      </x:c>
    </x:row>
    <x:row r="456">
      <x:c r="A456" s="13" t="str">
        <x:v>NAAFTC-HS6-071360</x:v>
      </x:c>
      <x:c r="B456" s="13" t="str">
        <x:v>071360</x:v>
      </x:c>
      <x:c r="C456" s="13" t="str">
        <x:v>07</x:v>
      </x:c>
      <x:c r="D456" s="13" t="str">
        <x:v>TRILATERAL_SPLIT_MERGE</x:v>
      </x:c>
      <x:c r="E456" s="13" t="str">
        <x:v>Pending</x:v>
      </x:c>
      <x:c r="F456" s="13" t="n">
        <x:v>3</x:v>
      </x:c>
      <x:c r="G456" s="13" t="n">
        <x:v>1</x:v>
      </x:c>
      <x:c r="H456" s="13" t="n">
        <x:v>1</x:v>
      </x:c>
      <x:c r="I456" s="13" t="str">
        <x:v>0713601000; 0713606000; 0713608000</x:v>
      </x:c>
      <x:c r="J456" s="13" t="str">
        <x:v>0713600100</x:v>
      </x:c>
      <x:c r="K456" s="13" t="str">
        <x:v>0713600000</x:v>
      </x:c>
      <x:c r="L456" s="13" t="str">
        <x:v>UNRESOLVED</x:v>
      </x:c>
      <x:c r="M456" s="13" t="str"/>
      <x:c r="N456" s="13" t="str">
        <x:v>NO / DEFAULT</x:v>
      </x:c>
      <x:c r="O456" s="13" t="str"/>
      <x:c r="P456" s="13" t="str">
        <x:v>NO / DEFAULT</x:v>
      </x:c>
      <x:c r="Q456" s="13" t="str"/>
      <x:c r="R456" s="13" t="str">
        <x:v>INDEPENDENT / DEFAULT</x:v>
      </x:c>
      <x:c r="S456" s="13" t="str"/>
      <x:c r="T456" s="13" t="str">
        <x:v>UNRESOLVED</x:v>
      </x:c>
      <x:c r="U456" s="13" t="str"/>
      <x:c r="V456" s="13" t="str"/>
      <x:c r="W456" s="13" t="str"/>
      <x:c r="X456" s="13" t="str">
        <x:f>IF(L456&lt;&gt;"COVERED","HELD — COVERAGE",IF(N456="YES — SENSITIVE","C ACTIONABLE","CHAPTER 5 DEFAULT"))</x:f>
        <x:v>HELD — COVERAGE</x:v>
      </x:c>
      <x:c r="Y456" s="13" t="str">
        <x:f>IF(L456&lt;&gt;"COVERED","HELD — COVERAGE",IF(P456="YES — MANAGED ACCESS","D ACTIONABLE","NO D FIELD"))</x:f>
        <x:v>HELD — COVERAGE</x:v>
      </x:c>
      <x:c r="Z456" s="13" t="str">
        <x:f>IF(L456&lt;&gt;"COVERED","HELD — COVERAGE",IF(OR(R456="PAIRED SYNCHRONIZED",R456="TRILATERAL SYNCHRONIZED"),"E ACTIONABLE","INDEPENDENT"))</x:f>
        <x:v>HELD — COVERAGE</x:v>
      </x:c>
      <x:c r="AA456" s="13" t="str">
        <x:f>IF(L456&lt;&gt;"COVERED","HELD — COVERAGE","WAIT FOR UPSTREAM COMPLETION")</x:f>
        <x:v>HELD — COVERAGE</x:v>
      </x:c>
      <x:c r="AB456" s="13" t="str">
        <x:f>IF(L456&lt;&gt;"COVERED","HELD — COVERAGE",IF(T456="UNRESOLVED","G DECISION REQUIRED",IF(T456="NOT APPLICABLE","G N/A","G ACTIONABLE")))</x:f>
        <x:v>HELD — COVERAGE</x:v>
      </x:c>
      <x:c r="AC456" s="13" t="str">
        <x:f>IF(L456="UNRESOLVED","COVERAGE FIRST",IF(OR(L456="EXCLUDED",L456="OUT OF SCOPE"),"CLOSED BY COVERAGE",IF(AND(L456="COVERED",T456&lt;&gt;"UNRESOLVED"),"PARTIALLY ADOPTED","DECISIONS REMAIN")))</x:f>
        <x:v>COVERAGE FIRST</x:v>
      </x:c>
    </x:row>
    <x:row r="457">
      <x:c r="A457" s="13" t="str">
        <x:v>NAAFTC-HS6-071390</x:v>
      </x:c>
      <x:c r="B457" s="13" t="str">
        <x:v>071390</x:v>
      </x:c>
      <x:c r="C457" s="13" t="str">
        <x:v>07</x:v>
      </x:c>
      <x:c r="D457" s="13" t="str">
        <x:v>TRILATERAL_SPLIT_MERGE</x:v>
      </x:c>
      <x:c r="E457" s="13" t="str">
        <x:v>Pending</x:v>
      </x:c>
      <x:c r="F457" s="13" t="n">
        <x:v>4</x:v>
      </x:c>
      <x:c r="G457" s="13" t="n">
        <x:v>1</x:v>
      </x:c>
      <x:c r="H457" s="13" t="n">
        <x:v>1</x:v>
      </x:c>
      <x:c r="I457" s="13" t="str">
        <x:v>0713901100; 0713905000; 0713906100; 0713908100</x:v>
      </x:c>
      <x:c r="J457" s="13" t="str">
        <x:v>0713909900</x:v>
      </x:c>
      <x:c r="K457" s="13" t="str">
        <x:v>0713900000</x:v>
      </x:c>
      <x:c r="L457" s="13" t="str">
        <x:v>UNRESOLVED</x:v>
      </x:c>
      <x:c r="M457" s="13" t="str"/>
      <x:c r="N457" s="13" t="str">
        <x:v>NO / DEFAULT</x:v>
      </x:c>
      <x:c r="O457" s="13" t="str"/>
      <x:c r="P457" s="13" t="str">
        <x:v>NO / DEFAULT</x:v>
      </x:c>
      <x:c r="Q457" s="13" t="str"/>
      <x:c r="R457" s="13" t="str">
        <x:v>INDEPENDENT / DEFAULT</x:v>
      </x:c>
      <x:c r="S457" s="13" t="str"/>
      <x:c r="T457" s="13" t="str">
        <x:v>UNRESOLVED</x:v>
      </x:c>
      <x:c r="U457" s="13" t="str"/>
      <x:c r="V457" s="13" t="str"/>
      <x:c r="W457" s="13" t="str"/>
      <x:c r="X457" s="13" t="str">
        <x:f>IF(L457&lt;&gt;"COVERED","HELD — COVERAGE",IF(N457="YES — SENSITIVE","C ACTIONABLE","CHAPTER 5 DEFAULT"))</x:f>
        <x:v>HELD — COVERAGE</x:v>
      </x:c>
      <x:c r="Y457" s="13" t="str">
        <x:f>IF(L457&lt;&gt;"COVERED","HELD — COVERAGE",IF(P457="YES — MANAGED ACCESS","D ACTIONABLE","NO D FIELD"))</x:f>
        <x:v>HELD — COVERAGE</x:v>
      </x:c>
      <x:c r="Z457" s="13" t="str">
        <x:f>IF(L457&lt;&gt;"COVERED","HELD — COVERAGE",IF(OR(R457="PAIRED SYNCHRONIZED",R457="TRILATERAL SYNCHRONIZED"),"E ACTIONABLE","INDEPENDENT"))</x:f>
        <x:v>HELD — COVERAGE</x:v>
      </x:c>
      <x:c r="AA457" s="13" t="str">
        <x:f>IF(L457&lt;&gt;"COVERED","HELD — COVERAGE","WAIT FOR UPSTREAM COMPLETION")</x:f>
        <x:v>HELD — COVERAGE</x:v>
      </x:c>
      <x:c r="AB457" s="13" t="str">
        <x:f>IF(L457&lt;&gt;"COVERED","HELD — COVERAGE",IF(T457="UNRESOLVED","G DECISION REQUIRED",IF(T457="NOT APPLICABLE","G N/A","G ACTIONABLE")))</x:f>
        <x:v>HELD — COVERAGE</x:v>
      </x:c>
      <x:c r="AC457" s="13" t="str">
        <x:f>IF(L457="UNRESOLVED","COVERAGE FIRST",IF(OR(L457="EXCLUDED",L457="OUT OF SCOPE"),"CLOSED BY COVERAGE",IF(AND(L457="COVERED",T457&lt;&gt;"UNRESOLVED"),"PARTIALLY ADOPTED","DECISIONS REMAIN")))</x:f>
        <x:v>COVERAGE FIRST</x:v>
      </x:c>
    </x:row>
    <x:row r="458">
      <x:c r="A458" s="13" t="str">
        <x:v>NAAFTC-HS6-071410</x:v>
      </x:c>
      <x:c r="B458" s="13" t="str">
        <x:v>071410</x:v>
      </x:c>
      <x:c r="C458" s="13" t="str">
        <x:v>07</x:v>
      </x:c>
      <x:c r="D458" s="13" t="str">
        <x:v>TRILATERAL_SPLIT_MERGE</x:v>
      </x:c>
      <x:c r="E458" s="13" t="str">
        <x:v>Pending</x:v>
      </x:c>
      <x:c r="F458" s="13" t="n">
        <x:v>2</x:v>
      </x:c>
      <x:c r="G458" s="13" t="n">
        <x:v>2</x:v>
      </x:c>
      <x:c r="H458" s="13" t="n">
        <x:v>1</x:v>
      </x:c>
      <x:c r="I458" s="13" t="str">
        <x:v>0714101000; 0714102000</x:v>
      </x:c>
      <x:c r="J458" s="13" t="str">
        <x:v>0714100100; 0714109900</x:v>
      </x:c>
      <x:c r="K458" s="13" t="str">
        <x:v>0714100000</x:v>
      </x:c>
      <x:c r="L458" s="13" t="str">
        <x:v>UNRESOLVED</x:v>
      </x:c>
      <x:c r="M458" s="13" t="str"/>
      <x:c r="N458" s="13" t="str">
        <x:v>NO / DEFAULT</x:v>
      </x:c>
      <x:c r="O458" s="13" t="str"/>
      <x:c r="P458" s="13" t="str">
        <x:v>NO / DEFAULT</x:v>
      </x:c>
      <x:c r="Q458" s="13" t="str"/>
      <x:c r="R458" s="13" t="str">
        <x:v>INDEPENDENT / DEFAULT</x:v>
      </x:c>
      <x:c r="S458" s="13" t="str"/>
      <x:c r="T458" s="13" t="str">
        <x:v>UNRESOLVED</x:v>
      </x:c>
      <x:c r="U458" s="13" t="str"/>
      <x:c r="V458" s="13" t="str"/>
      <x:c r="W458" s="13" t="str"/>
      <x:c r="X458" s="13" t="str">
        <x:f>IF(L458&lt;&gt;"COVERED","HELD — COVERAGE",IF(N458="YES — SENSITIVE","C ACTIONABLE","CHAPTER 5 DEFAULT"))</x:f>
        <x:v>HELD — COVERAGE</x:v>
      </x:c>
      <x:c r="Y458" s="13" t="str">
        <x:f>IF(L458&lt;&gt;"COVERED","HELD — COVERAGE",IF(P458="YES — MANAGED ACCESS","D ACTIONABLE","NO D FIELD"))</x:f>
        <x:v>HELD — COVERAGE</x:v>
      </x:c>
      <x:c r="Z458" s="13" t="str">
        <x:f>IF(L458&lt;&gt;"COVERED","HELD — COVERAGE",IF(OR(R458="PAIRED SYNCHRONIZED",R458="TRILATERAL SYNCHRONIZED"),"E ACTIONABLE","INDEPENDENT"))</x:f>
        <x:v>HELD — COVERAGE</x:v>
      </x:c>
      <x:c r="AA458" s="13" t="str">
        <x:f>IF(L458&lt;&gt;"COVERED","HELD — COVERAGE","WAIT FOR UPSTREAM COMPLETION")</x:f>
        <x:v>HELD — COVERAGE</x:v>
      </x:c>
      <x:c r="AB458" s="13" t="str">
        <x:f>IF(L458&lt;&gt;"COVERED","HELD — COVERAGE",IF(T458="UNRESOLVED","G DECISION REQUIRED",IF(T458="NOT APPLICABLE","G N/A","G ACTIONABLE")))</x:f>
        <x:v>HELD — COVERAGE</x:v>
      </x:c>
      <x:c r="AC458" s="13" t="str">
        <x:f>IF(L458="UNRESOLVED","COVERAGE FIRST",IF(OR(L458="EXCLUDED",L458="OUT OF SCOPE"),"CLOSED BY COVERAGE",IF(AND(L458="COVERED",T458&lt;&gt;"UNRESOLVED"),"PARTIALLY ADOPTED","DECISIONS REMAIN")))</x:f>
        <x:v>COVERAGE FIRST</x:v>
      </x:c>
    </x:row>
    <x:row r="459">
      <x:c r="A459" s="13" t="str">
        <x:v>NAAFTC-HS6-071420</x:v>
      </x:c>
      <x:c r="B459" s="13" t="str">
        <x:v>071420</x:v>
      </x:c>
      <x:c r="C459" s="13" t="str">
        <x:v>07</x:v>
      </x:c>
      <x:c r="D459" s="13" t="str">
        <x:v>TRILATERAL_SPLIT_MERGE</x:v>
      </x:c>
      <x:c r="E459" s="13" t="str">
        <x:v>Pending</x:v>
      </x:c>
      <x:c r="F459" s="13" t="n">
        <x:v>2</x:v>
      </x:c>
      <x:c r="G459" s="13" t="n">
        <x:v>2</x:v>
      </x:c>
      <x:c r="H459" s="13" t="n">
        <x:v>1</x:v>
      </x:c>
      <x:c r="I459" s="13" t="str">
        <x:v>0714201000; 0714202000</x:v>
      </x:c>
      <x:c r="J459" s="13" t="str">
        <x:v>0714200100; 0714209900</x:v>
      </x:c>
      <x:c r="K459" s="13" t="str">
        <x:v>0714200000</x:v>
      </x:c>
      <x:c r="L459" s="13" t="str">
        <x:v>UNRESOLVED</x:v>
      </x:c>
      <x:c r="M459" s="13" t="str"/>
      <x:c r="N459" s="13" t="str">
        <x:v>NO / DEFAULT</x:v>
      </x:c>
      <x:c r="O459" s="13" t="str"/>
      <x:c r="P459" s="13" t="str">
        <x:v>NO / DEFAULT</x:v>
      </x:c>
      <x:c r="Q459" s="13" t="str"/>
      <x:c r="R459" s="13" t="str">
        <x:v>INDEPENDENT / DEFAULT</x:v>
      </x:c>
      <x:c r="S459" s="13" t="str"/>
      <x:c r="T459" s="13" t="str">
        <x:v>UNRESOLVED</x:v>
      </x:c>
      <x:c r="U459" s="13" t="str"/>
      <x:c r="V459" s="13" t="str"/>
      <x:c r="W459" s="13" t="str"/>
      <x:c r="X459" s="13" t="str">
        <x:f>IF(L459&lt;&gt;"COVERED","HELD — COVERAGE",IF(N459="YES — SENSITIVE","C ACTIONABLE","CHAPTER 5 DEFAULT"))</x:f>
        <x:v>HELD — COVERAGE</x:v>
      </x:c>
      <x:c r="Y459" s="13" t="str">
        <x:f>IF(L459&lt;&gt;"COVERED","HELD — COVERAGE",IF(P459="YES — MANAGED ACCESS","D ACTIONABLE","NO D FIELD"))</x:f>
        <x:v>HELD — COVERAGE</x:v>
      </x:c>
      <x:c r="Z459" s="13" t="str">
        <x:f>IF(L459&lt;&gt;"COVERED","HELD — COVERAGE",IF(OR(R459="PAIRED SYNCHRONIZED",R459="TRILATERAL SYNCHRONIZED"),"E ACTIONABLE","INDEPENDENT"))</x:f>
        <x:v>HELD — COVERAGE</x:v>
      </x:c>
      <x:c r="AA459" s="13" t="str">
        <x:f>IF(L459&lt;&gt;"COVERED","HELD — COVERAGE","WAIT FOR UPSTREAM COMPLETION")</x:f>
        <x:v>HELD — COVERAGE</x:v>
      </x:c>
      <x:c r="AB459" s="13" t="str">
        <x:f>IF(L459&lt;&gt;"COVERED","HELD — COVERAGE",IF(T459="UNRESOLVED","G DECISION REQUIRED",IF(T459="NOT APPLICABLE","G N/A","G ACTIONABLE")))</x:f>
        <x:v>HELD — COVERAGE</x:v>
      </x:c>
      <x:c r="AC459" s="13" t="str">
        <x:f>IF(L459="UNRESOLVED","COVERAGE FIRST",IF(OR(L459="EXCLUDED",L459="OUT OF SCOPE"),"CLOSED BY COVERAGE",IF(AND(L459="COVERED",T459&lt;&gt;"UNRESOLVED"),"PARTIALLY ADOPTED","DECISIONS REMAIN")))</x:f>
        <x:v>COVERAGE FIRST</x:v>
      </x:c>
    </x:row>
    <x:row r="460">
      <x:c r="A460" s="13" t="str">
        <x:v>NAAFTC-HS6-071430</x:v>
      </x:c>
      <x:c r="B460" s="13" t="str">
        <x:v>071430</x:v>
      </x:c>
      <x:c r="C460" s="13" t="str">
        <x:v>07</x:v>
      </x:c>
      <x:c r="D460" s="13" t="str">
        <x:v>TRILATERAL_SPLIT_MERGE</x:v>
      </x:c>
      <x:c r="E460" s="13" t="str">
        <x:v>Pending</x:v>
      </x:c>
      <x:c r="F460" s="13" t="n">
        <x:v>4</x:v>
      </x:c>
      <x:c r="G460" s="13" t="n">
        <x:v>2</x:v>
      </x:c>
      <x:c r="H460" s="13" t="n">
        <x:v>1</x:v>
      </x:c>
      <x:c r="I460" s="13" t="str">
        <x:v>0714301000; 0714302000; 0714305000; 0714306000</x:v>
      </x:c>
      <x:c r="J460" s="13" t="str">
        <x:v>0714300100; 0714309900</x:v>
      </x:c>
      <x:c r="K460" s="13" t="str">
        <x:v>0714300000</x:v>
      </x:c>
      <x:c r="L460" s="13" t="str">
        <x:v>UNRESOLVED</x:v>
      </x:c>
      <x:c r="M460" s="13" t="str"/>
      <x:c r="N460" s="13" t="str">
        <x:v>NO / DEFAULT</x:v>
      </x:c>
      <x:c r="O460" s="13" t="str"/>
      <x:c r="P460" s="13" t="str">
        <x:v>NO / DEFAULT</x:v>
      </x:c>
      <x:c r="Q460" s="13" t="str"/>
      <x:c r="R460" s="13" t="str">
        <x:v>INDEPENDENT / DEFAULT</x:v>
      </x:c>
      <x:c r="S460" s="13" t="str"/>
      <x:c r="T460" s="13" t="str">
        <x:v>UNRESOLVED</x:v>
      </x:c>
      <x:c r="U460" s="13" t="str"/>
      <x:c r="V460" s="13" t="str"/>
      <x:c r="W460" s="13" t="str"/>
      <x:c r="X460" s="13" t="str">
        <x:f>IF(L460&lt;&gt;"COVERED","HELD — COVERAGE",IF(N460="YES — SENSITIVE","C ACTIONABLE","CHAPTER 5 DEFAULT"))</x:f>
        <x:v>HELD — COVERAGE</x:v>
      </x:c>
      <x:c r="Y460" s="13" t="str">
        <x:f>IF(L460&lt;&gt;"COVERED","HELD — COVERAGE",IF(P460="YES — MANAGED ACCESS","D ACTIONABLE","NO D FIELD"))</x:f>
        <x:v>HELD — COVERAGE</x:v>
      </x:c>
      <x:c r="Z460" s="13" t="str">
        <x:f>IF(L460&lt;&gt;"COVERED","HELD — COVERAGE",IF(OR(R460="PAIRED SYNCHRONIZED",R460="TRILATERAL SYNCHRONIZED"),"E ACTIONABLE","INDEPENDENT"))</x:f>
        <x:v>HELD — COVERAGE</x:v>
      </x:c>
      <x:c r="AA460" s="13" t="str">
        <x:f>IF(L460&lt;&gt;"COVERED","HELD — COVERAGE","WAIT FOR UPSTREAM COMPLETION")</x:f>
        <x:v>HELD — COVERAGE</x:v>
      </x:c>
      <x:c r="AB460" s="13" t="str">
        <x:f>IF(L460&lt;&gt;"COVERED","HELD — COVERAGE",IF(T460="UNRESOLVED","G DECISION REQUIRED",IF(T460="NOT APPLICABLE","G N/A","G ACTIONABLE")))</x:f>
        <x:v>HELD — COVERAGE</x:v>
      </x:c>
      <x:c r="AC460" s="13" t="str">
        <x:f>IF(L460="UNRESOLVED","COVERAGE FIRST",IF(OR(L460="EXCLUDED",L460="OUT OF SCOPE"),"CLOSED BY COVERAGE",IF(AND(L460="COVERED",T460&lt;&gt;"UNRESOLVED"),"PARTIALLY ADOPTED","DECISIONS REMAIN")))</x:f>
        <x:v>COVERAGE FIRST</x:v>
      </x:c>
    </x:row>
    <x:row r="461">
      <x:c r="A461" s="13" t="str">
        <x:v>NAAFTC-HS6-071440</x:v>
      </x:c>
      <x:c r="B461" s="13" t="str">
        <x:v>071440</x:v>
      </x:c>
      <x:c r="C461" s="13" t="str">
        <x:v>07</x:v>
      </x:c>
      <x:c r="D461" s="13" t="str">
        <x:v>TRILATERAL_SPLIT_MERGE</x:v>
      </x:c>
      <x:c r="E461" s="13" t="str">
        <x:v>Pending</x:v>
      </x:c>
      <x:c r="F461" s="13" t="n">
        <x:v>4</x:v>
      </x:c>
      <x:c r="G461" s="13" t="n">
        <x:v>2</x:v>
      </x:c>
      <x:c r="H461" s="13" t="n">
        <x:v>1</x:v>
      </x:c>
      <x:c r="I461" s="13" t="str">
        <x:v>0714401001; 0714402000; 0714405000; 0714406000</x:v>
      </x:c>
      <x:c r="J461" s="13" t="str">
        <x:v>0714400100; 0714409900</x:v>
      </x:c>
      <x:c r="K461" s="13" t="str">
        <x:v>0714400000</x:v>
      </x:c>
      <x:c r="L461" s="13" t="str">
        <x:v>UNRESOLVED</x:v>
      </x:c>
      <x:c r="M461" s="13" t="str"/>
      <x:c r="N461" s="13" t="str">
        <x:v>NO / DEFAULT</x:v>
      </x:c>
      <x:c r="O461" s="13" t="str"/>
      <x:c r="P461" s="13" t="str">
        <x:v>NO / DEFAULT</x:v>
      </x:c>
      <x:c r="Q461" s="13" t="str"/>
      <x:c r="R461" s="13" t="str">
        <x:v>INDEPENDENT / DEFAULT</x:v>
      </x:c>
      <x:c r="S461" s="13" t="str"/>
      <x:c r="T461" s="13" t="str">
        <x:v>UNRESOLVED</x:v>
      </x:c>
      <x:c r="U461" s="13" t="str"/>
      <x:c r="V461" s="13" t="str"/>
      <x:c r="W461" s="13" t="str"/>
      <x:c r="X461" s="13" t="str">
        <x:f>IF(L461&lt;&gt;"COVERED","HELD — COVERAGE",IF(N461="YES — SENSITIVE","C ACTIONABLE","CHAPTER 5 DEFAULT"))</x:f>
        <x:v>HELD — COVERAGE</x:v>
      </x:c>
      <x:c r="Y461" s="13" t="str">
        <x:f>IF(L461&lt;&gt;"COVERED","HELD — COVERAGE",IF(P461="YES — MANAGED ACCESS","D ACTIONABLE","NO D FIELD"))</x:f>
        <x:v>HELD — COVERAGE</x:v>
      </x:c>
      <x:c r="Z461" s="13" t="str">
        <x:f>IF(L461&lt;&gt;"COVERED","HELD — COVERAGE",IF(OR(R461="PAIRED SYNCHRONIZED",R461="TRILATERAL SYNCHRONIZED"),"E ACTIONABLE","INDEPENDENT"))</x:f>
        <x:v>HELD — COVERAGE</x:v>
      </x:c>
      <x:c r="AA461" s="13" t="str">
        <x:f>IF(L461&lt;&gt;"COVERED","HELD — COVERAGE","WAIT FOR UPSTREAM COMPLETION")</x:f>
        <x:v>HELD — COVERAGE</x:v>
      </x:c>
      <x:c r="AB461" s="13" t="str">
        <x:f>IF(L461&lt;&gt;"COVERED","HELD — COVERAGE",IF(T461="UNRESOLVED","G DECISION REQUIRED",IF(T461="NOT APPLICABLE","G N/A","G ACTIONABLE")))</x:f>
        <x:v>HELD — COVERAGE</x:v>
      </x:c>
      <x:c r="AC461" s="13" t="str">
        <x:f>IF(L461="UNRESOLVED","COVERAGE FIRST",IF(OR(L461="EXCLUDED",L461="OUT OF SCOPE"),"CLOSED BY COVERAGE",IF(AND(L461="COVERED",T461&lt;&gt;"UNRESOLVED"),"PARTIALLY ADOPTED","DECISIONS REMAIN")))</x:f>
        <x:v>COVERAGE FIRST</x:v>
      </x:c>
    </x:row>
    <x:row r="462">
      <x:c r="A462" s="13" t="str">
        <x:v>NAAFTC-HS6-071450</x:v>
      </x:c>
      <x:c r="B462" s="13" t="str">
        <x:v>071450</x:v>
      </x:c>
      <x:c r="C462" s="13" t="str">
        <x:v>07</x:v>
      </x:c>
      <x:c r="D462" s="13" t="str">
        <x:v>TRILATERAL_SPLIT_MERGE</x:v>
      </x:c>
      <x:c r="E462" s="13" t="str">
        <x:v>Pending</x:v>
      </x:c>
      <x:c r="F462" s="13" t="n">
        <x:v>4</x:v>
      </x:c>
      <x:c r="G462" s="13" t="n">
        <x:v>2</x:v>
      </x:c>
      <x:c r="H462" s="13" t="n">
        <x:v>1</x:v>
      </x:c>
      <x:c r="I462" s="13" t="str">
        <x:v>0714501000; 0714502000; 0714505000; 0714506000</x:v>
      </x:c>
      <x:c r="J462" s="13" t="str">
        <x:v>0714500100; 0714509900</x:v>
      </x:c>
      <x:c r="K462" s="13" t="str">
        <x:v>0714500000</x:v>
      </x:c>
      <x:c r="L462" s="13" t="str">
        <x:v>UNRESOLVED</x:v>
      </x:c>
      <x:c r="M462" s="13" t="str"/>
      <x:c r="N462" s="13" t="str">
        <x:v>NO / DEFAULT</x:v>
      </x:c>
      <x:c r="O462" s="13" t="str"/>
      <x:c r="P462" s="13" t="str">
        <x:v>NO / DEFAULT</x:v>
      </x:c>
      <x:c r="Q462" s="13" t="str"/>
      <x:c r="R462" s="13" t="str">
        <x:v>INDEPENDENT / DEFAULT</x:v>
      </x:c>
      <x:c r="S462" s="13" t="str"/>
      <x:c r="T462" s="13" t="str">
        <x:v>UNRESOLVED</x:v>
      </x:c>
      <x:c r="U462" s="13" t="str"/>
      <x:c r="V462" s="13" t="str"/>
      <x:c r="W462" s="13" t="str"/>
      <x:c r="X462" s="13" t="str">
        <x:f>IF(L462&lt;&gt;"COVERED","HELD — COVERAGE",IF(N462="YES — SENSITIVE","C ACTIONABLE","CHAPTER 5 DEFAULT"))</x:f>
        <x:v>HELD — COVERAGE</x:v>
      </x:c>
      <x:c r="Y462" s="13" t="str">
        <x:f>IF(L462&lt;&gt;"COVERED","HELD — COVERAGE",IF(P462="YES — MANAGED ACCESS","D ACTIONABLE","NO D FIELD"))</x:f>
        <x:v>HELD — COVERAGE</x:v>
      </x:c>
      <x:c r="Z462" s="13" t="str">
        <x:f>IF(L462&lt;&gt;"COVERED","HELD — COVERAGE",IF(OR(R462="PAIRED SYNCHRONIZED",R462="TRILATERAL SYNCHRONIZED"),"E ACTIONABLE","INDEPENDENT"))</x:f>
        <x:v>HELD — COVERAGE</x:v>
      </x:c>
      <x:c r="AA462" s="13" t="str">
        <x:f>IF(L462&lt;&gt;"COVERED","HELD — COVERAGE","WAIT FOR UPSTREAM COMPLETION")</x:f>
        <x:v>HELD — COVERAGE</x:v>
      </x:c>
      <x:c r="AB462" s="13" t="str">
        <x:f>IF(L462&lt;&gt;"COVERED","HELD — COVERAGE",IF(T462="UNRESOLVED","G DECISION REQUIRED",IF(T462="NOT APPLICABLE","G N/A","G ACTIONABLE")))</x:f>
        <x:v>HELD — COVERAGE</x:v>
      </x:c>
      <x:c r="AC462" s="13" t="str">
        <x:f>IF(L462="UNRESOLVED","COVERAGE FIRST",IF(OR(L462="EXCLUDED",L462="OUT OF SCOPE"),"CLOSED BY COVERAGE",IF(AND(L462="COVERED",T462&lt;&gt;"UNRESOLVED"),"PARTIALLY ADOPTED","DECISIONS REMAIN")))</x:f>
        <x:v>COVERAGE FIRST</x:v>
      </x:c>
    </x:row>
    <x:row r="463">
      <x:c r="A463" s="13" t="str">
        <x:v>NAAFTC-HS6-071490</x:v>
      </x:c>
      <x:c r="B463" s="13" t="str">
        <x:v>071490</x:v>
      </x:c>
      <x:c r="C463" s="13" t="str">
        <x:v>07</x:v>
      </x:c>
      <x:c r="D463" s="13" t="str">
        <x:v>TRILATERAL_SPLIT_MERGE</x:v>
      </x:c>
      <x:c r="E463" s="13" t="str">
        <x:v>Pending</x:v>
      </x:c>
      <x:c r="F463" s="13" t="n">
        <x:v>9</x:v>
      </x:c>
      <x:c r="G463" s="13" t="n">
        <x:v>2</x:v>
      </x:c>
      <x:c r="H463" s="13" t="n">
        <x:v>1</x:v>
      </x:c>
      <x:c r="I463" s="13" t="str">
        <x:v>0714900500; 0714903900; 0714904100; 0714904200; 0714904400; 0714904600; +3 more</x:v>
      </x:c>
      <x:c r="J463" s="13" t="str">
        <x:v>0714900200; 0714909900</x:v>
      </x:c>
      <x:c r="K463" s="13" t="str">
        <x:v>07149000</x:v>
      </x:c>
      <x:c r="L463" s="13" t="str">
        <x:v>UNRESOLVED</x:v>
      </x:c>
      <x:c r="M463" s="13" t="str"/>
      <x:c r="N463" s="13" t="str">
        <x:v>NO / DEFAULT</x:v>
      </x:c>
      <x:c r="O463" s="13" t="str"/>
      <x:c r="P463" s="13" t="str">
        <x:v>NO / DEFAULT</x:v>
      </x:c>
      <x:c r="Q463" s="13" t="str"/>
      <x:c r="R463" s="13" t="str">
        <x:v>INDEPENDENT / DEFAULT</x:v>
      </x:c>
      <x:c r="S463" s="13" t="str"/>
      <x:c r="T463" s="13" t="str">
        <x:v>UNRESOLVED</x:v>
      </x:c>
      <x:c r="U463" s="13" t="str"/>
      <x:c r="V463" s="13" t="str"/>
      <x:c r="W463" s="13" t="str"/>
      <x:c r="X463" s="13" t="str">
        <x:f>IF(L463&lt;&gt;"COVERED","HELD — COVERAGE",IF(N463="YES — SENSITIVE","C ACTIONABLE","CHAPTER 5 DEFAULT"))</x:f>
        <x:v>HELD — COVERAGE</x:v>
      </x:c>
      <x:c r="Y463" s="13" t="str">
        <x:f>IF(L463&lt;&gt;"COVERED","HELD — COVERAGE",IF(P463="YES — MANAGED ACCESS","D ACTIONABLE","NO D FIELD"))</x:f>
        <x:v>HELD — COVERAGE</x:v>
      </x:c>
      <x:c r="Z463" s="13" t="str">
        <x:f>IF(L463&lt;&gt;"COVERED","HELD — COVERAGE",IF(OR(R463="PAIRED SYNCHRONIZED",R463="TRILATERAL SYNCHRONIZED"),"E ACTIONABLE","INDEPENDENT"))</x:f>
        <x:v>HELD — COVERAGE</x:v>
      </x:c>
      <x:c r="AA463" s="13" t="str">
        <x:f>IF(L463&lt;&gt;"COVERED","HELD — COVERAGE","WAIT FOR UPSTREAM COMPLETION")</x:f>
        <x:v>HELD — COVERAGE</x:v>
      </x:c>
      <x:c r="AB463" s="13" t="str">
        <x:f>IF(L463&lt;&gt;"COVERED","HELD — COVERAGE",IF(T463="UNRESOLVED","G DECISION REQUIRED",IF(T463="NOT APPLICABLE","G N/A","G ACTIONABLE")))</x:f>
        <x:v>HELD — COVERAGE</x:v>
      </x:c>
      <x:c r="AC463" s="13" t="str">
        <x:f>IF(L463="UNRESOLVED","COVERAGE FIRST",IF(OR(L463="EXCLUDED",L463="OUT OF SCOPE"),"CLOSED BY COVERAGE",IF(AND(L463="COVERED",T463&lt;&gt;"UNRESOLVED"),"PARTIALLY ADOPTED","DECISIONS REMAIN")))</x:f>
        <x:v>COVERAGE FIRST</x:v>
      </x:c>
    </x:row>
    <x:row r="464">
      <x:c r="A464" s="13" t="str">
        <x:v>NAAFTC-HS6-080111</x:v>
      </x:c>
      <x:c r="B464" s="13" t="str">
        <x:v>080111</x:v>
      </x:c>
      <x:c r="C464" s="13" t="str">
        <x:v>08</x:v>
      </x:c>
      <x:c r="D464" s="13" t="str">
        <x:v>TRILATERAL_1_TO_1_TO_1</x:v>
      </x:c>
      <x:c r="E464" s="13" t="str">
        <x:v>Pending</x:v>
      </x:c>
      <x:c r="F464" s="13" t="n">
        <x:v>1</x:v>
      </x:c>
      <x:c r="G464" s="13" t="n">
        <x:v>1</x:v>
      </x:c>
      <x:c r="H464" s="13" t="n">
        <x:v>1</x:v>
      </x:c>
      <x:c r="I464" s="13" t="str">
        <x:v>0801110000</x:v>
      </x:c>
      <x:c r="J464" s="13" t="str">
        <x:v>0801110100</x:v>
      </x:c>
      <x:c r="K464" s="13" t="str">
        <x:v>0801110000</x:v>
      </x:c>
      <x:c r="L464" s="13" t="str">
        <x:v>UNRESOLVED</x:v>
      </x:c>
      <x:c r="M464" s="13" t="str"/>
      <x:c r="N464" s="13" t="str">
        <x:v>NO / DEFAULT</x:v>
      </x:c>
      <x:c r="O464" s="13" t="str"/>
      <x:c r="P464" s="13" t="str">
        <x:v>NO / DEFAULT</x:v>
      </x:c>
      <x:c r="Q464" s="13" t="str"/>
      <x:c r="R464" s="13" t="str">
        <x:v>INDEPENDENT / DEFAULT</x:v>
      </x:c>
      <x:c r="S464" s="13" t="str"/>
      <x:c r="T464" s="13" t="str">
        <x:v>UNRESOLVED</x:v>
      </x:c>
      <x:c r="U464" s="13" t="str"/>
      <x:c r="V464" s="13" t="str"/>
      <x:c r="W464" s="13" t="str"/>
      <x:c r="X464" s="13" t="str">
        <x:f>IF(L464&lt;&gt;"COVERED","HELD — COVERAGE",IF(N464="YES — SENSITIVE","C ACTIONABLE","CHAPTER 5 DEFAULT"))</x:f>
        <x:v>HELD — COVERAGE</x:v>
      </x:c>
      <x:c r="Y464" s="13" t="str">
        <x:f>IF(L464&lt;&gt;"COVERED","HELD — COVERAGE",IF(P464="YES — MANAGED ACCESS","D ACTIONABLE","NO D FIELD"))</x:f>
        <x:v>HELD — COVERAGE</x:v>
      </x:c>
      <x:c r="Z464" s="13" t="str">
        <x:f>IF(L464&lt;&gt;"COVERED","HELD — COVERAGE",IF(OR(R464="PAIRED SYNCHRONIZED",R464="TRILATERAL SYNCHRONIZED"),"E ACTIONABLE","INDEPENDENT"))</x:f>
        <x:v>HELD — COVERAGE</x:v>
      </x:c>
      <x:c r="AA464" s="13" t="str">
        <x:f>IF(L464&lt;&gt;"COVERED","HELD — COVERAGE","WAIT FOR UPSTREAM COMPLETION")</x:f>
        <x:v>HELD — COVERAGE</x:v>
      </x:c>
      <x:c r="AB464" s="13" t="str">
        <x:f>IF(L464&lt;&gt;"COVERED","HELD — COVERAGE",IF(T464="UNRESOLVED","G DECISION REQUIRED",IF(T464="NOT APPLICABLE","G N/A","G ACTIONABLE")))</x:f>
        <x:v>HELD — COVERAGE</x:v>
      </x:c>
      <x:c r="AC464" s="13" t="str">
        <x:f>IF(L464="UNRESOLVED","COVERAGE FIRST",IF(OR(L464="EXCLUDED",L464="OUT OF SCOPE"),"CLOSED BY COVERAGE",IF(AND(L464="COVERED",T464&lt;&gt;"UNRESOLVED"),"PARTIALLY ADOPTED","DECISIONS REMAIN")))</x:f>
        <x:v>COVERAGE FIRST</x:v>
      </x:c>
    </x:row>
    <x:row r="465">
      <x:c r="A465" s="13" t="str">
        <x:v>NAAFTC-HS6-080112</x:v>
      </x:c>
      <x:c r="B465" s="13" t="str">
        <x:v>080112</x:v>
      </x:c>
      <x:c r="C465" s="13" t="str">
        <x:v>08</x:v>
      </x:c>
      <x:c r="D465" s="13" t="str">
        <x:v>TRILATERAL_1_TO_1_TO_1</x:v>
      </x:c>
      <x:c r="E465" s="13" t="str">
        <x:v>Pending</x:v>
      </x:c>
      <x:c r="F465" s="13" t="n">
        <x:v>1</x:v>
      </x:c>
      <x:c r="G465" s="13" t="n">
        <x:v>1</x:v>
      </x:c>
      <x:c r="H465" s="13" t="n">
        <x:v>1</x:v>
      </x:c>
      <x:c r="I465" s="13" t="str">
        <x:v>0801120000</x:v>
      </x:c>
      <x:c r="J465" s="13" t="str">
        <x:v>0801120100</x:v>
      </x:c>
      <x:c r="K465" s="13" t="str">
        <x:v>0801120000</x:v>
      </x:c>
      <x:c r="L465" s="13" t="str">
        <x:v>UNRESOLVED</x:v>
      </x:c>
      <x:c r="M465" s="13" t="str"/>
      <x:c r="N465" s="13" t="str">
        <x:v>NO / DEFAULT</x:v>
      </x:c>
      <x:c r="O465" s="13" t="str"/>
      <x:c r="P465" s="13" t="str">
        <x:v>NO / DEFAULT</x:v>
      </x:c>
      <x:c r="Q465" s="13" t="str"/>
      <x:c r="R465" s="13" t="str">
        <x:v>INDEPENDENT / DEFAULT</x:v>
      </x:c>
      <x:c r="S465" s="13" t="str"/>
      <x:c r="T465" s="13" t="str">
        <x:v>UNRESOLVED</x:v>
      </x:c>
      <x:c r="U465" s="13" t="str"/>
      <x:c r="V465" s="13" t="str"/>
      <x:c r="W465" s="13" t="str"/>
      <x:c r="X465" s="13" t="str">
        <x:f>IF(L465&lt;&gt;"COVERED","HELD — COVERAGE",IF(N465="YES — SENSITIVE","C ACTIONABLE","CHAPTER 5 DEFAULT"))</x:f>
        <x:v>HELD — COVERAGE</x:v>
      </x:c>
      <x:c r="Y465" s="13" t="str">
        <x:f>IF(L465&lt;&gt;"COVERED","HELD — COVERAGE",IF(P465="YES — MANAGED ACCESS","D ACTIONABLE","NO D FIELD"))</x:f>
        <x:v>HELD — COVERAGE</x:v>
      </x:c>
      <x:c r="Z465" s="13" t="str">
        <x:f>IF(L465&lt;&gt;"COVERED","HELD — COVERAGE",IF(OR(R465="PAIRED SYNCHRONIZED",R465="TRILATERAL SYNCHRONIZED"),"E ACTIONABLE","INDEPENDENT"))</x:f>
        <x:v>HELD — COVERAGE</x:v>
      </x:c>
      <x:c r="AA465" s="13" t="str">
        <x:f>IF(L465&lt;&gt;"COVERED","HELD — COVERAGE","WAIT FOR UPSTREAM COMPLETION")</x:f>
        <x:v>HELD — COVERAGE</x:v>
      </x:c>
      <x:c r="AB465" s="13" t="str">
        <x:f>IF(L465&lt;&gt;"COVERED","HELD — COVERAGE",IF(T465="UNRESOLVED","G DECISION REQUIRED",IF(T465="NOT APPLICABLE","G N/A","G ACTIONABLE")))</x:f>
        <x:v>HELD — COVERAGE</x:v>
      </x:c>
      <x:c r="AC465" s="13" t="str">
        <x:f>IF(L465="UNRESOLVED","COVERAGE FIRST",IF(OR(L465="EXCLUDED",L465="OUT OF SCOPE"),"CLOSED BY COVERAGE",IF(AND(L465="COVERED",T465&lt;&gt;"UNRESOLVED"),"PARTIALLY ADOPTED","DECISIONS REMAIN")))</x:f>
        <x:v>COVERAGE FIRST</x:v>
      </x:c>
    </x:row>
    <x:row r="466">
      <x:c r="A466" s="13" t="str">
        <x:v>NAAFTC-HS6-080119</x:v>
      </x:c>
      <x:c r="B466" s="13" t="str">
        <x:v>080119</x:v>
      </x:c>
      <x:c r="C466" s="13" t="str">
        <x:v>08</x:v>
      </x:c>
      <x:c r="D466" s="13" t="str">
        <x:v>TRILATERAL_SPLIT_MERGE</x:v>
      </x:c>
      <x:c r="E466" s="13" t="str">
        <x:v>Pending</x:v>
      </x:c>
      <x:c r="F466" s="13" t="n">
        <x:v>2</x:v>
      </x:c>
      <x:c r="G466" s="13" t="n">
        <x:v>1</x:v>
      </x:c>
      <x:c r="H466" s="13" t="n">
        <x:v>1</x:v>
      </x:c>
      <x:c r="I466" s="13" t="str">
        <x:v>0801190120; 0801190140</x:v>
      </x:c>
      <x:c r="J466" s="13" t="str">
        <x:v>0801199900</x:v>
      </x:c>
      <x:c r="K466" s="13" t="str">
        <x:v>0801190000</x:v>
      </x:c>
      <x:c r="L466" s="13" t="str">
        <x:v>UNRESOLVED</x:v>
      </x:c>
      <x:c r="M466" s="13" t="str"/>
      <x:c r="N466" s="13" t="str">
        <x:v>NO / DEFAULT</x:v>
      </x:c>
      <x:c r="O466" s="13" t="str"/>
      <x:c r="P466" s="13" t="str">
        <x:v>NO / DEFAULT</x:v>
      </x:c>
      <x:c r="Q466" s="13" t="str"/>
      <x:c r="R466" s="13" t="str">
        <x:v>INDEPENDENT / DEFAULT</x:v>
      </x:c>
      <x:c r="S466" s="13" t="str"/>
      <x:c r="T466" s="13" t="str">
        <x:v>UNRESOLVED</x:v>
      </x:c>
      <x:c r="U466" s="13" t="str"/>
      <x:c r="V466" s="13" t="str"/>
      <x:c r="W466" s="13" t="str"/>
      <x:c r="X466" s="13" t="str">
        <x:f>IF(L466&lt;&gt;"COVERED","HELD — COVERAGE",IF(N466="YES — SENSITIVE","C ACTIONABLE","CHAPTER 5 DEFAULT"))</x:f>
        <x:v>HELD — COVERAGE</x:v>
      </x:c>
      <x:c r="Y466" s="13" t="str">
        <x:f>IF(L466&lt;&gt;"COVERED","HELD — COVERAGE",IF(P466="YES — MANAGED ACCESS","D ACTIONABLE","NO D FIELD"))</x:f>
        <x:v>HELD — COVERAGE</x:v>
      </x:c>
      <x:c r="Z466" s="13" t="str">
        <x:f>IF(L466&lt;&gt;"COVERED","HELD — COVERAGE",IF(OR(R466="PAIRED SYNCHRONIZED",R466="TRILATERAL SYNCHRONIZED"),"E ACTIONABLE","INDEPENDENT"))</x:f>
        <x:v>HELD — COVERAGE</x:v>
      </x:c>
      <x:c r="AA466" s="13" t="str">
        <x:f>IF(L466&lt;&gt;"COVERED","HELD — COVERAGE","WAIT FOR UPSTREAM COMPLETION")</x:f>
        <x:v>HELD — COVERAGE</x:v>
      </x:c>
      <x:c r="AB466" s="13" t="str">
        <x:f>IF(L466&lt;&gt;"COVERED","HELD — COVERAGE",IF(T466="UNRESOLVED","G DECISION REQUIRED",IF(T466="NOT APPLICABLE","G N/A","G ACTIONABLE")))</x:f>
        <x:v>HELD — COVERAGE</x:v>
      </x:c>
      <x:c r="AC466" s="13" t="str">
        <x:f>IF(L466="UNRESOLVED","COVERAGE FIRST",IF(OR(L466="EXCLUDED",L466="OUT OF SCOPE"),"CLOSED BY COVERAGE",IF(AND(L466="COVERED",T466&lt;&gt;"UNRESOLVED"),"PARTIALLY ADOPTED","DECISIONS REMAIN")))</x:f>
        <x:v>COVERAGE FIRST</x:v>
      </x:c>
    </x:row>
    <x:row r="467">
      <x:c r="A467" s="13" t="str">
        <x:v>NAAFTC-HS6-080121</x:v>
      </x:c>
      <x:c r="B467" s="13" t="str">
        <x:v>080121</x:v>
      </x:c>
      <x:c r="C467" s="13" t="str">
        <x:v>08</x:v>
      </x:c>
      <x:c r="D467" s="13" t="str">
        <x:v>TRILATERAL_1_TO_1_TO_1</x:v>
      </x:c>
      <x:c r="E467" s="13" t="str">
        <x:v>Pending</x:v>
      </x:c>
      <x:c r="F467" s="13" t="n">
        <x:v>1</x:v>
      </x:c>
      <x:c r="G467" s="13" t="n">
        <x:v>1</x:v>
      </x:c>
      <x:c r="H467" s="13" t="n">
        <x:v>1</x:v>
      </x:c>
      <x:c r="I467" s="13" t="str">
        <x:v>0801210000</x:v>
      </x:c>
      <x:c r="J467" s="13" t="str">
        <x:v>0801210100</x:v>
      </x:c>
      <x:c r="K467" s="13" t="str">
        <x:v>0801210000</x:v>
      </x:c>
      <x:c r="L467" s="13" t="str">
        <x:v>UNRESOLVED</x:v>
      </x:c>
      <x:c r="M467" s="13" t="str"/>
      <x:c r="N467" s="13" t="str">
        <x:v>NO / DEFAULT</x:v>
      </x:c>
      <x:c r="O467" s="13" t="str"/>
      <x:c r="P467" s="13" t="str">
        <x:v>NO / DEFAULT</x:v>
      </x:c>
      <x:c r="Q467" s="13" t="str"/>
      <x:c r="R467" s="13" t="str">
        <x:v>INDEPENDENT / DEFAULT</x:v>
      </x:c>
      <x:c r="S467" s="13" t="str"/>
      <x:c r="T467" s="13" t="str">
        <x:v>UNRESOLVED</x:v>
      </x:c>
      <x:c r="U467" s="13" t="str"/>
      <x:c r="V467" s="13" t="str"/>
      <x:c r="W467" s="13" t="str"/>
      <x:c r="X467" s="13" t="str">
        <x:f>IF(L467&lt;&gt;"COVERED","HELD — COVERAGE",IF(N467="YES — SENSITIVE","C ACTIONABLE","CHAPTER 5 DEFAULT"))</x:f>
        <x:v>HELD — COVERAGE</x:v>
      </x:c>
      <x:c r="Y467" s="13" t="str">
        <x:f>IF(L467&lt;&gt;"COVERED","HELD — COVERAGE",IF(P467="YES — MANAGED ACCESS","D ACTIONABLE","NO D FIELD"))</x:f>
        <x:v>HELD — COVERAGE</x:v>
      </x:c>
      <x:c r="Z467" s="13" t="str">
        <x:f>IF(L467&lt;&gt;"COVERED","HELD — COVERAGE",IF(OR(R467="PAIRED SYNCHRONIZED",R467="TRILATERAL SYNCHRONIZED"),"E ACTIONABLE","INDEPENDENT"))</x:f>
        <x:v>HELD — COVERAGE</x:v>
      </x:c>
      <x:c r="AA467" s="13" t="str">
        <x:f>IF(L467&lt;&gt;"COVERED","HELD — COVERAGE","WAIT FOR UPSTREAM COMPLETION")</x:f>
        <x:v>HELD — COVERAGE</x:v>
      </x:c>
      <x:c r="AB467" s="13" t="str">
        <x:f>IF(L467&lt;&gt;"COVERED","HELD — COVERAGE",IF(T467="UNRESOLVED","G DECISION REQUIRED",IF(T467="NOT APPLICABLE","G N/A","G ACTIONABLE")))</x:f>
        <x:v>HELD — COVERAGE</x:v>
      </x:c>
      <x:c r="AC467" s="13" t="str">
        <x:f>IF(L467="UNRESOLVED","COVERAGE FIRST",IF(OR(L467="EXCLUDED",L467="OUT OF SCOPE"),"CLOSED BY COVERAGE",IF(AND(L467="COVERED",T467&lt;&gt;"UNRESOLVED"),"PARTIALLY ADOPTED","DECISIONS REMAIN")))</x:f>
        <x:v>COVERAGE FIRST</x:v>
      </x:c>
    </x:row>
    <x:row r="468">
      <x:c r="A468" s="13" t="str">
        <x:v>NAAFTC-HS6-080122</x:v>
      </x:c>
      <x:c r="B468" s="13" t="str">
        <x:v>080122</x:v>
      </x:c>
      <x:c r="C468" s="13" t="str">
        <x:v>08</x:v>
      </x:c>
      <x:c r="D468" s="13" t="str">
        <x:v>TRILATERAL_1_TO_1_TO_1</x:v>
      </x:c>
      <x:c r="E468" s="13" t="str">
        <x:v>Pending</x:v>
      </x:c>
      <x:c r="F468" s="13" t="n">
        <x:v>1</x:v>
      </x:c>
      <x:c r="G468" s="13" t="n">
        <x:v>1</x:v>
      </x:c>
      <x:c r="H468" s="13" t="n">
        <x:v>1</x:v>
      </x:c>
      <x:c r="I468" s="13" t="str">
        <x:v>0801220000</x:v>
      </x:c>
      <x:c r="J468" s="13" t="str">
        <x:v>0801220100</x:v>
      </x:c>
      <x:c r="K468" s="13" t="str">
        <x:v>0801220000</x:v>
      </x:c>
      <x:c r="L468" s="13" t="str">
        <x:v>UNRESOLVED</x:v>
      </x:c>
      <x:c r="M468" s="13" t="str"/>
      <x:c r="N468" s="13" t="str">
        <x:v>NO / DEFAULT</x:v>
      </x:c>
      <x:c r="O468" s="13" t="str"/>
      <x:c r="P468" s="13" t="str">
        <x:v>NO / DEFAULT</x:v>
      </x:c>
      <x:c r="Q468" s="13" t="str"/>
      <x:c r="R468" s="13" t="str">
        <x:v>INDEPENDENT / DEFAULT</x:v>
      </x:c>
      <x:c r="S468" s="13" t="str"/>
      <x:c r="T468" s="13" t="str">
        <x:v>UNRESOLVED</x:v>
      </x:c>
      <x:c r="U468" s="13" t="str"/>
      <x:c r="V468" s="13" t="str"/>
      <x:c r="W468" s="13" t="str"/>
      <x:c r="X468" s="13" t="str">
        <x:f>IF(L468&lt;&gt;"COVERED","HELD — COVERAGE",IF(N468="YES — SENSITIVE","C ACTIONABLE","CHAPTER 5 DEFAULT"))</x:f>
        <x:v>HELD — COVERAGE</x:v>
      </x:c>
      <x:c r="Y468" s="13" t="str">
        <x:f>IF(L468&lt;&gt;"COVERED","HELD — COVERAGE",IF(P468="YES — MANAGED ACCESS","D ACTIONABLE","NO D FIELD"))</x:f>
        <x:v>HELD — COVERAGE</x:v>
      </x:c>
      <x:c r="Z468" s="13" t="str">
        <x:f>IF(L468&lt;&gt;"COVERED","HELD — COVERAGE",IF(OR(R468="PAIRED SYNCHRONIZED",R468="TRILATERAL SYNCHRONIZED"),"E ACTIONABLE","INDEPENDENT"))</x:f>
        <x:v>HELD — COVERAGE</x:v>
      </x:c>
      <x:c r="AA468" s="13" t="str">
        <x:f>IF(L468&lt;&gt;"COVERED","HELD — COVERAGE","WAIT FOR UPSTREAM COMPLETION")</x:f>
        <x:v>HELD — COVERAGE</x:v>
      </x:c>
      <x:c r="AB468" s="13" t="str">
        <x:f>IF(L468&lt;&gt;"COVERED","HELD — COVERAGE",IF(T468="UNRESOLVED","G DECISION REQUIRED",IF(T468="NOT APPLICABLE","G N/A","G ACTIONABLE")))</x:f>
        <x:v>HELD — COVERAGE</x:v>
      </x:c>
      <x:c r="AC468" s="13" t="str">
        <x:f>IF(L468="UNRESOLVED","COVERAGE FIRST",IF(OR(L468="EXCLUDED",L468="OUT OF SCOPE"),"CLOSED BY COVERAGE",IF(AND(L468="COVERED",T468&lt;&gt;"UNRESOLVED"),"PARTIALLY ADOPTED","DECISIONS REMAIN")))</x:f>
        <x:v>COVERAGE FIRST</x:v>
      </x:c>
    </x:row>
    <x:row r="469">
      <x:c r="A469" s="13" t="str">
        <x:v>NAAFTC-HS6-080131</x:v>
      </x:c>
      <x:c r="B469" s="13" t="str">
        <x:v>080131</x:v>
      </x:c>
      <x:c r="C469" s="13" t="str">
        <x:v>08</x:v>
      </x:c>
      <x:c r="D469" s="13" t="str">
        <x:v>TRILATERAL_1_TO_1_TO_1</x:v>
      </x:c>
      <x:c r="E469" s="13" t="str">
        <x:v>Pending</x:v>
      </x:c>
      <x:c r="F469" s="13" t="n">
        <x:v>1</x:v>
      </x:c>
      <x:c r="G469" s="13" t="n">
        <x:v>1</x:v>
      </x:c>
      <x:c r="H469" s="13" t="n">
        <x:v>1</x:v>
      </x:c>
      <x:c r="I469" s="13" t="str">
        <x:v>0801310000</x:v>
      </x:c>
      <x:c r="J469" s="13" t="str">
        <x:v>0801310100</x:v>
      </x:c>
      <x:c r="K469" s="13" t="str">
        <x:v>0801310000</x:v>
      </x:c>
      <x:c r="L469" s="13" t="str">
        <x:v>UNRESOLVED</x:v>
      </x:c>
      <x:c r="M469" s="13" t="str"/>
      <x:c r="N469" s="13" t="str">
        <x:v>NO / DEFAULT</x:v>
      </x:c>
      <x:c r="O469" s="13" t="str"/>
      <x:c r="P469" s="13" t="str">
        <x:v>NO / DEFAULT</x:v>
      </x:c>
      <x:c r="Q469" s="13" t="str"/>
      <x:c r="R469" s="13" t="str">
        <x:v>INDEPENDENT / DEFAULT</x:v>
      </x:c>
      <x:c r="S469" s="13" t="str"/>
      <x:c r="T469" s="13" t="str">
        <x:v>UNRESOLVED</x:v>
      </x:c>
      <x:c r="U469" s="13" t="str"/>
      <x:c r="V469" s="13" t="str"/>
      <x:c r="W469" s="13" t="str"/>
      <x:c r="X469" s="13" t="str">
        <x:f>IF(L469&lt;&gt;"COVERED","HELD — COVERAGE",IF(N469="YES — SENSITIVE","C ACTIONABLE","CHAPTER 5 DEFAULT"))</x:f>
        <x:v>HELD — COVERAGE</x:v>
      </x:c>
      <x:c r="Y469" s="13" t="str">
        <x:f>IF(L469&lt;&gt;"COVERED","HELD — COVERAGE",IF(P469="YES — MANAGED ACCESS","D ACTIONABLE","NO D FIELD"))</x:f>
        <x:v>HELD — COVERAGE</x:v>
      </x:c>
      <x:c r="Z469" s="13" t="str">
        <x:f>IF(L469&lt;&gt;"COVERED","HELD — COVERAGE",IF(OR(R469="PAIRED SYNCHRONIZED",R469="TRILATERAL SYNCHRONIZED"),"E ACTIONABLE","INDEPENDENT"))</x:f>
        <x:v>HELD — COVERAGE</x:v>
      </x:c>
      <x:c r="AA469" s="13" t="str">
        <x:f>IF(L469&lt;&gt;"COVERED","HELD — COVERAGE","WAIT FOR UPSTREAM COMPLETION")</x:f>
        <x:v>HELD — COVERAGE</x:v>
      </x:c>
      <x:c r="AB469" s="13" t="str">
        <x:f>IF(L469&lt;&gt;"COVERED","HELD — COVERAGE",IF(T469="UNRESOLVED","G DECISION REQUIRED",IF(T469="NOT APPLICABLE","G N/A","G ACTIONABLE")))</x:f>
        <x:v>HELD — COVERAGE</x:v>
      </x:c>
      <x:c r="AC469" s="13" t="str">
        <x:f>IF(L469="UNRESOLVED","COVERAGE FIRST",IF(OR(L469="EXCLUDED",L469="OUT OF SCOPE"),"CLOSED BY COVERAGE",IF(AND(L469="COVERED",T469&lt;&gt;"UNRESOLVED"),"PARTIALLY ADOPTED","DECISIONS REMAIN")))</x:f>
        <x:v>COVERAGE FIRST</x:v>
      </x:c>
    </x:row>
    <x:row r="470">
      <x:c r="A470" s="13" t="str">
        <x:v>NAAFTC-HS6-080132</x:v>
      </x:c>
      <x:c r="B470" s="13" t="str">
        <x:v>080132</x:v>
      </x:c>
      <x:c r="C470" s="13" t="str">
        <x:v>08</x:v>
      </x:c>
      <x:c r="D470" s="13" t="str">
        <x:v>TRILATERAL_1_TO_1_TO_1</x:v>
      </x:c>
      <x:c r="E470" s="13" t="str">
        <x:v>Pending</x:v>
      </x:c>
      <x:c r="F470" s="13" t="n">
        <x:v>1</x:v>
      </x:c>
      <x:c r="G470" s="13" t="n">
        <x:v>1</x:v>
      </x:c>
      <x:c r="H470" s="13" t="n">
        <x:v>1</x:v>
      </x:c>
      <x:c r="I470" s="13" t="str">
        <x:v>0801320000</x:v>
      </x:c>
      <x:c r="J470" s="13" t="str">
        <x:v>0801320100</x:v>
      </x:c>
      <x:c r="K470" s="13" t="str">
        <x:v>0801320000</x:v>
      </x:c>
      <x:c r="L470" s="13" t="str">
        <x:v>UNRESOLVED</x:v>
      </x:c>
      <x:c r="M470" s="13" t="str"/>
      <x:c r="N470" s="13" t="str">
        <x:v>NO / DEFAULT</x:v>
      </x:c>
      <x:c r="O470" s="13" t="str"/>
      <x:c r="P470" s="13" t="str">
        <x:v>NO / DEFAULT</x:v>
      </x:c>
      <x:c r="Q470" s="13" t="str"/>
      <x:c r="R470" s="13" t="str">
        <x:v>INDEPENDENT / DEFAULT</x:v>
      </x:c>
      <x:c r="S470" s="13" t="str"/>
      <x:c r="T470" s="13" t="str">
        <x:v>UNRESOLVED</x:v>
      </x:c>
      <x:c r="U470" s="13" t="str"/>
      <x:c r="V470" s="13" t="str"/>
      <x:c r="W470" s="13" t="str"/>
      <x:c r="X470" s="13" t="str">
        <x:f>IF(L470&lt;&gt;"COVERED","HELD — COVERAGE",IF(N470="YES — SENSITIVE","C ACTIONABLE","CHAPTER 5 DEFAULT"))</x:f>
        <x:v>HELD — COVERAGE</x:v>
      </x:c>
      <x:c r="Y470" s="13" t="str">
        <x:f>IF(L470&lt;&gt;"COVERED","HELD — COVERAGE",IF(P470="YES — MANAGED ACCESS","D ACTIONABLE","NO D FIELD"))</x:f>
        <x:v>HELD — COVERAGE</x:v>
      </x:c>
      <x:c r="Z470" s="13" t="str">
        <x:f>IF(L470&lt;&gt;"COVERED","HELD — COVERAGE",IF(OR(R470="PAIRED SYNCHRONIZED",R470="TRILATERAL SYNCHRONIZED"),"E ACTIONABLE","INDEPENDENT"))</x:f>
        <x:v>HELD — COVERAGE</x:v>
      </x:c>
      <x:c r="AA470" s="13" t="str">
        <x:f>IF(L470&lt;&gt;"COVERED","HELD — COVERAGE","WAIT FOR UPSTREAM COMPLETION")</x:f>
        <x:v>HELD — COVERAGE</x:v>
      </x:c>
      <x:c r="AB470" s="13" t="str">
        <x:f>IF(L470&lt;&gt;"COVERED","HELD — COVERAGE",IF(T470="UNRESOLVED","G DECISION REQUIRED",IF(T470="NOT APPLICABLE","G N/A","G ACTIONABLE")))</x:f>
        <x:v>HELD — COVERAGE</x:v>
      </x:c>
      <x:c r="AC470" s="13" t="str">
        <x:f>IF(L470="UNRESOLVED","COVERAGE FIRST",IF(OR(L470="EXCLUDED",L470="OUT OF SCOPE"),"CLOSED BY COVERAGE",IF(AND(L470="COVERED",T470&lt;&gt;"UNRESOLVED"),"PARTIALLY ADOPTED","DECISIONS REMAIN")))</x:f>
        <x:v>COVERAGE FIRST</x:v>
      </x:c>
    </x:row>
    <x:row r="471">
      <x:c r="A471" s="13" t="str">
        <x:v>NAAFTC-HS6-080211</x:v>
      </x:c>
      <x:c r="B471" s="13" t="str">
        <x:v>080211</x:v>
      </x:c>
      <x:c r="C471" s="13" t="str">
        <x:v>08</x:v>
      </x:c>
      <x:c r="D471" s="13" t="str">
        <x:v>TRILATERAL_1_TO_1_TO_1</x:v>
      </x:c>
      <x:c r="E471" s="13" t="str">
        <x:v>Pending</x:v>
      </x:c>
      <x:c r="F471" s="13" t="n">
        <x:v>1</x:v>
      </x:c>
      <x:c r="G471" s="13" t="n">
        <x:v>1</x:v>
      </x:c>
      <x:c r="H471" s="13" t="n">
        <x:v>1</x:v>
      </x:c>
      <x:c r="I471" s="13" t="str">
        <x:v>0802110000</x:v>
      </x:c>
      <x:c r="J471" s="13" t="str">
        <x:v>0802110100</x:v>
      </x:c>
      <x:c r="K471" s="13" t="str">
        <x:v>0802110000</x:v>
      </x:c>
      <x:c r="L471" s="13" t="str">
        <x:v>UNRESOLVED</x:v>
      </x:c>
      <x:c r="M471" s="13" t="str"/>
      <x:c r="N471" s="13" t="str">
        <x:v>NO / DEFAULT</x:v>
      </x:c>
      <x:c r="O471" s="13" t="str"/>
      <x:c r="P471" s="13" t="str">
        <x:v>NO / DEFAULT</x:v>
      </x:c>
      <x:c r="Q471" s="13" t="str"/>
      <x:c r="R471" s="13" t="str">
        <x:v>INDEPENDENT / DEFAULT</x:v>
      </x:c>
      <x:c r="S471" s="13" t="str"/>
      <x:c r="T471" s="13" t="str">
        <x:v>UNRESOLVED</x:v>
      </x:c>
      <x:c r="U471" s="13" t="str"/>
      <x:c r="V471" s="13" t="str"/>
      <x:c r="W471" s="13" t="str"/>
      <x:c r="X471" s="13" t="str">
        <x:f>IF(L471&lt;&gt;"COVERED","HELD — COVERAGE",IF(N471="YES — SENSITIVE","C ACTIONABLE","CHAPTER 5 DEFAULT"))</x:f>
        <x:v>HELD — COVERAGE</x:v>
      </x:c>
      <x:c r="Y471" s="13" t="str">
        <x:f>IF(L471&lt;&gt;"COVERED","HELD — COVERAGE",IF(P471="YES — MANAGED ACCESS","D ACTIONABLE","NO D FIELD"))</x:f>
        <x:v>HELD — COVERAGE</x:v>
      </x:c>
      <x:c r="Z471" s="13" t="str">
        <x:f>IF(L471&lt;&gt;"COVERED","HELD — COVERAGE",IF(OR(R471="PAIRED SYNCHRONIZED",R471="TRILATERAL SYNCHRONIZED"),"E ACTIONABLE","INDEPENDENT"))</x:f>
        <x:v>HELD — COVERAGE</x:v>
      </x:c>
      <x:c r="AA471" s="13" t="str">
        <x:f>IF(L471&lt;&gt;"COVERED","HELD — COVERAGE","WAIT FOR UPSTREAM COMPLETION")</x:f>
        <x:v>HELD — COVERAGE</x:v>
      </x:c>
      <x:c r="AB471" s="13" t="str">
        <x:f>IF(L471&lt;&gt;"COVERED","HELD — COVERAGE",IF(T471="UNRESOLVED","G DECISION REQUIRED",IF(T471="NOT APPLICABLE","G N/A","G ACTIONABLE")))</x:f>
        <x:v>HELD — COVERAGE</x:v>
      </x:c>
      <x:c r="AC471" s="13" t="str">
        <x:f>IF(L471="UNRESOLVED","COVERAGE FIRST",IF(OR(L471="EXCLUDED",L471="OUT OF SCOPE"),"CLOSED BY COVERAGE",IF(AND(L471="COVERED",T471&lt;&gt;"UNRESOLVED"),"PARTIALLY ADOPTED","DECISIONS REMAIN")))</x:f>
        <x:v>COVERAGE FIRST</x:v>
      </x:c>
    </x:row>
    <x:row r="472">
      <x:c r="A472" s="13" t="str">
        <x:v>NAAFTC-HS6-080212</x:v>
      </x:c>
      <x:c r="B472" s="13" t="str">
        <x:v>080212</x:v>
      </x:c>
      <x:c r="C472" s="13" t="str">
        <x:v>08</x:v>
      </x:c>
      <x:c r="D472" s="13" t="str">
        <x:v>TRILATERAL_SPLIT_MERGE</x:v>
      </x:c>
      <x:c r="E472" s="13" t="str">
        <x:v>Pending</x:v>
      </x:c>
      <x:c r="F472" s="13" t="n">
        <x:v>2</x:v>
      </x:c>
      <x:c r="G472" s="13" t="n">
        <x:v>1</x:v>
      </x:c>
      <x:c r="H472" s="13" t="n">
        <x:v>1</x:v>
      </x:c>
      <x:c r="I472" s="13" t="str">
        <x:v>0802120005; 0802120015</x:v>
      </x:c>
      <x:c r="J472" s="13" t="str">
        <x:v>0802120100</x:v>
      </x:c>
      <x:c r="K472" s="13" t="str">
        <x:v>0802120000</x:v>
      </x:c>
      <x:c r="L472" s="13" t="str">
        <x:v>UNRESOLVED</x:v>
      </x:c>
      <x:c r="M472" s="13" t="str"/>
      <x:c r="N472" s="13" t="str">
        <x:v>NO / DEFAULT</x:v>
      </x:c>
      <x:c r="O472" s="13" t="str"/>
      <x:c r="P472" s="13" t="str">
        <x:v>NO / DEFAULT</x:v>
      </x:c>
      <x:c r="Q472" s="13" t="str"/>
      <x:c r="R472" s="13" t="str">
        <x:v>INDEPENDENT / DEFAULT</x:v>
      </x:c>
      <x:c r="S472" s="13" t="str"/>
      <x:c r="T472" s="13" t="str">
        <x:v>UNRESOLVED</x:v>
      </x:c>
      <x:c r="U472" s="13" t="str"/>
      <x:c r="V472" s="13" t="str"/>
      <x:c r="W472" s="13" t="str"/>
      <x:c r="X472" s="13" t="str">
        <x:f>IF(L472&lt;&gt;"COVERED","HELD — COVERAGE",IF(N472="YES — SENSITIVE","C ACTIONABLE","CHAPTER 5 DEFAULT"))</x:f>
        <x:v>HELD — COVERAGE</x:v>
      </x:c>
      <x:c r="Y472" s="13" t="str">
        <x:f>IF(L472&lt;&gt;"COVERED","HELD — COVERAGE",IF(P472="YES — MANAGED ACCESS","D ACTIONABLE","NO D FIELD"))</x:f>
        <x:v>HELD — COVERAGE</x:v>
      </x:c>
      <x:c r="Z472" s="13" t="str">
        <x:f>IF(L472&lt;&gt;"COVERED","HELD — COVERAGE",IF(OR(R472="PAIRED SYNCHRONIZED",R472="TRILATERAL SYNCHRONIZED"),"E ACTIONABLE","INDEPENDENT"))</x:f>
        <x:v>HELD — COVERAGE</x:v>
      </x:c>
      <x:c r="AA472" s="13" t="str">
        <x:f>IF(L472&lt;&gt;"COVERED","HELD — COVERAGE","WAIT FOR UPSTREAM COMPLETION")</x:f>
        <x:v>HELD — COVERAGE</x:v>
      </x:c>
      <x:c r="AB472" s="13" t="str">
        <x:f>IF(L472&lt;&gt;"COVERED","HELD — COVERAGE",IF(T472="UNRESOLVED","G DECISION REQUIRED",IF(T472="NOT APPLICABLE","G N/A","G ACTIONABLE")))</x:f>
        <x:v>HELD — COVERAGE</x:v>
      </x:c>
      <x:c r="AC472" s="13" t="str">
        <x:f>IF(L472="UNRESOLVED","COVERAGE FIRST",IF(OR(L472="EXCLUDED",L472="OUT OF SCOPE"),"CLOSED BY COVERAGE",IF(AND(L472="COVERED",T472&lt;&gt;"UNRESOLVED"),"PARTIALLY ADOPTED","DECISIONS REMAIN")))</x:f>
        <x:v>COVERAGE FIRST</x:v>
      </x:c>
    </x:row>
    <x:row r="473">
      <x:c r="A473" s="13" t="str">
        <x:v>NAAFTC-HS6-080221</x:v>
      </x:c>
      <x:c r="B473" s="13" t="str">
        <x:v>080221</x:v>
      </x:c>
      <x:c r="C473" s="13" t="str">
        <x:v>08</x:v>
      </x:c>
      <x:c r="D473" s="13" t="str">
        <x:v>TRILATERAL_1_TO_1_TO_1</x:v>
      </x:c>
      <x:c r="E473" s="13" t="str">
        <x:v>Pending</x:v>
      </x:c>
      <x:c r="F473" s="13" t="n">
        <x:v>1</x:v>
      </x:c>
      <x:c r="G473" s="13" t="n">
        <x:v>1</x:v>
      </x:c>
      <x:c r="H473" s="13" t="n">
        <x:v>1</x:v>
      </x:c>
      <x:c r="I473" s="13" t="str">
        <x:v>0802210000</x:v>
      </x:c>
      <x:c r="J473" s="13" t="str">
        <x:v>0802210100</x:v>
      </x:c>
      <x:c r="K473" s="13" t="str">
        <x:v>0802210000</x:v>
      </x:c>
      <x:c r="L473" s="13" t="str">
        <x:v>UNRESOLVED</x:v>
      </x:c>
      <x:c r="M473" s="13" t="str"/>
      <x:c r="N473" s="13" t="str">
        <x:v>NO / DEFAULT</x:v>
      </x:c>
      <x:c r="O473" s="13" t="str"/>
      <x:c r="P473" s="13" t="str">
        <x:v>NO / DEFAULT</x:v>
      </x:c>
      <x:c r="Q473" s="13" t="str"/>
      <x:c r="R473" s="13" t="str">
        <x:v>INDEPENDENT / DEFAULT</x:v>
      </x:c>
      <x:c r="S473" s="13" t="str"/>
      <x:c r="T473" s="13" t="str">
        <x:v>UNRESOLVED</x:v>
      </x:c>
      <x:c r="U473" s="13" t="str"/>
      <x:c r="V473" s="13" t="str"/>
      <x:c r="W473" s="13" t="str"/>
      <x:c r="X473" s="13" t="str">
        <x:f>IF(L473&lt;&gt;"COVERED","HELD — COVERAGE",IF(N473="YES — SENSITIVE","C ACTIONABLE","CHAPTER 5 DEFAULT"))</x:f>
        <x:v>HELD — COVERAGE</x:v>
      </x:c>
      <x:c r="Y473" s="13" t="str">
        <x:f>IF(L473&lt;&gt;"COVERED","HELD — COVERAGE",IF(P473="YES — MANAGED ACCESS","D ACTIONABLE","NO D FIELD"))</x:f>
        <x:v>HELD — COVERAGE</x:v>
      </x:c>
      <x:c r="Z473" s="13" t="str">
        <x:f>IF(L473&lt;&gt;"COVERED","HELD — COVERAGE",IF(OR(R473="PAIRED SYNCHRONIZED",R473="TRILATERAL SYNCHRONIZED"),"E ACTIONABLE","INDEPENDENT"))</x:f>
        <x:v>HELD — COVERAGE</x:v>
      </x:c>
      <x:c r="AA473" s="13" t="str">
        <x:f>IF(L473&lt;&gt;"COVERED","HELD — COVERAGE","WAIT FOR UPSTREAM COMPLETION")</x:f>
        <x:v>HELD — COVERAGE</x:v>
      </x:c>
      <x:c r="AB473" s="13" t="str">
        <x:f>IF(L473&lt;&gt;"COVERED","HELD — COVERAGE",IF(T473="UNRESOLVED","G DECISION REQUIRED",IF(T473="NOT APPLICABLE","G N/A","G ACTIONABLE")))</x:f>
        <x:v>HELD — COVERAGE</x:v>
      </x:c>
      <x:c r="AC473" s="13" t="str">
        <x:f>IF(L473="UNRESOLVED","COVERAGE FIRST",IF(OR(L473="EXCLUDED",L473="OUT OF SCOPE"),"CLOSED BY COVERAGE",IF(AND(L473="COVERED",T473&lt;&gt;"UNRESOLVED"),"PARTIALLY ADOPTED","DECISIONS REMAIN")))</x:f>
        <x:v>COVERAGE FIRST</x:v>
      </x:c>
    </x:row>
    <x:row r="474">
      <x:c r="A474" s="13" t="str">
        <x:v>NAAFTC-HS6-080222</x:v>
      </x:c>
      <x:c r="B474" s="13" t="str">
        <x:v>080222</x:v>
      </x:c>
      <x:c r="C474" s="13" t="str">
        <x:v>08</x:v>
      </x:c>
      <x:c r="D474" s="13" t="str">
        <x:v>TRILATERAL_1_TO_1_TO_1</x:v>
      </x:c>
      <x:c r="E474" s="13" t="str">
        <x:v>Pending</x:v>
      </x:c>
      <x:c r="F474" s="13" t="n">
        <x:v>1</x:v>
      </x:c>
      <x:c r="G474" s="13" t="n">
        <x:v>1</x:v>
      </x:c>
      <x:c r="H474" s="13" t="n">
        <x:v>1</x:v>
      </x:c>
      <x:c r="I474" s="13" t="str">
        <x:v>0802220000</x:v>
      </x:c>
      <x:c r="J474" s="13" t="str">
        <x:v>0802220100</x:v>
      </x:c>
      <x:c r="K474" s="13" t="str">
        <x:v>0802220000</x:v>
      </x:c>
      <x:c r="L474" s="13" t="str">
        <x:v>UNRESOLVED</x:v>
      </x:c>
      <x:c r="M474" s="13" t="str"/>
      <x:c r="N474" s="13" t="str">
        <x:v>NO / DEFAULT</x:v>
      </x:c>
      <x:c r="O474" s="13" t="str"/>
      <x:c r="P474" s="13" t="str">
        <x:v>NO / DEFAULT</x:v>
      </x:c>
      <x:c r="Q474" s="13" t="str"/>
      <x:c r="R474" s="13" t="str">
        <x:v>INDEPENDENT / DEFAULT</x:v>
      </x:c>
      <x:c r="S474" s="13" t="str"/>
      <x:c r="T474" s="13" t="str">
        <x:v>UNRESOLVED</x:v>
      </x:c>
      <x:c r="U474" s="13" t="str"/>
      <x:c r="V474" s="13" t="str"/>
      <x:c r="W474" s="13" t="str"/>
      <x:c r="X474" s="13" t="str">
        <x:f>IF(L474&lt;&gt;"COVERED","HELD — COVERAGE",IF(N474="YES — SENSITIVE","C ACTIONABLE","CHAPTER 5 DEFAULT"))</x:f>
        <x:v>HELD — COVERAGE</x:v>
      </x:c>
      <x:c r="Y474" s="13" t="str">
        <x:f>IF(L474&lt;&gt;"COVERED","HELD — COVERAGE",IF(P474="YES — MANAGED ACCESS","D ACTIONABLE","NO D FIELD"))</x:f>
        <x:v>HELD — COVERAGE</x:v>
      </x:c>
      <x:c r="Z474" s="13" t="str">
        <x:f>IF(L474&lt;&gt;"COVERED","HELD — COVERAGE",IF(OR(R474="PAIRED SYNCHRONIZED",R474="TRILATERAL SYNCHRONIZED"),"E ACTIONABLE","INDEPENDENT"))</x:f>
        <x:v>HELD — COVERAGE</x:v>
      </x:c>
      <x:c r="AA474" s="13" t="str">
        <x:f>IF(L474&lt;&gt;"COVERED","HELD — COVERAGE","WAIT FOR UPSTREAM COMPLETION")</x:f>
        <x:v>HELD — COVERAGE</x:v>
      </x:c>
      <x:c r="AB474" s="13" t="str">
        <x:f>IF(L474&lt;&gt;"COVERED","HELD — COVERAGE",IF(T474="UNRESOLVED","G DECISION REQUIRED",IF(T474="NOT APPLICABLE","G N/A","G ACTIONABLE")))</x:f>
        <x:v>HELD — COVERAGE</x:v>
      </x:c>
      <x:c r="AC474" s="13" t="str">
        <x:f>IF(L474="UNRESOLVED","COVERAGE FIRST",IF(OR(L474="EXCLUDED",L474="OUT OF SCOPE"),"CLOSED BY COVERAGE",IF(AND(L474="COVERED",T474&lt;&gt;"UNRESOLVED"),"PARTIALLY ADOPTED","DECISIONS REMAIN")))</x:f>
        <x:v>COVERAGE FIRST</x:v>
      </x:c>
    </x:row>
    <x:row r="475">
      <x:c r="A475" s="13" t="str">
        <x:v>NAAFTC-HS6-080231</x:v>
      </x:c>
      <x:c r="B475" s="13" t="str">
        <x:v>080231</x:v>
      </x:c>
      <x:c r="C475" s="13" t="str">
        <x:v>08</x:v>
      </x:c>
      <x:c r="D475" s="13" t="str">
        <x:v>TRILATERAL_1_TO_1_TO_1</x:v>
      </x:c>
      <x:c r="E475" s="13" t="str">
        <x:v>Pending</x:v>
      </x:c>
      <x:c r="F475" s="13" t="n">
        <x:v>1</x:v>
      </x:c>
      <x:c r="G475" s="13" t="n">
        <x:v>1</x:v>
      </x:c>
      <x:c r="H475" s="13" t="n">
        <x:v>1</x:v>
      </x:c>
      <x:c r="I475" s="13" t="str">
        <x:v>0802310000</x:v>
      </x:c>
      <x:c r="J475" s="13" t="str">
        <x:v>0802310100</x:v>
      </x:c>
      <x:c r="K475" s="13" t="str">
        <x:v>0802310000</x:v>
      </x:c>
      <x:c r="L475" s="13" t="str">
        <x:v>UNRESOLVED</x:v>
      </x:c>
      <x:c r="M475" s="13" t="str"/>
      <x:c r="N475" s="13" t="str">
        <x:v>NO / DEFAULT</x:v>
      </x:c>
      <x:c r="O475" s="13" t="str"/>
      <x:c r="P475" s="13" t="str">
        <x:v>NO / DEFAULT</x:v>
      </x:c>
      <x:c r="Q475" s="13" t="str"/>
      <x:c r="R475" s="13" t="str">
        <x:v>INDEPENDENT / DEFAULT</x:v>
      </x:c>
      <x:c r="S475" s="13" t="str"/>
      <x:c r="T475" s="13" t="str">
        <x:v>UNRESOLVED</x:v>
      </x:c>
      <x:c r="U475" s="13" t="str"/>
      <x:c r="V475" s="13" t="str"/>
      <x:c r="W475" s="13" t="str"/>
      <x:c r="X475" s="13" t="str">
        <x:f>IF(L475&lt;&gt;"COVERED","HELD — COVERAGE",IF(N475="YES — SENSITIVE","C ACTIONABLE","CHAPTER 5 DEFAULT"))</x:f>
        <x:v>HELD — COVERAGE</x:v>
      </x:c>
      <x:c r="Y475" s="13" t="str">
        <x:f>IF(L475&lt;&gt;"COVERED","HELD — COVERAGE",IF(P475="YES — MANAGED ACCESS","D ACTIONABLE","NO D FIELD"))</x:f>
        <x:v>HELD — COVERAGE</x:v>
      </x:c>
      <x:c r="Z475" s="13" t="str">
        <x:f>IF(L475&lt;&gt;"COVERED","HELD — COVERAGE",IF(OR(R475="PAIRED SYNCHRONIZED",R475="TRILATERAL SYNCHRONIZED"),"E ACTIONABLE","INDEPENDENT"))</x:f>
        <x:v>HELD — COVERAGE</x:v>
      </x:c>
      <x:c r="AA475" s="13" t="str">
        <x:f>IF(L475&lt;&gt;"COVERED","HELD — COVERAGE","WAIT FOR UPSTREAM COMPLETION")</x:f>
        <x:v>HELD — COVERAGE</x:v>
      </x:c>
      <x:c r="AB475" s="13" t="str">
        <x:f>IF(L475&lt;&gt;"COVERED","HELD — COVERAGE",IF(T475="UNRESOLVED","G DECISION REQUIRED",IF(T475="NOT APPLICABLE","G N/A","G ACTIONABLE")))</x:f>
        <x:v>HELD — COVERAGE</x:v>
      </x:c>
      <x:c r="AC475" s="13" t="str">
        <x:f>IF(L475="UNRESOLVED","COVERAGE FIRST",IF(OR(L475="EXCLUDED",L475="OUT OF SCOPE"),"CLOSED BY COVERAGE",IF(AND(L475="COVERED",T475&lt;&gt;"UNRESOLVED"),"PARTIALLY ADOPTED","DECISIONS REMAIN")))</x:f>
        <x:v>COVERAGE FIRST</x:v>
      </x:c>
    </x:row>
    <x:row r="476">
      <x:c r="A476" s="13" t="str">
        <x:v>NAAFTC-HS6-080232</x:v>
      </x:c>
      <x:c r="B476" s="13" t="str">
        <x:v>080232</x:v>
      </x:c>
      <x:c r="C476" s="13" t="str">
        <x:v>08</x:v>
      </x:c>
      <x:c r="D476" s="13" t="str">
        <x:v>TRILATERAL_1_TO_1_TO_1</x:v>
      </x:c>
      <x:c r="E476" s="13" t="str">
        <x:v>Pending</x:v>
      </x:c>
      <x:c r="F476" s="13" t="n">
        <x:v>1</x:v>
      </x:c>
      <x:c r="G476" s="13" t="n">
        <x:v>1</x:v>
      </x:c>
      <x:c r="H476" s="13" t="n">
        <x:v>1</x:v>
      </x:c>
      <x:c r="I476" s="13" t="str">
        <x:v>0802320000</x:v>
      </x:c>
      <x:c r="J476" s="13" t="str">
        <x:v>0802320100</x:v>
      </x:c>
      <x:c r="K476" s="13" t="str">
        <x:v>0802320000</x:v>
      </x:c>
      <x:c r="L476" s="13" t="str">
        <x:v>UNRESOLVED</x:v>
      </x:c>
      <x:c r="M476" s="13" t="str"/>
      <x:c r="N476" s="13" t="str">
        <x:v>NO / DEFAULT</x:v>
      </x:c>
      <x:c r="O476" s="13" t="str"/>
      <x:c r="P476" s="13" t="str">
        <x:v>NO / DEFAULT</x:v>
      </x:c>
      <x:c r="Q476" s="13" t="str"/>
      <x:c r="R476" s="13" t="str">
        <x:v>INDEPENDENT / DEFAULT</x:v>
      </x:c>
      <x:c r="S476" s="13" t="str"/>
      <x:c r="T476" s="13" t="str">
        <x:v>UNRESOLVED</x:v>
      </x:c>
      <x:c r="U476" s="13" t="str"/>
      <x:c r="V476" s="13" t="str"/>
      <x:c r="W476" s="13" t="str"/>
      <x:c r="X476" s="13" t="str">
        <x:f>IF(L476&lt;&gt;"COVERED","HELD — COVERAGE",IF(N476="YES — SENSITIVE","C ACTIONABLE","CHAPTER 5 DEFAULT"))</x:f>
        <x:v>HELD — COVERAGE</x:v>
      </x:c>
      <x:c r="Y476" s="13" t="str">
        <x:f>IF(L476&lt;&gt;"COVERED","HELD — COVERAGE",IF(P476="YES — MANAGED ACCESS","D ACTIONABLE","NO D FIELD"))</x:f>
        <x:v>HELD — COVERAGE</x:v>
      </x:c>
      <x:c r="Z476" s="13" t="str">
        <x:f>IF(L476&lt;&gt;"COVERED","HELD — COVERAGE",IF(OR(R476="PAIRED SYNCHRONIZED",R476="TRILATERAL SYNCHRONIZED"),"E ACTIONABLE","INDEPENDENT"))</x:f>
        <x:v>HELD — COVERAGE</x:v>
      </x:c>
      <x:c r="AA476" s="13" t="str">
        <x:f>IF(L476&lt;&gt;"COVERED","HELD — COVERAGE","WAIT FOR UPSTREAM COMPLETION")</x:f>
        <x:v>HELD — COVERAGE</x:v>
      </x:c>
      <x:c r="AB476" s="13" t="str">
        <x:f>IF(L476&lt;&gt;"COVERED","HELD — COVERAGE",IF(T476="UNRESOLVED","G DECISION REQUIRED",IF(T476="NOT APPLICABLE","G N/A","G ACTIONABLE")))</x:f>
        <x:v>HELD — COVERAGE</x:v>
      </x:c>
      <x:c r="AC476" s="13" t="str">
        <x:f>IF(L476="UNRESOLVED","COVERAGE FIRST",IF(OR(L476="EXCLUDED",L476="OUT OF SCOPE"),"CLOSED BY COVERAGE",IF(AND(L476="COVERED",T476&lt;&gt;"UNRESOLVED"),"PARTIALLY ADOPTED","DECISIONS REMAIN")))</x:f>
        <x:v>COVERAGE FIRST</x:v>
      </x:c>
    </x:row>
    <x:row r="477">
      <x:c r="A477" s="13" t="str">
        <x:v>NAAFTC-HS6-080241</x:v>
      </x:c>
      <x:c r="B477" s="13" t="str">
        <x:v>080241</x:v>
      </x:c>
      <x:c r="C477" s="13" t="str">
        <x:v>08</x:v>
      </x:c>
      <x:c r="D477" s="13" t="str">
        <x:v>TRILATERAL_1_TO_1_TO_1</x:v>
      </x:c>
      <x:c r="E477" s="13" t="str">
        <x:v>Pending</x:v>
      </x:c>
      <x:c r="F477" s="13" t="n">
        <x:v>1</x:v>
      </x:c>
      <x:c r="G477" s="13" t="n">
        <x:v>1</x:v>
      </x:c>
      <x:c r="H477" s="13" t="n">
        <x:v>1</x:v>
      </x:c>
      <x:c r="I477" s="13" t="str">
        <x:v>0802410000</x:v>
      </x:c>
      <x:c r="J477" s="13" t="str">
        <x:v>0802410100</x:v>
      </x:c>
      <x:c r="K477" s="13" t="str">
        <x:v>0802410000</x:v>
      </x:c>
      <x:c r="L477" s="13" t="str">
        <x:v>UNRESOLVED</x:v>
      </x:c>
      <x:c r="M477" s="13" t="str"/>
      <x:c r="N477" s="13" t="str">
        <x:v>NO / DEFAULT</x:v>
      </x:c>
      <x:c r="O477" s="13" t="str"/>
      <x:c r="P477" s="13" t="str">
        <x:v>NO / DEFAULT</x:v>
      </x:c>
      <x:c r="Q477" s="13" t="str"/>
      <x:c r="R477" s="13" t="str">
        <x:v>INDEPENDENT / DEFAULT</x:v>
      </x:c>
      <x:c r="S477" s="13" t="str"/>
      <x:c r="T477" s="13" t="str">
        <x:v>UNRESOLVED</x:v>
      </x:c>
      <x:c r="U477" s="13" t="str"/>
      <x:c r="V477" s="13" t="str"/>
      <x:c r="W477" s="13" t="str"/>
      <x:c r="X477" s="13" t="str">
        <x:f>IF(L477&lt;&gt;"COVERED","HELD — COVERAGE",IF(N477="YES — SENSITIVE","C ACTIONABLE","CHAPTER 5 DEFAULT"))</x:f>
        <x:v>HELD — COVERAGE</x:v>
      </x:c>
      <x:c r="Y477" s="13" t="str">
        <x:f>IF(L477&lt;&gt;"COVERED","HELD — COVERAGE",IF(P477="YES — MANAGED ACCESS","D ACTIONABLE","NO D FIELD"))</x:f>
        <x:v>HELD — COVERAGE</x:v>
      </x:c>
      <x:c r="Z477" s="13" t="str">
        <x:f>IF(L477&lt;&gt;"COVERED","HELD — COVERAGE",IF(OR(R477="PAIRED SYNCHRONIZED",R477="TRILATERAL SYNCHRONIZED"),"E ACTIONABLE","INDEPENDENT"))</x:f>
        <x:v>HELD — COVERAGE</x:v>
      </x:c>
      <x:c r="AA477" s="13" t="str">
        <x:f>IF(L477&lt;&gt;"COVERED","HELD — COVERAGE","WAIT FOR UPSTREAM COMPLETION")</x:f>
        <x:v>HELD — COVERAGE</x:v>
      </x:c>
      <x:c r="AB477" s="13" t="str">
        <x:f>IF(L477&lt;&gt;"COVERED","HELD — COVERAGE",IF(T477="UNRESOLVED","G DECISION REQUIRED",IF(T477="NOT APPLICABLE","G N/A","G ACTIONABLE")))</x:f>
        <x:v>HELD — COVERAGE</x:v>
      </x:c>
      <x:c r="AC477" s="13" t="str">
        <x:f>IF(L477="UNRESOLVED","COVERAGE FIRST",IF(OR(L477="EXCLUDED",L477="OUT OF SCOPE"),"CLOSED BY COVERAGE",IF(AND(L477="COVERED",T477&lt;&gt;"UNRESOLVED"),"PARTIALLY ADOPTED","DECISIONS REMAIN")))</x:f>
        <x:v>COVERAGE FIRST</x:v>
      </x:c>
    </x:row>
    <x:row r="478">
      <x:c r="A478" s="13" t="str">
        <x:v>NAAFTC-HS6-080242</x:v>
      </x:c>
      <x:c r="B478" s="13" t="str">
        <x:v>080242</x:v>
      </x:c>
      <x:c r="C478" s="13" t="str">
        <x:v>08</x:v>
      </x:c>
      <x:c r="D478" s="13" t="str">
        <x:v>TRILATERAL_1_TO_1_TO_1</x:v>
      </x:c>
      <x:c r="E478" s="13" t="str">
        <x:v>Pending</x:v>
      </x:c>
      <x:c r="F478" s="13" t="n">
        <x:v>1</x:v>
      </x:c>
      <x:c r="G478" s="13" t="n">
        <x:v>1</x:v>
      </x:c>
      <x:c r="H478" s="13" t="n">
        <x:v>1</x:v>
      </x:c>
      <x:c r="I478" s="13" t="str">
        <x:v>0802420000</x:v>
      </x:c>
      <x:c r="J478" s="13" t="str">
        <x:v>0802420100</x:v>
      </x:c>
      <x:c r="K478" s="13" t="str">
        <x:v>0802420000</x:v>
      </x:c>
      <x:c r="L478" s="13" t="str">
        <x:v>UNRESOLVED</x:v>
      </x:c>
      <x:c r="M478" s="13" t="str"/>
      <x:c r="N478" s="13" t="str">
        <x:v>NO / DEFAULT</x:v>
      </x:c>
      <x:c r="O478" s="13" t="str"/>
      <x:c r="P478" s="13" t="str">
        <x:v>NO / DEFAULT</x:v>
      </x:c>
      <x:c r="Q478" s="13" t="str"/>
      <x:c r="R478" s="13" t="str">
        <x:v>INDEPENDENT / DEFAULT</x:v>
      </x:c>
      <x:c r="S478" s="13" t="str"/>
      <x:c r="T478" s="13" t="str">
        <x:v>UNRESOLVED</x:v>
      </x:c>
      <x:c r="U478" s="13" t="str"/>
      <x:c r="V478" s="13" t="str"/>
      <x:c r="W478" s="13" t="str"/>
      <x:c r="X478" s="13" t="str">
        <x:f>IF(L478&lt;&gt;"COVERED","HELD — COVERAGE",IF(N478="YES — SENSITIVE","C ACTIONABLE","CHAPTER 5 DEFAULT"))</x:f>
        <x:v>HELD — COVERAGE</x:v>
      </x:c>
      <x:c r="Y478" s="13" t="str">
        <x:f>IF(L478&lt;&gt;"COVERED","HELD — COVERAGE",IF(P478="YES — MANAGED ACCESS","D ACTIONABLE","NO D FIELD"))</x:f>
        <x:v>HELD — COVERAGE</x:v>
      </x:c>
      <x:c r="Z478" s="13" t="str">
        <x:f>IF(L478&lt;&gt;"COVERED","HELD — COVERAGE",IF(OR(R478="PAIRED SYNCHRONIZED",R478="TRILATERAL SYNCHRONIZED"),"E ACTIONABLE","INDEPENDENT"))</x:f>
        <x:v>HELD — COVERAGE</x:v>
      </x:c>
      <x:c r="AA478" s="13" t="str">
        <x:f>IF(L478&lt;&gt;"COVERED","HELD — COVERAGE","WAIT FOR UPSTREAM COMPLETION")</x:f>
        <x:v>HELD — COVERAGE</x:v>
      </x:c>
      <x:c r="AB478" s="13" t="str">
        <x:f>IF(L478&lt;&gt;"COVERED","HELD — COVERAGE",IF(T478="UNRESOLVED","G DECISION REQUIRED",IF(T478="NOT APPLICABLE","G N/A","G ACTIONABLE")))</x:f>
        <x:v>HELD — COVERAGE</x:v>
      </x:c>
      <x:c r="AC478" s="13" t="str">
        <x:f>IF(L478="UNRESOLVED","COVERAGE FIRST",IF(OR(L478="EXCLUDED",L478="OUT OF SCOPE"),"CLOSED BY COVERAGE",IF(AND(L478="COVERED",T478&lt;&gt;"UNRESOLVED"),"PARTIALLY ADOPTED","DECISIONS REMAIN")))</x:f>
        <x:v>COVERAGE FIRST</x:v>
      </x:c>
    </x:row>
    <x:row r="479">
      <x:c r="A479" s="13" t="str">
        <x:v>NAAFTC-HS6-080251</x:v>
      </x:c>
      <x:c r="B479" s="13" t="str">
        <x:v>080251</x:v>
      </x:c>
      <x:c r="C479" s="13" t="str">
        <x:v>08</x:v>
      </x:c>
      <x:c r="D479" s="13" t="str">
        <x:v>TRILATERAL_1_TO_1_TO_1</x:v>
      </x:c>
      <x:c r="E479" s="13" t="str">
        <x:v>Pending</x:v>
      </x:c>
      <x:c r="F479" s="13" t="n">
        <x:v>1</x:v>
      </x:c>
      <x:c r="G479" s="13" t="n">
        <x:v>1</x:v>
      </x:c>
      <x:c r="H479" s="13" t="n">
        <x:v>1</x:v>
      </x:c>
      <x:c r="I479" s="13" t="str">
        <x:v>0802510000</x:v>
      </x:c>
      <x:c r="J479" s="13" t="str">
        <x:v>0802510100</x:v>
      </x:c>
      <x:c r="K479" s="13" t="str">
        <x:v>0802510000</x:v>
      </x:c>
      <x:c r="L479" s="13" t="str">
        <x:v>UNRESOLVED</x:v>
      </x:c>
      <x:c r="M479" s="13" t="str"/>
      <x:c r="N479" s="13" t="str">
        <x:v>NO / DEFAULT</x:v>
      </x:c>
      <x:c r="O479" s="13" t="str"/>
      <x:c r="P479" s="13" t="str">
        <x:v>NO / DEFAULT</x:v>
      </x:c>
      <x:c r="Q479" s="13" t="str"/>
      <x:c r="R479" s="13" t="str">
        <x:v>INDEPENDENT / DEFAULT</x:v>
      </x:c>
      <x:c r="S479" s="13" t="str"/>
      <x:c r="T479" s="13" t="str">
        <x:v>UNRESOLVED</x:v>
      </x:c>
      <x:c r="U479" s="13" t="str"/>
      <x:c r="V479" s="13" t="str"/>
      <x:c r="W479" s="13" t="str"/>
      <x:c r="X479" s="13" t="str">
        <x:f>IF(L479&lt;&gt;"COVERED","HELD — COVERAGE",IF(N479="YES — SENSITIVE","C ACTIONABLE","CHAPTER 5 DEFAULT"))</x:f>
        <x:v>HELD — COVERAGE</x:v>
      </x:c>
      <x:c r="Y479" s="13" t="str">
        <x:f>IF(L479&lt;&gt;"COVERED","HELD — COVERAGE",IF(P479="YES — MANAGED ACCESS","D ACTIONABLE","NO D FIELD"))</x:f>
        <x:v>HELD — COVERAGE</x:v>
      </x:c>
      <x:c r="Z479" s="13" t="str">
        <x:f>IF(L479&lt;&gt;"COVERED","HELD — COVERAGE",IF(OR(R479="PAIRED SYNCHRONIZED",R479="TRILATERAL SYNCHRONIZED"),"E ACTIONABLE","INDEPENDENT"))</x:f>
        <x:v>HELD — COVERAGE</x:v>
      </x:c>
      <x:c r="AA479" s="13" t="str">
        <x:f>IF(L479&lt;&gt;"COVERED","HELD — COVERAGE","WAIT FOR UPSTREAM COMPLETION")</x:f>
        <x:v>HELD — COVERAGE</x:v>
      </x:c>
      <x:c r="AB479" s="13" t="str">
        <x:f>IF(L479&lt;&gt;"COVERED","HELD — COVERAGE",IF(T479="UNRESOLVED","G DECISION REQUIRED",IF(T479="NOT APPLICABLE","G N/A","G ACTIONABLE")))</x:f>
        <x:v>HELD — COVERAGE</x:v>
      </x:c>
      <x:c r="AC479" s="13" t="str">
        <x:f>IF(L479="UNRESOLVED","COVERAGE FIRST",IF(OR(L479="EXCLUDED",L479="OUT OF SCOPE"),"CLOSED BY COVERAGE",IF(AND(L479="COVERED",T479&lt;&gt;"UNRESOLVED"),"PARTIALLY ADOPTED","DECISIONS REMAIN")))</x:f>
        <x:v>COVERAGE FIRST</x:v>
      </x:c>
    </x:row>
    <x:row r="480">
      <x:c r="A480" s="13" t="str">
        <x:v>NAAFTC-HS6-080252</x:v>
      </x:c>
      <x:c r="B480" s="13" t="str">
        <x:v>080252</x:v>
      </x:c>
      <x:c r="C480" s="13" t="str">
        <x:v>08</x:v>
      </x:c>
      <x:c r="D480" s="13" t="str">
        <x:v>TRILATERAL_1_TO_1_TO_1</x:v>
      </x:c>
      <x:c r="E480" s="13" t="str">
        <x:v>Pending</x:v>
      </x:c>
      <x:c r="F480" s="13" t="n">
        <x:v>1</x:v>
      </x:c>
      <x:c r="G480" s="13" t="n">
        <x:v>1</x:v>
      </x:c>
      <x:c r="H480" s="13" t="n">
        <x:v>1</x:v>
      </x:c>
      <x:c r="I480" s="13" t="str">
        <x:v>0802520000</x:v>
      </x:c>
      <x:c r="J480" s="13" t="str">
        <x:v>0802520100</x:v>
      </x:c>
      <x:c r="K480" s="13" t="str">
        <x:v>0802520000</x:v>
      </x:c>
      <x:c r="L480" s="13" t="str">
        <x:v>UNRESOLVED</x:v>
      </x:c>
      <x:c r="M480" s="13" t="str"/>
      <x:c r="N480" s="13" t="str">
        <x:v>NO / DEFAULT</x:v>
      </x:c>
      <x:c r="O480" s="13" t="str"/>
      <x:c r="P480" s="13" t="str">
        <x:v>NO / DEFAULT</x:v>
      </x:c>
      <x:c r="Q480" s="13" t="str"/>
      <x:c r="R480" s="13" t="str">
        <x:v>INDEPENDENT / DEFAULT</x:v>
      </x:c>
      <x:c r="S480" s="13" t="str"/>
      <x:c r="T480" s="13" t="str">
        <x:v>UNRESOLVED</x:v>
      </x:c>
      <x:c r="U480" s="13" t="str"/>
      <x:c r="V480" s="13" t="str"/>
      <x:c r="W480" s="13" t="str"/>
      <x:c r="X480" s="13" t="str">
        <x:f>IF(L480&lt;&gt;"COVERED","HELD — COVERAGE",IF(N480="YES — SENSITIVE","C ACTIONABLE","CHAPTER 5 DEFAULT"))</x:f>
        <x:v>HELD — COVERAGE</x:v>
      </x:c>
      <x:c r="Y480" s="13" t="str">
        <x:f>IF(L480&lt;&gt;"COVERED","HELD — COVERAGE",IF(P480="YES — MANAGED ACCESS","D ACTIONABLE","NO D FIELD"))</x:f>
        <x:v>HELD — COVERAGE</x:v>
      </x:c>
      <x:c r="Z480" s="13" t="str">
        <x:f>IF(L480&lt;&gt;"COVERED","HELD — COVERAGE",IF(OR(R480="PAIRED SYNCHRONIZED",R480="TRILATERAL SYNCHRONIZED"),"E ACTIONABLE","INDEPENDENT"))</x:f>
        <x:v>HELD — COVERAGE</x:v>
      </x:c>
      <x:c r="AA480" s="13" t="str">
        <x:f>IF(L480&lt;&gt;"COVERED","HELD — COVERAGE","WAIT FOR UPSTREAM COMPLETION")</x:f>
        <x:v>HELD — COVERAGE</x:v>
      </x:c>
      <x:c r="AB480" s="13" t="str">
        <x:f>IF(L480&lt;&gt;"COVERED","HELD — COVERAGE",IF(T480="UNRESOLVED","G DECISION REQUIRED",IF(T480="NOT APPLICABLE","G N/A","G ACTIONABLE")))</x:f>
        <x:v>HELD — COVERAGE</x:v>
      </x:c>
      <x:c r="AC480" s="13" t="str">
        <x:f>IF(L480="UNRESOLVED","COVERAGE FIRST",IF(OR(L480="EXCLUDED",L480="OUT OF SCOPE"),"CLOSED BY COVERAGE",IF(AND(L480="COVERED",T480&lt;&gt;"UNRESOLVED"),"PARTIALLY ADOPTED","DECISIONS REMAIN")))</x:f>
        <x:v>COVERAGE FIRST</x:v>
      </x:c>
    </x:row>
    <x:row r="481">
      <x:c r="A481" s="13" t="str">
        <x:v>NAAFTC-HS6-080261</x:v>
      </x:c>
      <x:c r="B481" s="13" t="str">
        <x:v>080261</x:v>
      </x:c>
      <x:c r="C481" s="13" t="str">
        <x:v>08</x:v>
      </x:c>
      <x:c r="D481" s="13" t="str">
        <x:v>TRILATERAL_1_TO_1_TO_1</x:v>
      </x:c>
      <x:c r="E481" s="13" t="str">
        <x:v>Pending</x:v>
      </x:c>
      <x:c r="F481" s="13" t="n">
        <x:v>1</x:v>
      </x:c>
      <x:c r="G481" s="13" t="n">
        <x:v>1</x:v>
      </x:c>
      <x:c r="H481" s="13" t="n">
        <x:v>1</x:v>
      </x:c>
      <x:c r="I481" s="13" t="str">
        <x:v>0802610000</x:v>
      </x:c>
      <x:c r="J481" s="13" t="str">
        <x:v>0802610100</x:v>
      </x:c>
      <x:c r="K481" s="13" t="str">
        <x:v>0802610000</x:v>
      </x:c>
      <x:c r="L481" s="13" t="str">
        <x:v>UNRESOLVED</x:v>
      </x:c>
      <x:c r="M481" s="13" t="str"/>
      <x:c r="N481" s="13" t="str">
        <x:v>NO / DEFAULT</x:v>
      </x:c>
      <x:c r="O481" s="13" t="str"/>
      <x:c r="P481" s="13" t="str">
        <x:v>NO / DEFAULT</x:v>
      </x:c>
      <x:c r="Q481" s="13" t="str"/>
      <x:c r="R481" s="13" t="str">
        <x:v>INDEPENDENT / DEFAULT</x:v>
      </x:c>
      <x:c r="S481" s="13" t="str"/>
      <x:c r="T481" s="13" t="str">
        <x:v>UNRESOLVED</x:v>
      </x:c>
      <x:c r="U481" s="13" t="str"/>
      <x:c r="V481" s="13" t="str"/>
      <x:c r="W481" s="13" t="str"/>
      <x:c r="X481" s="13" t="str">
        <x:f>IF(L481&lt;&gt;"COVERED","HELD — COVERAGE",IF(N481="YES — SENSITIVE","C ACTIONABLE","CHAPTER 5 DEFAULT"))</x:f>
        <x:v>HELD — COVERAGE</x:v>
      </x:c>
      <x:c r="Y481" s="13" t="str">
        <x:f>IF(L481&lt;&gt;"COVERED","HELD — COVERAGE",IF(P481="YES — MANAGED ACCESS","D ACTIONABLE","NO D FIELD"))</x:f>
        <x:v>HELD — COVERAGE</x:v>
      </x:c>
      <x:c r="Z481" s="13" t="str">
        <x:f>IF(L481&lt;&gt;"COVERED","HELD — COVERAGE",IF(OR(R481="PAIRED SYNCHRONIZED",R481="TRILATERAL SYNCHRONIZED"),"E ACTIONABLE","INDEPENDENT"))</x:f>
        <x:v>HELD — COVERAGE</x:v>
      </x:c>
      <x:c r="AA481" s="13" t="str">
        <x:f>IF(L481&lt;&gt;"COVERED","HELD — COVERAGE","WAIT FOR UPSTREAM COMPLETION")</x:f>
        <x:v>HELD — COVERAGE</x:v>
      </x:c>
      <x:c r="AB481" s="13" t="str">
        <x:f>IF(L481&lt;&gt;"COVERED","HELD — COVERAGE",IF(T481="UNRESOLVED","G DECISION REQUIRED",IF(T481="NOT APPLICABLE","G N/A","G ACTIONABLE")))</x:f>
        <x:v>HELD — COVERAGE</x:v>
      </x:c>
      <x:c r="AC481" s="13" t="str">
        <x:f>IF(L481="UNRESOLVED","COVERAGE FIRST",IF(OR(L481="EXCLUDED",L481="OUT OF SCOPE"),"CLOSED BY COVERAGE",IF(AND(L481="COVERED",T481&lt;&gt;"UNRESOLVED"),"PARTIALLY ADOPTED","DECISIONS REMAIN")))</x:f>
        <x:v>COVERAGE FIRST</x:v>
      </x:c>
    </x:row>
    <x:row r="482">
      <x:c r="A482" s="13" t="str">
        <x:v>NAAFTC-HS6-080262</x:v>
      </x:c>
      <x:c r="B482" s="13" t="str">
        <x:v>080262</x:v>
      </x:c>
      <x:c r="C482" s="13" t="str">
        <x:v>08</x:v>
      </x:c>
      <x:c r="D482" s="13" t="str">
        <x:v>TRILATERAL_1_TO_1_TO_1</x:v>
      </x:c>
      <x:c r="E482" s="13" t="str">
        <x:v>Pending</x:v>
      </x:c>
      <x:c r="F482" s="13" t="n">
        <x:v>1</x:v>
      </x:c>
      <x:c r="G482" s="13" t="n">
        <x:v>1</x:v>
      </x:c>
      <x:c r="H482" s="13" t="n">
        <x:v>1</x:v>
      </x:c>
      <x:c r="I482" s="13" t="str">
        <x:v>0802620000</x:v>
      </x:c>
      <x:c r="J482" s="13" t="str">
        <x:v>0802620100</x:v>
      </x:c>
      <x:c r="K482" s="13" t="str">
        <x:v>0802620000</x:v>
      </x:c>
      <x:c r="L482" s="13" t="str">
        <x:v>UNRESOLVED</x:v>
      </x:c>
      <x:c r="M482" s="13" t="str"/>
      <x:c r="N482" s="13" t="str">
        <x:v>NO / DEFAULT</x:v>
      </x:c>
      <x:c r="O482" s="13" t="str"/>
      <x:c r="P482" s="13" t="str">
        <x:v>NO / DEFAULT</x:v>
      </x:c>
      <x:c r="Q482" s="13" t="str"/>
      <x:c r="R482" s="13" t="str">
        <x:v>INDEPENDENT / DEFAULT</x:v>
      </x:c>
      <x:c r="S482" s="13" t="str"/>
      <x:c r="T482" s="13" t="str">
        <x:v>UNRESOLVED</x:v>
      </x:c>
      <x:c r="U482" s="13" t="str"/>
      <x:c r="V482" s="13" t="str"/>
      <x:c r="W482" s="13" t="str"/>
      <x:c r="X482" s="13" t="str">
        <x:f>IF(L482&lt;&gt;"COVERED","HELD — COVERAGE",IF(N482="YES — SENSITIVE","C ACTIONABLE","CHAPTER 5 DEFAULT"))</x:f>
        <x:v>HELD — COVERAGE</x:v>
      </x:c>
      <x:c r="Y482" s="13" t="str">
        <x:f>IF(L482&lt;&gt;"COVERED","HELD — COVERAGE",IF(P482="YES — MANAGED ACCESS","D ACTIONABLE","NO D FIELD"))</x:f>
        <x:v>HELD — COVERAGE</x:v>
      </x:c>
      <x:c r="Z482" s="13" t="str">
        <x:f>IF(L482&lt;&gt;"COVERED","HELD — COVERAGE",IF(OR(R482="PAIRED SYNCHRONIZED",R482="TRILATERAL SYNCHRONIZED"),"E ACTIONABLE","INDEPENDENT"))</x:f>
        <x:v>HELD — COVERAGE</x:v>
      </x:c>
      <x:c r="AA482" s="13" t="str">
        <x:f>IF(L482&lt;&gt;"COVERED","HELD — COVERAGE","WAIT FOR UPSTREAM COMPLETION")</x:f>
        <x:v>HELD — COVERAGE</x:v>
      </x:c>
      <x:c r="AB482" s="13" t="str">
        <x:f>IF(L482&lt;&gt;"COVERED","HELD — COVERAGE",IF(T482="UNRESOLVED","G DECISION REQUIRED",IF(T482="NOT APPLICABLE","G N/A","G ACTIONABLE")))</x:f>
        <x:v>HELD — COVERAGE</x:v>
      </x:c>
      <x:c r="AC482" s="13" t="str">
        <x:f>IF(L482="UNRESOLVED","COVERAGE FIRST",IF(OR(L482="EXCLUDED",L482="OUT OF SCOPE"),"CLOSED BY COVERAGE",IF(AND(L482="COVERED",T482&lt;&gt;"UNRESOLVED"),"PARTIALLY ADOPTED","DECISIONS REMAIN")))</x:f>
        <x:v>COVERAGE FIRST</x:v>
      </x:c>
    </x:row>
    <x:row r="483">
      <x:c r="A483" s="13" t="str">
        <x:v>NAAFTC-HS6-080270</x:v>
      </x:c>
      <x:c r="B483" s="13" t="str">
        <x:v>080270</x:v>
      </x:c>
      <x:c r="C483" s="13" t="str">
        <x:v>08</x:v>
      </x:c>
      <x:c r="D483" s="13" t="str">
        <x:v>TRILATERAL_SPLIT_MERGE</x:v>
      </x:c>
      <x:c r="E483" s="13" t="str">
        <x:v>Pending</x:v>
      </x:c>
      <x:c r="F483" s="13" t="n">
        <x:v>2</x:v>
      </x:c>
      <x:c r="G483" s="13" t="n">
        <x:v>1</x:v>
      </x:c>
      <x:c r="H483" s="13" t="n">
        <x:v>1</x:v>
      </x:c>
      <x:c r="I483" s="13" t="str">
        <x:v>0802701000; 0802702000</x:v>
      </x:c>
      <x:c r="J483" s="13" t="str">
        <x:v>0802700100</x:v>
      </x:c>
      <x:c r="K483" s="13" t="str">
        <x:v>0802700000</x:v>
      </x:c>
      <x:c r="L483" s="13" t="str">
        <x:v>UNRESOLVED</x:v>
      </x:c>
      <x:c r="M483" s="13" t="str"/>
      <x:c r="N483" s="13" t="str">
        <x:v>NO / DEFAULT</x:v>
      </x:c>
      <x:c r="O483" s="13" t="str"/>
      <x:c r="P483" s="13" t="str">
        <x:v>NO / DEFAULT</x:v>
      </x:c>
      <x:c r="Q483" s="13" t="str"/>
      <x:c r="R483" s="13" t="str">
        <x:v>INDEPENDENT / DEFAULT</x:v>
      </x:c>
      <x:c r="S483" s="13" t="str"/>
      <x:c r="T483" s="13" t="str">
        <x:v>UNRESOLVED</x:v>
      </x:c>
      <x:c r="U483" s="13" t="str"/>
      <x:c r="V483" s="13" t="str"/>
      <x:c r="W483" s="13" t="str"/>
      <x:c r="X483" s="13" t="str">
        <x:f>IF(L483&lt;&gt;"COVERED","HELD — COVERAGE",IF(N483="YES — SENSITIVE","C ACTIONABLE","CHAPTER 5 DEFAULT"))</x:f>
        <x:v>HELD — COVERAGE</x:v>
      </x:c>
      <x:c r="Y483" s="13" t="str">
        <x:f>IF(L483&lt;&gt;"COVERED","HELD — COVERAGE",IF(P483="YES — MANAGED ACCESS","D ACTIONABLE","NO D FIELD"))</x:f>
        <x:v>HELD — COVERAGE</x:v>
      </x:c>
      <x:c r="Z483" s="13" t="str">
        <x:f>IF(L483&lt;&gt;"COVERED","HELD — COVERAGE",IF(OR(R483="PAIRED SYNCHRONIZED",R483="TRILATERAL SYNCHRONIZED"),"E ACTIONABLE","INDEPENDENT"))</x:f>
        <x:v>HELD — COVERAGE</x:v>
      </x:c>
      <x:c r="AA483" s="13" t="str">
        <x:f>IF(L483&lt;&gt;"COVERED","HELD — COVERAGE","WAIT FOR UPSTREAM COMPLETION")</x:f>
        <x:v>HELD — COVERAGE</x:v>
      </x:c>
      <x:c r="AB483" s="13" t="str">
        <x:f>IF(L483&lt;&gt;"COVERED","HELD — COVERAGE",IF(T483="UNRESOLVED","G DECISION REQUIRED",IF(T483="NOT APPLICABLE","G N/A","G ACTIONABLE")))</x:f>
        <x:v>HELD — COVERAGE</x:v>
      </x:c>
      <x:c r="AC483" s="13" t="str">
        <x:f>IF(L483="UNRESOLVED","COVERAGE FIRST",IF(OR(L483="EXCLUDED",L483="OUT OF SCOPE"),"CLOSED BY COVERAGE",IF(AND(L483="COVERED",T483&lt;&gt;"UNRESOLVED"),"PARTIALLY ADOPTED","DECISIONS REMAIN")))</x:f>
        <x:v>COVERAGE FIRST</x:v>
      </x:c>
    </x:row>
    <x:row r="484">
      <x:c r="A484" s="13" t="str">
        <x:v>NAAFTC-HS6-080280</x:v>
      </x:c>
      <x:c r="B484" s="13" t="str">
        <x:v>080280</x:v>
      </x:c>
      <x:c r="C484" s="13" t="str">
        <x:v>08</x:v>
      </x:c>
      <x:c r="D484" s="13" t="str">
        <x:v>TRILATERAL_SPLIT_MERGE</x:v>
      </x:c>
      <x:c r="E484" s="13" t="str">
        <x:v>Pending</x:v>
      </x:c>
      <x:c r="F484" s="13" t="n">
        <x:v>2</x:v>
      </x:c>
      <x:c r="G484" s="13" t="n">
        <x:v>1</x:v>
      </x:c>
      <x:c r="H484" s="13" t="n">
        <x:v>1</x:v>
      </x:c>
      <x:c r="I484" s="13" t="str">
        <x:v>0802801000; 0802802000</x:v>
      </x:c>
      <x:c r="J484" s="13" t="str">
        <x:v>0802800100</x:v>
      </x:c>
      <x:c r="K484" s="13" t="str">
        <x:v>0802800000</x:v>
      </x:c>
      <x:c r="L484" s="13" t="str">
        <x:v>UNRESOLVED</x:v>
      </x:c>
      <x:c r="M484" s="13" t="str"/>
      <x:c r="N484" s="13" t="str">
        <x:v>NO / DEFAULT</x:v>
      </x:c>
      <x:c r="O484" s="13" t="str"/>
      <x:c r="P484" s="13" t="str">
        <x:v>NO / DEFAULT</x:v>
      </x:c>
      <x:c r="Q484" s="13" t="str"/>
      <x:c r="R484" s="13" t="str">
        <x:v>INDEPENDENT / DEFAULT</x:v>
      </x:c>
      <x:c r="S484" s="13" t="str"/>
      <x:c r="T484" s="13" t="str">
        <x:v>UNRESOLVED</x:v>
      </x:c>
      <x:c r="U484" s="13" t="str"/>
      <x:c r="V484" s="13" t="str"/>
      <x:c r="W484" s="13" t="str"/>
      <x:c r="X484" s="13" t="str">
        <x:f>IF(L484&lt;&gt;"COVERED","HELD — COVERAGE",IF(N484="YES — SENSITIVE","C ACTIONABLE","CHAPTER 5 DEFAULT"))</x:f>
        <x:v>HELD — COVERAGE</x:v>
      </x:c>
      <x:c r="Y484" s="13" t="str">
        <x:f>IF(L484&lt;&gt;"COVERED","HELD — COVERAGE",IF(P484="YES — MANAGED ACCESS","D ACTIONABLE","NO D FIELD"))</x:f>
        <x:v>HELD — COVERAGE</x:v>
      </x:c>
      <x:c r="Z484" s="13" t="str">
        <x:f>IF(L484&lt;&gt;"COVERED","HELD — COVERAGE",IF(OR(R484="PAIRED SYNCHRONIZED",R484="TRILATERAL SYNCHRONIZED"),"E ACTIONABLE","INDEPENDENT"))</x:f>
        <x:v>HELD — COVERAGE</x:v>
      </x:c>
      <x:c r="AA484" s="13" t="str">
        <x:f>IF(L484&lt;&gt;"COVERED","HELD — COVERAGE","WAIT FOR UPSTREAM COMPLETION")</x:f>
        <x:v>HELD — COVERAGE</x:v>
      </x:c>
      <x:c r="AB484" s="13" t="str">
        <x:f>IF(L484&lt;&gt;"COVERED","HELD — COVERAGE",IF(T484="UNRESOLVED","G DECISION REQUIRED",IF(T484="NOT APPLICABLE","G N/A","G ACTIONABLE")))</x:f>
        <x:v>HELD — COVERAGE</x:v>
      </x:c>
      <x:c r="AC484" s="13" t="str">
        <x:f>IF(L484="UNRESOLVED","COVERAGE FIRST",IF(OR(L484="EXCLUDED",L484="OUT OF SCOPE"),"CLOSED BY COVERAGE",IF(AND(L484="COVERED",T484&lt;&gt;"UNRESOLVED"),"PARTIALLY ADOPTED","DECISIONS REMAIN")))</x:f>
        <x:v>COVERAGE FIRST</x:v>
      </x:c>
    </x:row>
    <x:row r="485">
      <x:c r="A485" s="13" t="str">
        <x:v>NAAFTC-HS6-080291</x:v>
      </x:c>
      <x:c r="B485" s="13" t="str">
        <x:v>080291</x:v>
      </x:c>
      <x:c r="C485" s="13" t="str">
        <x:v>08</x:v>
      </x:c>
      <x:c r="D485" s="13" t="str">
        <x:v>TRILATERAL_SPLIT_MERGE</x:v>
      </x:c>
      <x:c r="E485" s="13" t="str">
        <x:v>Pending</x:v>
      </x:c>
      <x:c r="F485" s="13" t="n">
        <x:v>2</x:v>
      </x:c>
      <x:c r="G485" s="13" t="n">
        <x:v>1</x:v>
      </x:c>
      <x:c r="H485" s="13" t="n">
        <x:v>1</x:v>
      </x:c>
      <x:c r="I485" s="13" t="str">
        <x:v>0802911000; 0802919000</x:v>
      </x:c>
      <x:c r="J485" s="13" t="str">
        <x:v>0802910100</x:v>
      </x:c>
      <x:c r="K485" s="13" t="str">
        <x:v>0802910000</x:v>
      </x:c>
      <x:c r="L485" s="13" t="str">
        <x:v>UNRESOLVED</x:v>
      </x:c>
      <x:c r="M485" s="13" t="str"/>
      <x:c r="N485" s="13" t="str">
        <x:v>NO / DEFAULT</x:v>
      </x:c>
      <x:c r="O485" s="13" t="str"/>
      <x:c r="P485" s="13" t="str">
        <x:v>NO / DEFAULT</x:v>
      </x:c>
      <x:c r="Q485" s="13" t="str"/>
      <x:c r="R485" s="13" t="str">
        <x:v>INDEPENDENT / DEFAULT</x:v>
      </x:c>
      <x:c r="S485" s="13" t="str"/>
      <x:c r="T485" s="13" t="str">
        <x:v>UNRESOLVED</x:v>
      </x:c>
      <x:c r="U485" s="13" t="str"/>
      <x:c r="V485" s="13" t="str"/>
      <x:c r="W485" s="13" t="str"/>
      <x:c r="X485" s="13" t="str">
        <x:f>IF(L485&lt;&gt;"COVERED","HELD — COVERAGE",IF(N485="YES — SENSITIVE","C ACTIONABLE","CHAPTER 5 DEFAULT"))</x:f>
        <x:v>HELD — COVERAGE</x:v>
      </x:c>
      <x:c r="Y485" s="13" t="str">
        <x:f>IF(L485&lt;&gt;"COVERED","HELD — COVERAGE",IF(P485="YES — MANAGED ACCESS","D ACTIONABLE","NO D FIELD"))</x:f>
        <x:v>HELD — COVERAGE</x:v>
      </x:c>
      <x:c r="Z485" s="13" t="str">
        <x:f>IF(L485&lt;&gt;"COVERED","HELD — COVERAGE",IF(OR(R485="PAIRED SYNCHRONIZED",R485="TRILATERAL SYNCHRONIZED"),"E ACTIONABLE","INDEPENDENT"))</x:f>
        <x:v>HELD — COVERAGE</x:v>
      </x:c>
      <x:c r="AA485" s="13" t="str">
        <x:f>IF(L485&lt;&gt;"COVERED","HELD — COVERAGE","WAIT FOR UPSTREAM COMPLETION")</x:f>
        <x:v>HELD — COVERAGE</x:v>
      </x:c>
      <x:c r="AB485" s="13" t="str">
        <x:f>IF(L485&lt;&gt;"COVERED","HELD — COVERAGE",IF(T485="UNRESOLVED","G DECISION REQUIRED",IF(T485="NOT APPLICABLE","G N/A","G ACTIONABLE")))</x:f>
        <x:v>HELD — COVERAGE</x:v>
      </x:c>
      <x:c r="AC485" s="13" t="str">
        <x:f>IF(L485="UNRESOLVED","COVERAGE FIRST",IF(OR(L485="EXCLUDED",L485="OUT OF SCOPE"),"CLOSED BY COVERAGE",IF(AND(L485="COVERED",T485&lt;&gt;"UNRESOLVED"),"PARTIALLY ADOPTED","DECISIONS REMAIN")))</x:f>
        <x:v>COVERAGE FIRST</x:v>
      </x:c>
    </x:row>
    <x:row r="486">
      <x:c r="A486" s="13" t="str">
        <x:v>NAAFTC-HS6-080292</x:v>
      </x:c>
      <x:c r="B486" s="13" t="str">
        <x:v>080292</x:v>
      </x:c>
      <x:c r="C486" s="13" t="str">
        <x:v>08</x:v>
      </x:c>
      <x:c r="D486" s="13" t="str">
        <x:v>TRILATERAL_SPLIT_MERGE</x:v>
      </x:c>
      <x:c r="E486" s="13" t="str">
        <x:v>Pending</x:v>
      </x:c>
      <x:c r="F486" s="13" t="n">
        <x:v>2</x:v>
      </x:c>
      <x:c r="G486" s="13" t="n">
        <x:v>1</x:v>
      </x:c>
      <x:c r="H486" s="13" t="n">
        <x:v>1</x:v>
      </x:c>
      <x:c r="I486" s="13" t="str">
        <x:v>0802921000; 0802929000</x:v>
      </x:c>
      <x:c r="J486" s="13" t="str">
        <x:v>0802920100</x:v>
      </x:c>
      <x:c r="K486" s="13" t="str">
        <x:v>0802920000</x:v>
      </x:c>
      <x:c r="L486" s="13" t="str">
        <x:v>UNRESOLVED</x:v>
      </x:c>
      <x:c r="M486" s="13" t="str"/>
      <x:c r="N486" s="13" t="str">
        <x:v>NO / DEFAULT</x:v>
      </x:c>
      <x:c r="O486" s="13" t="str"/>
      <x:c r="P486" s="13" t="str">
        <x:v>NO / DEFAULT</x:v>
      </x:c>
      <x:c r="Q486" s="13" t="str"/>
      <x:c r="R486" s="13" t="str">
        <x:v>INDEPENDENT / DEFAULT</x:v>
      </x:c>
      <x:c r="S486" s="13" t="str"/>
      <x:c r="T486" s="13" t="str">
        <x:v>UNRESOLVED</x:v>
      </x:c>
      <x:c r="U486" s="13" t="str"/>
      <x:c r="V486" s="13" t="str"/>
      <x:c r="W486" s="13" t="str"/>
      <x:c r="X486" s="13" t="str">
        <x:f>IF(L486&lt;&gt;"COVERED","HELD — COVERAGE",IF(N486="YES — SENSITIVE","C ACTIONABLE","CHAPTER 5 DEFAULT"))</x:f>
        <x:v>HELD — COVERAGE</x:v>
      </x:c>
      <x:c r="Y486" s="13" t="str">
        <x:f>IF(L486&lt;&gt;"COVERED","HELD — COVERAGE",IF(P486="YES — MANAGED ACCESS","D ACTIONABLE","NO D FIELD"))</x:f>
        <x:v>HELD — COVERAGE</x:v>
      </x:c>
      <x:c r="Z486" s="13" t="str">
        <x:f>IF(L486&lt;&gt;"COVERED","HELD — COVERAGE",IF(OR(R486="PAIRED SYNCHRONIZED",R486="TRILATERAL SYNCHRONIZED"),"E ACTIONABLE","INDEPENDENT"))</x:f>
        <x:v>HELD — COVERAGE</x:v>
      </x:c>
      <x:c r="AA486" s="13" t="str">
        <x:f>IF(L486&lt;&gt;"COVERED","HELD — COVERAGE","WAIT FOR UPSTREAM COMPLETION")</x:f>
        <x:v>HELD — COVERAGE</x:v>
      </x:c>
      <x:c r="AB486" s="13" t="str">
        <x:f>IF(L486&lt;&gt;"COVERED","HELD — COVERAGE",IF(T486="UNRESOLVED","G DECISION REQUIRED",IF(T486="NOT APPLICABLE","G N/A","G ACTIONABLE")))</x:f>
        <x:v>HELD — COVERAGE</x:v>
      </x:c>
      <x:c r="AC486" s="13" t="str">
        <x:f>IF(L486="UNRESOLVED","COVERAGE FIRST",IF(OR(L486="EXCLUDED",L486="OUT OF SCOPE"),"CLOSED BY COVERAGE",IF(AND(L486="COVERED",T486&lt;&gt;"UNRESOLVED"),"PARTIALLY ADOPTED","DECISIONS REMAIN")))</x:f>
        <x:v>COVERAGE FIRST</x:v>
      </x:c>
    </x:row>
    <x:row r="487">
      <x:c r="A487" s="13" t="str">
        <x:v>NAAFTC-HS6-080299</x:v>
      </x:c>
      <x:c r="B487" s="13" t="str">
        <x:v>080299</x:v>
      </x:c>
      <x:c r="C487" s="13" t="str">
        <x:v>08</x:v>
      </x:c>
      <x:c r="D487" s="13" t="str">
        <x:v>TRILATERAL_SPLIT_MERGE</x:v>
      </x:c>
      <x:c r="E487" s="13" t="str">
        <x:v>Pending</x:v>
      </x:c>
      <x:c r="F487" s="13" t="n">
        <x:v>4</x:v>
      </x:c>
      <x:c r="G487" s="13" t="n">
        <x:v>1</x:v>
      </x:c>
      <x:c r="H487" s="13" t="n">
        <x:v>1</x:v>
      </x:c>
      <x:c r="I487" s="13" t="str">
        <x:v>0802991000; 0802991500; 0802998200; 0802999800</x:v>
      </x:c>
      <x:c r="J487" s="13" t="str">
        <x:v>0802999900</x:v>
      </x:c>
      <x:c r="K487" s="13" t="str">
        <x:v>08029900</x:v>
      </x:c>
      <x:c r="L487" s="13" t="str">
        <x:v>UNRESOLVED</x:v>
      </x:c>
      <x:c r="M487" s="13" t="str"/>
      <x:c r="N487" s="13" t="str">
        <x:v>NO / DEFAULT</x:v>
      </x:c>
      <x:c r="O487" s="13" t="str"/>
      <x:c r="P487" s="13" t="str">
        <x:v>NO / DEFAULT</x:v>
      </x:c>
      <x:c r="Q487" s="13" t="str"/>
      <x:c r="R487" s="13" t="str">
        <x:v>INDEPENDENT / DEFAULT</x:v>
      </x:c>
      <x:c r="S487" s="13" t="str"/>
      <x:c r="T487" s="13" t="str">
        <x:v>UNRESOLVED</x:v>
      </x:c>
      <x:c r="U487" s="13" t="str"/>
      <x:c r="V487" s="13" t="str"/>
      <x:c r="W487" s="13" t="str"/>
      <x:c r="X487" s="13" t="str">
        <x:f>IF(L487&lt;&gt;"COVERED","HELD — COVERAGE",IF(N487="YES — SENSITIVE","C ACTIONABLE","CHAPTER 5 DEFAULT"))</x:f>
        <x:v>HELD — COVERAGE</x:v>
      </x:c>
      <x:c r="Y487" s="13" t="str">
        <x:f>IF(L487&lt;&gt;"COVERED","HELD — COVERAGE",IF(P487="YES — MANAGED ACCESS","D ACTIONABLE","NO D FIELD"))</x:f>
        <x:v>HELD — COVERAGE</x:v>
      </x:c>
      <x:c r="Z487" s="13" t="str">
        <x:f>IF(L487&lt;&gt;"COVERED","HELD — COVERAGE",IF(OR(R487="PAIRED SYNCHRONIZED",R487="TRILATERAL SYNCHRONIZED"),"E ACTIONABLE","INDEPENDENT"))</x:f>
        <x:v>HELD — COVERAGE</x:v>
      </x:c>
      <x:c r="AA487" s="13" t="str">
        <x:f>IF(L487&lt;&gt;"COVERED","HELD — COVERAGE","WAIT FOR UPSTREAM COMPLETION")</x:f>
        <x:v>HELD — COVERAGE</x:v>
      </x:c>
      <x:c r="AB487" s="13" t="str">
        <x:f>IF(L487&lt;&gt;"COVERED","HELD — COVERAGE",IF(T487="UNRESOLVED","G DECISION REQUIRED",IF(T487="NOT APPLICABLE","G N/A","G ACTIONABLE")))</x:f>
        <x:v>HELD — COVERAGE</x:v>
      </x:c>
      <x:c r="AC487" s="13" t="str">
        <x:f>IF(L487="UNRESOLVED","COVERAGE FIRST",IF(OR(L487="EXCLUDED",L487="OUT OF SCOPE"),"CLOSED BY COVERAGE",IF(AND(L487="COVERED",T487&lt;&gt;"UNRESOLVED"),"PARTIALLY ADOPTED","DECISIONS REMAIN")))</x:f>
        <x:v>COVERAGE FIRST</x:v>
      </x:c>
    </x:row>
    <x:row r="488">
      <x:c r="A488" s="13" t="str">
        <x:v>NAAFTC-HS6-080310</x:v>
      </x:c>
      <x:c r="B488" s="13" t="str">
        <x:v>080310</x:v>
      </x:c>
      <x:c r="C488" s="13" t="str">
        <x:v>08</x:v>
      </x:c>
      <x:c r="D488" s="13" t="str">
        <x:v>TRILATERAL_SPLIT_MERGE</x:v>
      </x:c>
      <x:c r="E488" s="13" t="str">
        <x:v>Pending</x:v>
      </x:c>
      <x:c r="F488" s="13" t="n">
        <x:v>2</x:v>
      </x:c>
      <x:c r="G488" s="13" t="n">
        <x:v>1</x:v>
      </x:c>
      <x:c r="H488" s="13" t="n">
        <x:v>1</x:v>
      </x:c>
      <x:c r="I488" s="13" t="str">
        <x:v>0803101000; 0803102000</x:v>
      </x:c>
      <x:c r="J488" s="13" t="str">
        <x:v>0803100100</x:v>
      </x:c>
      <x:c r="K488" s="13" t="str">
        <x:v>0803100000</x:v>
      </x:c>
      <x:c r="L488" s="13" t="str">
        <x:v>UNRESOLVED</x:v>
      </x:c>
      <x:c r="M488" s="13" t="str"/>
      <x:c r="N488" s="13" t="str">
        <x:v>NO / DEFAULT</x:v>
      </x:c>
      <x:c r="O488" s="13" t="str"/>
      <x:c r="P488" s="13" t="str">
        <x:v>NO / DEFAULT</x:v>
      </x:c>
      <x:c r="Q488" s="13" t="str"/>
      <x:c r="R488" s="13" t="str">
        <x:v>INDEPENDENT / DEFAULT</x:v>
      </x:c>
      <x:c r="S488" s="13" t="str"/>
      <x:c r="T488" s="13" t="str">
        <x:v>UNRESOLVED</x:v>
      </x:c>
      <x:c r="U488" s="13" t="str"/>
      <x:c r="V488" s="13" t="str"/>
      <x:c r="W488" s="13" t="str"/>
      <x:c r="X488" s="13" t="str">
        <x:f>IF(L488&lt;&gt;"COVERED","HELD — COVERAGE",IF(N488="YES — SENSITIVE","C ACTIONABLE","CHAPTER 5 DEFAULT"))</x:f>
        <x:v>HELD — COVERAGE</x:v>
      </x:c>
      <x:c r="Y488" s="13" t="str">
        <x:f>IF(L488&lt;&gt;"COVERED","HELD — COVERAGE",IF(P488="YES — MANAGED ACCESS","D ACTIONABLE","NO D FIELD"))</x:f>
        <x:v>HELD — COVERAGE</x:v>
      </x:c>
      <x:c r="Z488" s="13" t="str">
        <x:f>IF(L488&lt;&gt;"COVERED","HELD — COVERAGE",IF(OR(R488="PAIRED SYNCHRONIZED",R488="TRILATERAL SYNCHRONIZED"),"E ACTIONABLE","INDEPENDENT"))</x:f>
        <x:v>HELD — COVERAGE</x:v>
      </x:c>
      <x:c r="AA488" s="13" t="str">
        <x:f>IF(L488&lt;&gt;"COVERED","HELD — COVERAGE","WAIT FOR UPSTREAM COMPLETION")</x:f>
        <x:v>HELD — COVERAGE</x:v>
      </x:c>
      <x:c r="AB488" s="13" t="str">
        <x:f>IF(L488&lt;&gt;"COVERED","HELD — COVERAGE",IF(T488="UNRESOLVED","G DECISION REQUIRED",IF(T488="NOT APPLICABLE","G N/A","G ACTIONABLE")))</x:f>
        <x:v>HELD — COVERAGE</x:v>
      </x:c>
      <x:c r="AC488" s="13" t="str">
        <x:f>IF(L488="UNRESOLVED","COVERAGE FIRST",IF(OR(L488="EXCLUDED",L488="OUT OF SCOPE"),"CLOSED BY COVERAGE",IF(AND(L488="COVERED",T488&lt;&gt;"UNRESOLVED"),"PARTIALLY ADOPTED","DECISIONS REMAIN")))</x:f>
        <x:v>COVERAGE FIRST</x:v>
      </x:c>
    </x:row>
    <x:row r="489">
      <x:c r="A489" s="13" t="str">
        <x:v>NAAFTC-HS6-080390</x:v>
      </x:c>
      <x:c r="B489" s="13" t="str">
        <x:v>080390</x:v>
      </x:c>
      <x:c r="C489" s="13" t="str">
        <x:v>08</x:v>
      </x:c>
      <x:c r="D489" s="13" t="str">
        <x:v>TRILATERAL_SPLIT_MERGE</x:v>
      </x:c>
      <x:c r="E489" s="13" t="str">
        <x:v>Pending</x:v>
      </x:c>
      <x:c r="F489" s="13" t="n">
        <x:v>3</x:v>
      </x:c>
      <x:c r="G489" s="13" t="n">
        <x:v>1</x:v>
      </x:c>
      <x:c r="H489" s="13" t="n">
        <x:v>1</x:v>
      </x:c>
      <x:c r="I489" s="13" t="str">
        <x:v>0803900025; 0803900035; 0803900045</x:v>
      </x:c>
      <x:c r="J489" s="13" t="str">
        <x:v>0803909900</x:v>
      </x:c>
      <x:c r="K489" s="13" t="str">
        <x:v>08039000</x:v>
      </x:c>
      <x:c r="L489" s="13" t="str">
        <x:v>UNRESOLVED</x:v>
      </x:c>
      <x:c r="M489" s="13" t="str"/>
      <x:c r="N489" s="13" t="str">
        <x:v>NO / DEFAULT</x:v>
      </x:c>
      <x:c r="O489" s="13" t="str"/>
      <x:c r="P489" s="13" t="str">
        <x:v>NO / DEFAULT</x:v>
      </x:c>
      <x:c r="Q489" s="13" t="str"/>
      <x:c r="R489" s="13" t="str">
        <x:v>INDEPENDENT / DEFAULT</x:v>
      </x:c>
      <x:c r="S489" s="13" t="str"/>
      <x:c r="T489" s="13" t="str">
        <x:v>UNRESOLVED</x:v>
      </x:c>
      <x:c r="U489" s="13" t="str"/>
      <x:c r="V489" s="13" t="str"/>
      <x:c r="W489" s="13" t="str"/>
      <x:c r="X489" s="13" t="str">
        <x:f>IF(L489&lt;&gt;"COVERED","HELD — COVERAGE",IF(N489="YES — SENSITIVE","C ACTIONABLE","CHAPTER 5 DEFAULT"))</x:f>
        <x:v>HELD — COVERAGE</x:v>
      </x:c>
      <x:c r="Y489" s="13" t="str">
        <x:f>IF(L489&lt;&gt;"COVERED","HELD — COVERAGE",IF(P489="YES — MANAGED ACCESS","D ACTIONABLE","NO D FIELD"))</x:f>
        <x:v>HELD — COVERAGE</x:v>
      </x:c>
      <x:c r="Z489" s="13" t="str">
        <x:f>IF(L489&lt;&gt;"COVERED","HELD — COVERAGE",IF(OR(R489="PAIRED SYNCHRONIZED",R489="TRILATERAL SYNCHRONIZED"),"E ACTIONABLE","INDEPENDENT"))</x:f>
        <x:v>HELD — COVERAGE</x:v>
      </x:c>
      <x:c r="AA489" s="13" t="str">
        <x:f>IF(L489&lt;&gt;"COVERED","HELD — COVERAGE","WAIT FOR UPSTREAM COMPLETION")</x:f>
        <x:v>HELD — COVERAGE</x:v>
      </x:c>
      <x:c r="AB489" s="13" t="str">
        <x:f>IF(L489&lt;&gt;"COVERED","HELD — COVERAGE",IF(T489="UNRESOLVED","G DECISION REQUIRED",IF(T489="NOT APPLICABLE","G N/A","G ACTIONABLE")))</x:f>
        <x:v>HELD — COVERAGE</x:v>
      </x:c>
      <x:c r="AC489" s="13" t="str">
        <x:f>IF(L489="UNRESOLVED","COVERAGE FIRST",IF(OR(L489="EXCLUDED",L489="OUT OF SCOPE"),"CLOSED BY COVERAGE",IF(AND(L489="COVERED",T489&lt;&gt;"UNRESOLVED"),"PARTIALLY ADOPTED","DECISIONS REMAIN")))</x:f>
        <x:v>COVERAGE FIRST</x:v>
      </x:c>
    </x:row>
    <x:row r="490">
      <x:c r="A490" s="13" t="str">
        <x:v>NAAFTC-HS6-080410</x:v>
      </x:c>
      <x:c r="B490" s="13" t="str">
        <x:v>080410</x:v>
      </x:c>
      <x:c r="C490" s="13" t="str">
        <x:v>08</x:v>
      </x:c>
      <x:c r="D490" s="13" t="str">
        <x:v>TRILATERAL_SPLIT_MERGE</x:v>
      </x:c>
      <x:c r="E490" s="13" t="str">
        <x:v>Pending</x:v>
      </x:c>
      <x:c r="F490" s="13" t="n">
        <x:v>5</x:v>
      </x:c>
      <x:c r="G490" s="13" t="n">
        <x:v>2</x:v>
      </x:c>
      <x:c r="H490" s="13" t="n">
        <x:v>1</x:v>
      </x:c>
      <x:c r="I490" s="13" t="str">
        <x:v>0804102010; 0804102090; 0804104000; 0804106000; 0804108000</x:v>
      </x:c>
      <x:c r="J490" s="13" t="str">
        <x:v>0804100201; 0804100299</x:v>
      </x:c>
      <x:c r="K490" s="13" t="str">
        <x:v>08041000</x:v>
      </x:c>
      <x:c r="L490" s="13" t="str">
        <x:v>UNRESOLVED</x:v>
      </x:c>
      <x:c r="M490" s="13" t="str"/>
      <x:c r="N490" s="13" t="str">
        <x:v>NO / DEFAULT</x:v>
      </x:c>
      <x:c r="O490" s="13" t="str"/>
      <x:c r="P490" s="13" t="str">
        <x:v>NO / DEFAULT</x:v>
      </x:c>
      <x:c r="Q490" s="13" t="str"/>
      <x:c r="R490" s="13" t="str">
        <x:v>INDEPENDENT / DEFAULT</x:v>
      </x:c>
      <x:c r="S490" s="13" t="str"/>
      <x:c r="T490" s="13" t="str">
        <x:v>UNRESOLVED</x:v>
      </x:c>
      <x:c r="U490" s="13" t="str"/>
      <x:c r="V490" s="13" t="str"/>
      <x:c r="W490" s="13" t="str"/>
      <x:c r="X490" s="13" t="str">
        <x:f>IF(L490&lt;&gt;"COVERED","HELD — COVERAGE",IF(N490="YES — SENSITIVE","C ACTIONABLE","CHAPTER 5 DEFAULT"))</x:f>
        <x:v>HELD — COVERAGE</x:v>
      </x:c>
      <x:c r="Y490" s="13" t="str">
        <x:f>IF(L490&lt;&gt;"COVERED","HELD — COVERAGE",IF(P490="YES — MANAGED ACCESS","D ACTIONABLE","NO D FIELD"))</x:f>
        <x:v>HELD — COVERAGE</x:v>
      </x:c>
      <x:c r="Z490" s="13" t="str">
        <x:f>IF(L490&lt;&gt;"COVERED","HELD — COVERAGE",IF(OR(R490="PAIRED SYNCHRONIZED",R490="TRILATERAL SYNCHRONIZED"),"E ACTIONABLE","INDEPENDENT"))</x:f>
        <x:v>HELD — COVERAGE</x:v>
      </x:c>
      <x:c r="AA490" s="13" t="str">
        <x:f>IF(L490&lt;&gt;"COVERED","HELD — COVERAGE","WAIT FOR UPSTREAM COMPLETION")</x:f>
        <x:v>HELD — COVERAGE</x:v>
      </x:c>
      <x:c r="AB490" s="13" t="str">
        <x:f>IF(L490&lt;&gt;"COVERED","HELD — COVERAGE",IF(T490="UNRESOLVED","G DECISION REQUIRED",IF(T490="NOT APPLICABLE","G N/A","G ACTIONABLE")))</x:f>
        <x:v>HELD — COVERAGE</x:v>
      </x:c>
      <x:c r="AC490" s="13" t="str">
        <x:f>IF(L490="UNRESOLVED","COVERAGE FIRST",IF(OR(L490="EXCLUDED",L490="OUT OF SCOPE"),"CLOSED BY COVERAGE",IF(AND(L490="COVERED",T490&lt;&gt;"UNRESOLVED"),"PARTIALLY ADOPTED","DECISIONS REMAIN")))</x:f>
        <x:v>COVERAGE FIRST</x:v>
      </x:c>
    </x:row>
    <x:row r="491">
      <x:c r="A491" s="13" t="str">
        <x:v>NAAFTC-HS6-080420</x:v>
      </x:c>
      <x:c r="B491" s="13" t="str">
        <x:v>080420</x:v>
      </x:c>
      <x:c r="C491" s="13" t="str">
        <x:v>08</x:v>
      </x:c>
      <x:c r="D491" s="13" t="str">
        <x:v>TRILATERAL_SPLIT_MERGE</x:v>
      </x:c>
      <x:c r="E491" s="13" t="str">
        <x:v>Pending</x:v>
      </x:c>
      <x:c r="F491" s="13" t="n">
        <x:v>3</x:v>
      </x:c>
      <x:c r="G491" s="13" t="n">
        <x:v>1</x:v>
      </x:c>
      <x:c r="H491" s="13" t="n">
        <x:v>1</x:v>
      </x:c>
      <x:c r="I491" s="13" t="str">
        <x:v>0804204000; 0804206000; 0804208000</x:v>
      </x:c>
      <x:c r="J491" s="13" t="str">
        <x:v>0804200200</x:v>
      </x:c>
      <x:c r="K491" s="13" t="str">
        <x:v>08042000</x:v>
      </x:c>
      <x:c r="L491" s="13" t="str">
        <x:v>UNRESOLVED</x:v>
      </x:c>
      <x:c r="M491" s="13" t="str"/>
      <x:c r="N491" s="13" t="str">
        <x:v>NO / DEFAULT</x:v>
      </x:c>
      <x:c r="O491" s="13" t="str"/>
      <x:c r="P491" s="13" t="str">
        <x:v>NO / DEFAULT</x:v>
      </x:c>
      <x:c r="Q491" s="13" t="str"/>
      <x:c r="R491" s="13" t="str">
        <x:v>INDEPENDENT / DEFAULT</x:v>
      </x:c>
      <x:c r="S491" s="13" t="str"/>
      <x:c r="T491" s="13" t="str">
        <x:v>UNRESOLVED</x:v>
      </x:c>
      <x:c r="U491" s="13" t="str"/>
      <x:c r="V491" s="13" t="str"/>
      <x:c r="W491" s="13" t="str"/>
      <x:c r="X491" s="13" t="str">
        <x:f>IF(L491&lt;&gt;"COVERED","HELD — COVERAGE",IF(N491="YES — SENSITIVE","C ACTIONABLE","CHAPTER 5 DEFAULT"))</x:f>
        <x:v>HELD — COVERAGE</x:v>
      </x:c>
      <x:c r="Y491" s="13" t="str">
        <x:f>IF(L491&lt;&gt;"COVERED","HELD — COVERAGE",IF(P491="YES — MANAGED ACCESS","D ACTIONABLE","NO D FIELD"))</x:f>
        <x:v>HELD — COVERAGE</x:v>
      </x:c>
      <x:c r="Z491" s="13" t="str">
        <x:f>IF(L491&lt;&gt;"COVERED","HELD — COVERAGE",IF(OR(R491="PAIRED SYNCHRONIZED",R491="TRILATERAL SYNCHRONIZED"),"E ACTIONABLE","INDEPENDENT"))</x:f>
        <x:v>HELD — COVERAGE</x:v>
      </x:c>
      <x:c r="AA491" s="13" t="str">
        <x:f>IF(L491&lt;&gt;"COVERED","HELD — COVERAGE","WAIT FOR UPSTREAM COMPLETION")</x:f>
        <x:v>HELD — COVERAGE</x:v>
      </x:c>
      <x:c r="AB491" s="13" t="str">
        <x:f>IF(L491&lt;&gt;"COVERED","HELD — COVERAGE",IF(T491="UNRESOLVED","G DECISION REQUIRED",IF(T491="NOT APPLICABLE","G N/A","G ACTIONABLE")))</x:f>
        <x:v>HELD — COVERAGE</x:v>
      </x:c>
      <x:c r="AC491" s="13" t="str">
        <x:f>IF(L491="UNRESOLVED","COVERAGE FIRST",IF(OR(L491="EXCLUDED",L491="OUT OF SCOPE"),"CLOSED BY COVERAGE",IF(AND(L491="COVERED",T491&lt;&gt;"UNRESOLVED"),"PARTIALLY ADOPTED","DECISIONS REMAIN")))</x:f>
        <x:v>COVERAGE FIRST</x:v>
      </x:c>
    </x:row>
    <x:row r="492">
      <x:c r="A492" s="13" t="str">
        <x:v>NAAFTC-HS6-080430</x:v>
      </x:c>
      <x:c r="B492" s="13" t="str">
        <x:v>080430</x:v>
      </x:c>
      <x:c r="C492" s="13" t="str">
        <x:v>08</x:v>
      </x:c>
      <x:c r="D492" s="13" t="str">
        <x:v>TRILATERAL_SPLIT_MERGE</x:v>
      </x:c>
      <x:c r="E492" s="13" t="str">
        <x:v>Pending</x:v>
      </x:c>
      <x:c r="F492" s="13" t="n">
        <x:v>5</x:v>
      </x:c>
      <x:c r="G492" s="13" t="n">
        <x:v>1</x:v>
      </x:c>
      <x:c r="H492" s="13" t="n">
        <x:v>1</x:v>
      </x:c>
      <x:c r="I492" s="13" t="str">
        <x:v>0804302000; 0804304010; 0804304090; 0804306010; 0804306090</x:v>
      </x:c>
      <x:c r="J492" s="13" t="str">
        <x:v>0804300100</x:v>
      </x:c>
      <x:c r="K492" s="13" t="str">
        <x:v>08043000</x:v>
      </x:c>
      <x:c r="L492" s="13" t="str">
        <x:v>UNRESOLVED</x:v>
      </x:c>
      <x:c r="M492" s="13" t="str"/>
      <x:c r="N492" s="13" t="str">
        <x:v>NO / DEFAULT</x:v>
      </x:c>
      <x:c r="O492" s="13" t="str"/>
      <x:c r="P492" s="13" t="str">
        <x:v>NO / DEFAULT</x:v>
      </x:c>
      <x:c r="Q492" s="13" t="str"/>
      <x:c r="R492" s="13" t="str">
        <x:v>INDEPENDENT / DEFAULT</x:v>
      </x:c>
      <x:c r="S492" s="13" t="str"/>
      <x:c r="T492" s="13" t="str">
        <x:v>UNRESOLVED</x:v>
      </x:c>
      <x:c r="U492" s="13" t="str"/>
      <x:c r="V492" s="13" t="str"/>
      <x:c r="W492" s="13" t="str"/>
      <x:c r="X492" s="13" t="str">
        <x:f>IF(L492&lt;&gt;"COVERED","HELD — COVERAGE",IF(N492="YES — SENSITIVE","C ACTIONABLE","CHAPTER 5 DEFAULT"))</x:f>
        <x:v>HELD — COVERAGE</x:v>
      </x:c>
      <x:c r="Y492" s="13" t="str">
        <x:f>IF(L492&lt;&gt;"COVERED","HELD — COVERAGE",IF(P492="YES — MANAGED ACCESS","D ACTIONABLE","NO D FIELD"))</x:f>
        <x:v>HELD — COVERAGE</x:v>
      </x:c>
      <x:c r="Z492" s="13" t="str">
        <x:f>IF(L492&lt;&gt;"COVERED","HELD — COVERAGE",IF(OR(R492="PAIRED SYNCHRONIZED",R492="TRILATERAL SYNCHRONIZED"),"E ACTIONABLE","INDEPENDENT"))</x:f>
        <x:v>HELD — COVERAGE</x:v>
      </x:c>
      <x:c r="AA492" s="13" t="str">
        <x:f>IF(L492&lt;&gt;"COVERED","HELD — COVERAGE","WAIT FOR UPSTREAM COMPLETION")</x:f>
        <x:v>HELD — COVERAGE</x:v>
      </x:c>
      <x:c r="AB492" s="13" t="str">
        <x:f>IF(L492&lt;&gt;"COVERED","HELD — COVERAGE",IF(T492="UNRESOLVED","G DECISION REQUIRED",IF(T492="NOT APPLICABLE","G N/A","G ACTIONABLE")))</x:f>
        <x:v>HELD — COVERAGE</x:v>
      </x:c>
      <x:c r="AC492" s="13" t="str">
        <x:f>IF(L492="UNRESOLVED","COVERAGE FIRST",IF(OR(L492="EXCLUDED",L492="OUT OF SCOPE"),"CLOSED BY COVERAGE",IF(AND(L492="COVERED",T492&lt;&gt;"UNRESOLVED"),"PARTIALLY ADOPTED","DECISIONS REMAIN")))</x:f>
        <x:v>COVERAGE FIRST</x:v>
      </x:c>
    </x:row>
    <x:row r="493">
      <x:c r="A493" s="13" t="str">
        <x:v>NAAFTC-HS6-080440</x:v>
      </x:c>
      <x:c r="B493" s="13" t="str">
        <x:v>080440</x:v>
      </x:c>
      <x:c r="C493" s="13" t="str">
        <x:v>08</x:v>
      </x:c>
      <x:c r="D493" s="13" t="str">
        <x:v>TRILATERAL_SPLIT_MERGE</x:v>
      </x:c>
      <x:c r="E493" s="13" t="str">
        <x:v>Pending</x:v>
      </x:c>
      <x:c r="F493" s="13" t="n">
        <x:v>3</x:v>
      </x:c>
      <x:c r="G493" s="13" t="n">
        <x:v>1</x:v>
      </x:c>
      <x:c r="H493" s="13" t="n">
        <x:v>1</x:v>
      </x:c>
      <x:c r="I493" s="13" t="str">
        <x:v>0804400020; 0804400040; 0804400090</x:v>
      </x:c>
      <x:c r="J493" s="13" t="str">
        <x:v>0804400100</x:v>
      </x:c>
      <x:c r="K493" s="13" t="str">
        <x:v>0804400000</x:v>
      </x:c>
      <x:c r="L493" s="13" t="str">
        <x:v>UNRESOLVED</x:v>
      </x:c>
      <x:c r="M493" s="13" t="str"/>
      <x:c r="N493" s="13" t="str">
        <x:v>NO / DEFAULT</x:v>
      </x:c>
      <x:c r="O493" s="13" t="str"/>
      <x:c r="P493" s="13" t="str">
        <x:v>NO / DEFAULT</x:v>
      </x:c>
      <x:c r="Q493" s="13" t="str"/>
      <x:c r="R493" s="13" t="str">
        <x:v>INDEPENDENT / DEFAULT</x:v>
      </x:c>
      <x:c r="S493" s="13" t="str"/>
      <x:c r="T493" s="13" t="str">
        <x:v>UNRESOLVED</x:v>
      </x:c>
      <x:c r="U493" s="13" t="str"/>
      <x:c r="V493" s="13" t="str"/>
      <x:c r="W493" s="13" t="str"/>
      <x:c r="X493" s="13" t="str">
        <x:f>IF(L493&lt;&gt;"COVERED","HELD — COVERAGE",IF(N493="YES — SENSITIVE","C ACTIONABLE","CHAPTER 5 DEFAULT"))</x:f>
        <x:v>HELD — COVERAGE</x:v>
      </x:c>
      <x:c r="Y493" s="13" t="str">
        <x:f>IF(L493&lt;&gt;"COVERED","HELD — COVERAGE",IF(P493="YES — MANAGED ACCESS","D ACTIONABLE","NO D FIELD"))</x:f>
        <x:v>HELD — COVERAGE</x:v>
      </x:c>
      <x:c r="Z493" s="13" t="str">
        <x:f>IF(L493&lt;&gt;"COVERED","HELD — COVERAGE",IF(OR(R493="PAIRED SYNCHRONIZED",R493="TRILATERAL SYNCHRONIZED"),"E ACTIONABLE","INDEPENDENT"))</x:f>
        <x:v>HELD — COVERAGE</x:v>
      </x:c>
      <x:c r="AA493" s="13" t="str">
        <x:f>IF(L493&lt;&gt;"COVERED","HELD — COVERAGE","WAIT FOR UPSTREAM COMPLETION")</x:f>
        <x:v>HELD — COVERAGE</x:v>
      </x:c>
      <x:c r="AB493" s="13" t="str">
        <x:f>IF(L493&lt;&gt;"COVERED","HELD — COVERAGE",IF(T493="UNRESOLVED","G DECISION REQUIRED",IF(T493="NOT APPLICABLE","G N/A","G ACTIONABLE")))</x:f>
        <x:v>HELD — COVERAGE</x:v>
      </x:c>
      <x:c r="AC493" s="13" t="str">
        <x:f>IF(L493="UNRESOLVED","COVERAGE FIRST",IF(OR(L493="EXCLUDED",L493="OUT OF SCOPE"),"CLOSED BY COVERAGE",IF(AND(L493="COVERED",T493&lt;&gt;"UNRESOLVED"),"PARTIALLY ADOPTED","DECISIONS REMAIN")))</x:f>
        <x:v>COVERAGE FIRST</x:v>
      </x:c>
    </x:row>
    <x:row r="494">
      <x:c r="A494" s="13" t="str">
        <x:v>NAAFTC-HS6-080450</x:v>
      </x:c>
      <x:c r="B494" s="13" t="str">
        <x:v>080450</x:v>
      </x:c>
      <x:c r="C494" s="13" t="str">
        <x:v>08</x:v>
      </x:c>
      <x:c r="D494" s="13" t="str">
        <x:v>TRILATERAL_SPLIT_MERGE</x:v>
      </x:c>
      <x:c r="E494" s="13" t="str">
        <x:v>Pending</x:v>
      </x:c>
      <x:c r="F494" s="13" t="n">
        <x:v>11</x:v>
      </x:c>
      <x:c r="G494" s="13" t="n">
        <x:v>4</x:v>
      </x:c>
      <x:c r="H494" s="13" t="n">
        <x:v>1</x:v>
      </x:c>
      <x:c r="I494" s="13" t="str">
        <x:v>0804504045; 0804504055; 0804504065; 0804504075; 0804506045; 0804506055; +5 more</x:v>
      </x:c>
      <x:c r="J494" s="13" t="str">
        <x:v>0804500500; 0804509901; 0804509902; 0804509903</x:v>
      </x:c>
      <x:c r="K494" s="13" t="str">
        <x:v>08045000</x:v>
      </x:c>
      <x:c r="L494" s="13" t="str">
        <x:v>UNRESOLVED</x:v>
      </x:c>
      <x:c r="M494" s="13" t="str"/>
      <x:c r="N494" s="13" t="str">
        <x:v>NO / DEFAULT</x:v>
      </x:c>
      <x:c r="O494" s="13" t="str"/>
      <x:c r="P494" s="13" t="str">
        <x:v>NO / DEFAULT</x:v>
      </x:c>
      <x:c r="Q494" s="13" t="str"/>
      <x:c r="R494" s="13" t="str">
        <x:v>INDEPENDENT / DEFAULT</x:v>
      </x:c>
      <x:c r="S494" s="13" t="str"/>
      <x:c r="T494" s="13" t="str">
        <x:v>UNRESOLVED</x:v>
      </x:c>
      <x:c r="U494" s="13" t="str"/>
      <x:c r="V494" s="13" t="str"/>
      <x:c r="W494" s="13" t="str"/>
      <x:c r="X494" s="13" t="str">
        <x:f>IF(L494&lt;&gt;"COVERED","HELD — COVERAGE",IF(N494="YES — SENSITIVE","C ACTIONABLE","CHAPTER 5 DEFAULT"))</x:f>
        <x:v>HELD — COVERAGE</x:v>
      </x:c>
      <x:c r="Y494" s="13" t="str">
        <x:f>IF(L494&lt;&gt;"COVERED","HELD — COVERAGE",IF(P494="YES — MANAGED ACCESS","D ACTIONABLE","NO D FIELD"))</x:f>
        <x:v>HELD — COVERAGE</x:v>
      </x:c>
      <x:c r="Z494" s="13" t="str">
        <x:f>IF(L494&lt;&gt;"COVERED","HELD — COVERAGE",IF(OR(R494="PAIRED SYNCHRONIZED",R494="TRILATERAL SYNCHRONIZED"),"E ACTIONABLE","INDEPENDENT"))</x:f>
        <x:v>HELD — COVERAGE</x:v>
      </x:c>
      <x:c r="AA494" s="13" t="str">
        <x:f>IF(L494&lt;&gt;"COVERED","HELD — COVERAGE","WAIT FOR UPSTREAM COMPLETION")</x:f>
        <x:v>HELD — COVERAGE</x:v>
      </x:c>
      <x:c r="AB494" s="13" t="str">
        <x:f>IF(L494&lt;&gt;"COVERED","HELD — COVERAGE",IF(T494="UNRESOLVED","G DECISION REQUIRED",IF(T494="NOT APPLICABLE","G N/A","G ACTIONABLE")))</x:f>
        <x:v>HELD — COVERAGE</x:v>
      </x:c>
      <x:c r="AC494" s="13" t="str">
        <x:f>IF(L494="UNRESOLVED","COVERAGE FIRST",IF(OR(L494="EXCLUDED",L494="OUT OF SCOPE"),"CLOSED BY COVERAGE",IF(AND(L494="COVERED",T494&lt;&gt;"UNRESOLVED"),"PARTIALLY ADOPTED","DECISIONS REMAIN")))</x:f>
        <x:v>COVERAGE FIRST</x:v>
      </x:c>
    </x:row>
    <x:row r="495">
      <x:c r="A495" s="13" t="str">
        <x:v>NAAFTC-HS6-080510</x:v>
      </x:c>
      <x:c r="B495" s="13" t="str">
        <x:v>080510</x:v>
      </x:c>
      <x:c r="C495" s="13" t="str">
        <x:v>08</x:v>
      </x:c>
      <x:c r="D495" s="13" t="str">
        <x:v>TRILATERAL_SPLIT_MERGE</x:v>
      </x:c>
      <x:c r="E495" s="13" t="str">
        <x:v>Pending</x:v>
      </x:c>
      <x:c r="F495" s="13" t="n">
        <x:v>3</x:v>
      </x:c>
      <x:c r="G495" s="13" t="n">
        <x:v>1</x:v>
      </x:c>
      <x:c r="H495" s="13" t="n">
        <x:v>1</x:v>
      </x:c>
      <x:c r="I495" s="13" t="str">
        <x:v>0805100020; 0805100050; 0805100060</x:v>
      </x:c>
      <x:c r="J495" s="13" t="str">
        <x:v>0805100100</x:v>
      </x:c>
      <x:c r="K495" s="13" t="str">
        <x:v>08051000</x:v>
      </x:c>
      <x:c r="L495" s="13" t="str">
        <x:v>UNRESOLVED</x:v>
      </x:c>
      <x:c r="M495" s="13" t="str"/>
      <x:c r="N495" s="13" t="str">
        <x:v>NO / DEFAULT</x:v>
      </x:c>
      <x:c r="O495" s="13" t="str"/>
      <x:c r="P495" s="13" t="str">
        <x:v>NO / DEFAULT</x:v>
      </x:c>
      <x:c r="Q495" s="13" t="str"/>
      <x:c r="R495" s="13" t="str">
        <x:v>INDEPENDENT / DEFAULT</x:v>
      </x:c>
      <x:c r="S495" s="13" t="str"/>
      <x:c r="T495" s="13" t="str">
        <x:v>UNRESOLVED</x:v>
      </x:c>
      <x:c r="U495" s="13" t="str"/>
      <x:c r="V495" s="13" t="str"/>
      <x:c r="W495" s="13" t="str"/>
      <x:c r="X495" s="13" t="str">
        <x:f>IF(L495&lt;&gt;"COVERED","HELD — COVERAGE",IF(N495="YES — SENSITIVE","C ACTIONABLE","CHAPTER 5 DEFAULT"))</x:f>
        <x:v>HELD — COVERAGE</x:v>
      </x:c>
      <x:c r="Y495" s="13" t="str">
        <x:f>IF(L495&lt;&gt;"COVERED","HELD — COVERAGE",IF(P495="YES — MANAGED ACCESS","D ACTIONABLE","NO D FIELD"))</x:f>
        <x:v>HELD — COVERAGE</x:v>
      </x:c>
      <x:c r="Z495" s="13" t="str">
        <x:f>IF(L495&lt;&gt;"COVERED","HELD — COVERAGE",IF(OR(R495="PAIRED SYNCHRONIZED",R495="TRILATERAL SYNCHRONIZED"),"E ACTIONABLE","INDEPENDENT"))</x:f>
        <x:v>HELD — COVERAGE</x:v>
      </x:c>
      <x:c r="AA495" s="13" t="str">
        <x:f>IF(L495&lt;&gt;"COVERED","HELD — COVERAGE","WAIT FOR UPSTREAM COMPLETION")</x:f>
        <x:v>HELD — COVERAGE</x:v>
      </x:c>
      <x:c r="AB495" s="13" t="str">
        <x:f>IF(L495&lt;&gt;"COVERED","HELD — COVERAGE",IF(T495="UNRESOLVED","G DECISION REQUIRED",IF(T495="NOT APPLICABLE","G N/A","G ACTIONABLE")))</x:f>
        <x:v>HELD — COVERAGE</x:v>
      </x:c>
      <x:c r="AC495" s="13" t="str">
        <x:f>IF(L495="UNRESOLVED","COVERAGE FIRST",IF(OR(L495="EXCLUDED",L495="OUT OF SCOPE"),"CLOSED BY COVERAGE",IF(AND(L495="COVERED",T495&lt;&gt;"UNRESOLVED"),"PARTIALLY ADOPTED","DECISIONS REMAIN")))</x:f>
        <x:v>COVERAGE FIRST</x:v>
      </x:c>
    </x:row>
    <x:row r="496">
      <x:c r="A496" s="13" t="str">
        <x:v>NAAFTC-HS6-080521</x:v>
      </x:c>
      <x:c r="B496" s="13" t="str">
        <x:v>080521</x:v>
      </x:c>
      <x:c r="C496" s="13" t="str">
        <x:v>08</x:v>
      </x:c>
      <x:c r="D496" s="13" t="str">
        <x:v>TRILATERAL_SPLIT_MERGE</x:v>
      </x:c>
      <x:c r="E496" s="13" t="str">
        <x:v>Pending</x:v>
      </x:c>
      <x:c r="F496" s="13" t="n">
        <x:v>2</x:v>
      </x:c>
      <x:c r="G496" s="13" t="n">
        <x:v>1</x:v>
      </x:c>
      <x:c r="H496" s="13" t="n">
        <x:v>1</x:v>
      </x:c>
      <x:c r="I496" s="13" t="str">
        <x:v>0805210010; 0805210090</x:v>
      </x:c>
      <x:c r="J496" s="13" t="str">
        <x:v>0805210100</x:v>
      </x:c>
      <x:c r="K496" s="13" t="str">
        <x:v>0805210000</x:v>
      </x:c>
      <x:c r="L496" s="13" t="str">
        <x:v>UNRESOLVED</x:v>
      </x:c>
      <x:c r="M496" s="13" t="str"/>
      <x:c r="N496" s="13" t="str">
        <x:v>NO / DEFAULT</x:v>
      </x:c>
      <x:c r="O496" s="13" t="str"/>
      <x:c r="P496" s="13" t="str">
        <x:v>NO / DEFAULT</x:v>
      </x:c>
      <x:c r="Q496" s="13" t="str"/>
      <x:c r="R496" s="13" t="str">
        <x:v>INDEPENDENT / DEFAULT</x:v>
      </x:c>
      <x:c r="S496" s="13" t="str"/>
      <x:c r="T496" s="13" t="str">
        <x:v>UNRESOLVED</x:v>
      </x:c>
      <x:c r="U496" s="13" t="str"/>
      <x:c r="V496" s="13" t="str"/>
      <x:c r="W496" s="13" t="str"/>
      <x:c r="X496" s="13" t="str">
        <x:f>IF(L496&lt;&gt;"COVERED","HELD — COVERAGE",IF(N496="YES — SENSITIVE","C ACTIONABLE","CHAPTER 5 DEFAULT"))</x:f>
        <x:v>HELD — COVERAGE</x:v>
      </x:c>
      <x:c r="Y496" s="13" t="str">
        <x:f>IF(L496&lt;&gt;"COVERED","HELD — COVERAGE",IF(P496="YES — MANAGED ACCESS","D ACTIONABLE","NO D FIELD"))</x:f>
        <x:v>HELD — COVERAGE</x:v>
      </x:c>
      <x:c r="Z496" s="13" t="str">
        <x:f>IF(L496&lt;&gt;"COVERED","HELD — COVERAGE",IF(OR(R496="PAIRED SYNCHRONIZED",R496="TRILATERAL SYNCHRONIZED"),"E ACTIONABLE","INDEPENDENT"))</x:f>
        <x:v>HELD — COVERAGE</x:v>
      </x:c>
      <x:c r="AA496" s="13" t="str">
        <x:f>IF(L496&lt;&gt;"COVERED","HELD — COVERAGE","WAIT FOR UPSTREAM COMPLETION")</x:f>
        <x:v>HELD — COVERAGE</x:v>
      </x:c>
      <x:c r="AB496" s="13" t="str">
        <x:f>IF(L496&lt;&gt;"COVERED","HELD — COVERAGE",IF(T496="UNRESOLVED","G DECISION REQUIRED",IF(T496="NOT APPLICABLE","G N/A","G ACTIONABLE")))</x:f>
        <x:v>HELD — COVERAGE</x:v>
      </x:c>
      <x:c r="AC496" s="13" t="str">
        <x:f>IF(L496="UNRESOLVED","COVERAGE FIRST",IF(OR(L496="EXCLUDED",L496="OUT OF SCOPE"),"CLOSED BY COVERAGE",IF(AND(L496="COVERED",T496&lt;&gt;"UNRESOLVED"),"PARTIALLY ADOPTED","DECISIONS REMAIN")))</x:f>
        <x:v>COVERAGE FIRST</x:v>
      </x:c>
    </x:row>
    <x:row r="497">
      <x:c r="A497" s="13" t="str">
        <x:v>NAAFTC-HS6-080522</x:v>
      </x:c>
      <x:c r="B497" s="13" t="str">
        <x:v>080522</x:v>
      </x:c>
      <x:c r="C497" s="13" t="str">
        <x:v>08</x:v>
      </x:c>
      <x:c r="D497" s="13" t="str">
        <x:v>TRILATERAL_1_TO_1_TO_1</x:v>
      </x:c>
      <x:c r="E497" s="13" t="str">
        <x:v>Pending</x:v>
      </x:c>
      <x:c r="F497" s="13" t="n">
        <x:v>1</x:v>
      </x:c>
      <x:c r="G497" s="13" t="n">
        <x:v>1</x:v>
      </x:c>
      <x:c r="H497" s="13" t="n">
        <x:v>1</x:v>
      </x:c>
      <x:c r="I497" s="13" t="str">
        <x:v>0805220000</x:v>
      </x:c>
      <x:c r="J497" s="13" t="str">
        <x:v>0805220100</x:v>
      </x:c>
      <x:c r="K497" s="13" t="str">
        <x:v>0805220000</x:v>
      </x:c>
      <x:c r="L497" s="13" t="str">
        <x:v>UNRESOLVED</x:v>
      </x:c>
      <x:c r="M497" s="13" t="str"/>
      <x:c r="N497" s="13" t="str">
        <x:v>NO / DEFAULT</x:v>
      </x:c>
      <x:c r="O497" s="13" t="str"/>
      <x:c r="P497" s="13" t="str">
        <x:v>NO / DEFAULT</x:v>
      </x:c>
      <x:c r="Q497" s="13" t="str"/>
      <x:c r="R497" s="13" t="str">
        <x:v>INDEPENDENT / DEFAULT</x:v>
      </x:c>
      <x:c r="S497" s="13" t="str"/>
      <x:c r="T497" s="13" t="str">
        <x:v>UNRESOLVED</x:v>
      </x:c>
      <x:c r="U497" s="13" t="str"/>
      <x:c r="V497" s="13" t="str"/>
      <x:c r="W497" s="13" t="str"/>
      <x:c r="X497" s="13" t="str">
        <x:f>IF(L497&lt;&gt;"COVERED","HELD — COVERAGE",IF(N497="YES — SENSITIVE","C ACTIONABLE","CHAPTER 5 DEFAULT"))</x:f>
        <x:v>HELD — COVERAGE</x:v>
      </x:c>
      <x:c r="Y497" s="13" t="str">
        <x:f>IF(L497&lt;&gt;"COVERED","HELD — COVERAGE",IF(P497="YES — MANAGED ACCESS","D ACTIONABLE","NO D FIELD"))</x:f>
        <x:v>HELD — COVERAGE</x:v>
      </x:c>
      <x:c r="Z497" s="13" t="str">
        <x:f>IF(L497&lt;&gt;"COVERED","HELD — COVERAGE",IF(OR(R497="PAIRED SYNCHRONIZED",R497="TRILATERAL SYNCHRONIZED"),"E ACTIONABLE","INDEPENDENT"))</x:f>
        <x:v>HELD — COVERAGE</x:v>
      </x:c>
      <x:c r="AA497" s="13" t="str">
        <x:f>IF(L497&lt;&gt;"COVERED","HELD — COVERAGE","WAIT FOR UPSTREAM COMPLETION")</x:f>
        <x:v>HELD — COVERAGE</x:v>
      </x:c>
      <x:c r="AB497" s="13" t="str">
        <x:f>IF(L497&lt;&gt;"COVERED","HELD — COVERAGE",IF(T497="UNRESOLVED","G DECISION REQUIRED",IF(T497="NOT APPLICABLE","G N/A","G ACTIONABLE")))</x:f>
        <x:v>HELD — COVERAGE</x:v>
      </x:c>
      <x:c r="AC497" s="13" t="str">
        <x:f>IF(L497="UNRESOLVED","COVERAGE FIRST",IF(OR(L497="EXCLUDED",L497="OUT OF SCOPE"),"CLOSED BY COVERAGE",IF(AND(L497="COVERED",T497&lt;&gt;"UNRESOLVED"),"PARTIALLY ADOPTED","DECISIONS REMAIN")))</x:f>
        <x:v>COVERAGE FIRST</x:v>
      </x:c>
    </x:row>
    <x:row r="498">
      <x:c r="A498" s="13" t="str">
        <x:v>NAAFTC-HS6-080529</x:v>
      </x:c>
      <x:c r="B498" s="13" t="str">
        <x:v>080529</x:v>
      </x:c>
      <x:c r="C498" s="13" t="str">
        <x:v>08</x:v>
      </x:c>
      <x:c r="D498" s="13" t="str">
        <x:v>TRILATERAL_1_TO_1_TO_1</x:v>
      </x:c>
      <x:c r="E498" s="13" t="str">
        <x:v>Pending</x:v>
      </x:c>
      <x:c r="F498" s="13" t="n">
        <x:v>1</x:v>
      </x:c>
      <x:c r="G498" s="13" t="n">
        <x:v>1</x:v>
      </x:c>
      <x:c r="H498" s="13" t="n">
        <x:v>1</x:v>
      </x:c>
      <x:c r="I498" s="13" t="str">
        <x:v>0805290000</x:v>
      </x:c>
      <x:c r="J498" s="13" t="str">
        <x:v>0805299900</x:v>
      </x:c>
      <x:c r="K498" s="13" t="str">
        <x:v>0805290000</x:v>
      </x:c>
      <x:c r="L498" s="13" t="str">
        <x:v>UNRESOLVED</x:v>
      </x:c>
      <x:c r="M498" s="13" t="str"/>
      <x:c r="N498" s="13" t="str">
        <x:v>NO / DEFAULT</x:v>
      </x:c>
      <x:c r="O498" s="13" t="str"/>
      <x:c r="P498" s="13" t="str">
        <x:v>NO / DEFAULT</x:v>
      </x:c>
      <x:c r="Q498" s="13" t="str"/>
      <x:c r="R498" s="13" t="str">
        <x:v>INDEPENDENT / DEFAULT</x:v>
      </x:c>
      <x:c r="S498" s="13" t="str"/>
      <x:c r="T498" s="13" t="str">
        <x:v>UNRESOLVED</x:v>
      </x:c>
      <x:c r="U498" s="13" t="str"/>
      <x:c r="V498" s="13" t="str"/>
      <x:c r="W498" s="13" t="str"/>
      <x:c r="X498" s="13" t="str">
        <x:f>IF(L498&lt;&gt;"COVERED","HELD — COVERAGE",IF(N498="YES — SENSITIVE","C ACTIONABLE","CHAPTER 5 DEFAULT"))</x:f>
        <x:v>HELD — COVERAGE</x:v>
      </x:c>
      <x:c r="Y498" s="13" t="str">
        <x:f>IF(L498&lt;&gt;"COVERED","HELD — COVERAGE",IF(P498="YES — MANAGED ACCESS","D ACTIONABLE","NO D FIELD"))</x:f>
        <x:v>HELD — COVERAGE</x:v>
      </x:c>
      <x:c r="Z498" s="13" t="str">
        <x:f>IF(L498&lt;&gt;"COVERED","HELD — COVERAGE",IF(OR(R498="PAIRED SYNCHRONIZED",R498="TRILATERAL SYNCHRONIZED"),"E ACTIONABLE","INDEPENDENT"))</x:f>
        <x:v>HELD — COVERAGE</x:v>
      </x:c>
      <x:c r="AA498" s="13" t="str">
        <x:f>IF(L498&lt;&gt;"COVERED","HELD — COVERAGE","WAIT FOR UPSTREAM COMPLETION")</x:f>
        <x:v>HELD — COVERAGE</x:v>
      </x:c>
      <x:c r="AB498" s="13" t="str">
        <x:f>IF(L498&lt;&gt;"COVERED","HELD — COVERAGE",IF(T498="UNRESOLVED","G DECISION REQUIRED",IF(T498="NOT APPLICABLE","G N/A","G ACTIONABLE")))</x:f>
        <x:v>HELD — COVERAGE</x:v>
      </x:c>
      <x:c r="AC498" s="13" t="str">
        <x:f>IF(L498="UNRESOLVED","COVERAGE FIRST",IF(OR(L498="EXCLUDED",L498="OUT OF SCOPE"),"CLOSED BY COVERAGE",IF(AND(L498="COVERED",T498&lt;&gt;"UNRESOLVED"),"PARTIALLY ADOPTED","DECISIONS REMAIN")))</x:f>
        <x:v>COVERAGE FIRST</x:v>
      </x:c>
    </x:row>
    <x:row r="499">
      <x:c r="A499" s="13" t="str">
        <x:v>NAAFTC-HS6-080540</x:v>
      </x:c>
      <x:c r="B499" s="13" t="str">
        <x:v>080540</x:v>
      </x:c>
      <x:c r="C499" s="13" t="str">
        <x:v>08</x:v>
      </x:c>
      <x:c r="D499" s="13" t="str">
        <x:v>TRILATERAL_SPLIT_MERGE</x:v>
      </x:c>
      <x:c r="E499" s="13" t="str">
        <x:v>Pending</x:v>
      </x:c>
      <x:c r="F499" s="13" t="n">
        <x:v>6</x:v>
      </x:c>
      <x:c r="G499" s="13" t="n">
        <x:v>1</x:v>
      </x:c>
      <x:c r="H499" s="13" t="n">
        <x:v>1</x:v>
      </x:c>
      <x:c r="I499" s="13" t="str">
        <x:v>0805404010; 0805404090; 0805406010; 0805406090; 0805408010; 0805408090</x:v>
      </x:c>
      <x:c r="J499" s="13" t="str">
        <x:v>0805400100</x:v>
      </x:c>
      <x:c r="K499" s="13" t="str">
        <x:v>08054000</x:v>
      </x:c>
      <x:c r="L499" s="13" t="str">
        <x:v>UNRESOLVED</x:v>
      </x:c>
      <x:c r="M499" s="13" t="str"/>
      <x:c r="N499" s="13" t="str">
        <x:v>NO / DEFAULT</x:v>
      </x:c>
      <x:c r="O499" s="13" t="str"/>
      <x:c r="P499" s="13" t="str">
        <x:v>NO / DEFAULT</x:v>
      </x:c>
      <x:c r="Q499" s="13" t="str"/>
      <x:c r="R499" s="13" t="str">
        <x:v>INDEPENDENT / DEFAULT</x:v>
      </x:c>
      <x:c r="S499" s="13" t="str"/>
      <x:c r="T499" s="13" t="str">
        <x:v>UNRESOLVED</x:v>
      </x:c>
      <x:c r="U499" s="13" t="str"/>
      <x:c r="V499" s="13" t="str"/>
      <x:c r="W499" s="13" t="str"/>
      <x:c r="X499" s="13" t="str">
        <x:f>IF(L499&lt;&gt;"COVERED","HELD — COVERAGE",IF(N499="YES — SENSITIVE","C ACTIONABLE","CHAPTER 5 DEFAULT"))</x:f>
        <x:v>HELD — COVERAGE</x:v>
      </x:c>
      <x:c r="Y499" s="13" t="str">
        <x:f>IF(L499&lt;&gt;"COVERED","HELD — COVERAGE",IF(P499="YES — MANAGED ACCESS","D ACTIONABLE","NO D FIELD"))</x:f>
        <x:v>HELD — COVERAGE</x:v>
      </x:c>
      <x:c r="Z499" s="13" t="str">
        <x:f>IF(L499&lt;&gt;"COVERED","HELD — COVERAGE",IF(OR(R499="PAIRED SYNCHRONIZED",R499="TRILATERAL SYNCHRONIZED"),"E ACTIONABLE","INDEPENDENT"))</x:f>
        <x:v>HELD — COVERAGE</x:v>
      </x:c>
      <x:c r="AA499" s="13" t="str">
        <x:f>IF(L499&lt;&gt;"COVERED","HELD — COVERAGE","WAIT FOR UPSTREAM COMPLETION")</x:f>
        <x:v>HELD — COVERAGE</x:v>
      </x:c>
      <x:c r="AB499" s="13" t="str">
        <x:f>IF(L499&lt;&gt;"COVERED","HELD — COVERAGE",IF(T499="UNRESOLVED","G DECISION REQUIRED",IF(T499="NOT APPLICABLE","G N/A","G ACTIONABLE")))</x:f>
        <x:v>HELD — COVERAGE</x:v>
      </x:c>
      <x:c r="AC499" s="13" t="str">
        <x:f>IF(L499="UNRESOLVED","COVERAGE FIRST",IF(OR(L499="EXCLUDED",L499="OUT OF SCOPE"),"CLOSED BY COVERAGE",IF(AND(L499="COVERED",T499&lt;&gt;"UNRESOLVED"),"PARTIALLY ADOPTED","DECISIONS REMAIN")))</x:f>
        <x:v>COVERAGE FIRST</x:v>
      </x:c>
    </x:row>
    <x:row r="500">
      <x:c r="A500" s="13" t="str">
        <x:v>NAAFTC-HS6-080550</x:v>
      </x:c>
      <x:c r="B500" s="13" t="str">
        <x:v>080550</x:v>
      </x:c>
      <x:c r="C500" s="13" t="str">
        <x:v>08</x:v>
      </x:c>
      <x:c r="D500" s="13" t="str">
        <x:v>TRILATERAL_SPLIT_MERGE</x:v>
      </x:c>
      <x:c r="E500" s="13" t="str">
        <x:v>Pending</x:v>
      </x:c>
      <x:c r="F500" s="13" t="n">
        <x:v>5</x:v>
      </x:c>
      <x:c r="G500" s="13" t="n">
        <x:v>3</x:v>
      </x:c>
      <x:c r="H500" s="13" t="n">
        <x:v>1</x:v>
      </x:c>
      <x:c r="I500" s="13" t="str">
        <x:v>0805502010; 0805502050; 0805503020; 0805503040; 0805504000</x:v>
      </x:c>
      <x:c r="J500" s="13" t="str">
        <x:v>0805500301; 0805500302; 0805500399</x:v>
      </x:c>
      <x:c r="K500" s="13" t="str">
        <x:v>08055000</x:v>
      </x:c>
      <x:c r="L500" s="13" t="str">
        <x:v>UNRESOLVED</x:v>
      </x:c>
      <x:c r="M500" s="13" t="str"/>
      <x:c r="N500" s="13" t="str">
        <x:v>NO / DEFAULT</x:v>
      </x:c>
      <x:c r="O500" s="13" t="str"/>
      <x:c r="P500" s="13" t="str">
        <x:v>NO / DEFAULT</x:v>
      </x:c>
      <x:c r="Q500" s="13" t="str"/>
      <x:c r="R500" s="13" t="str">
        <x:v>INDEPENDENT / DEFAULT</x:v>
      </x:c>
      <x:c r="S500" s="13" t="str"/>
      <x:c r="T500" s="13" t="str">
        <x:v>UNRESOLVED</x:v>
      </x:c>
      <x:c r="U500" s="13" t="str"/>
      <x:c r="V500" s="13" t="str"/>
      <x:c r="W500" s="13" t="str"/>
      <x:c r="X500" s="13" t="str">
        <x:f>IF(L500&lt;&gt;"COVERED","HELD — COVERAGE",IF(N500="YES — SENSITIVE","C ACTIONABLE","CHAPTER 5 DEFAULT"))</x:f>
        <x:v>HELD — COVERAGE</x:v>
      </x:c>
      <x:c r="Y500" s="13" t="str">
        <x:f>IF(L500&lt;&gt;"COVERED","HELD — COVERAGE",IF(P500="YES — MANAGED ACCESS","D ACTIONABLE","NO D FIELD"))</x:f>
        <x:v>HELD — COVERAGE</x:v>
      </x:c>
      <x:c r="Z500" s="13" t="str">
        <x:f>IF(L500&lt;&gt;"COVERED","HELD — COVERAGE",IF(OR(R500="PAIRED SYNCHRONIZED",R500="TRILATERAL SYNCHRONIZED"),"E ACTIONABLE","INDEPENDENT"))</x:f>
        <x:v>HELD — COVERAGE</x:v>
      </x:c>
      <x:c r="AA500" s="13" t="str">
        <x:f>IF(L500&lt;&gt;"COVERED","HELD — COVERAGE","WAIT FOR UPSTREAM COMPLETION")</x:f>
        <x:v>HELD — COVERAGE</x:v>
      </x:c>
      <x:c r="AB500" s="13" t="str">
        <x:f>IF(L500&lt;&gt;"COVERED","HELD — COVERAGE",IF(T500="UNRESOLVED","G DECISION REQUIRED",IF(T500="NOT APPLICABLE","G N/A","G ACTIONABLE")))</x:f>
        <x:v>HELD — COVERAGE</x:v>
      </x:c>
      <x:c r="AC500" s="13" t="str">
        <x:f>IF(L500="UNRESOLVED","COVERAGE FIRST",IF(OR(L500="EXCLUDED",L500="OUT OF SCOPE"),"CLOSED BY COVERAGE",IF(AND(L500="COVERED",T500&lt;&gt;"UNRESOLVED"),"PARTIALLY ADOPTED","DECISIONS REMAIN")))</x:f>
        <x:v>COVERAGE FIRST</x:v>
      </x:c>
    </x:row>
    <x:row r="501">
      <x:c r="A501" s="13" t="str">
        <x:v>NAAFTC-HS6-080590</x:v>
      </x:c>
      <x:c r="B501" s="13" t="str">
        <x:v>080590</x:v>
      </x:c>
      <x:c r="C501" s="13" t="str">
        <x:v>08</x:v>
      </x:c>
      <x:c r="D501" s="13" t="str">
        <x:v>TRILATERAL_1_TO_1_TO_1</x:v>
      </x:c>
      <x:c r="E501" s="13" t="str">
        <x:v>Pending</x:v>
      </x:c>
      <x:c r="F501" s="13" t="n">
        <x:v>1</x:v>
      </x:c>
      <x:c r="G501" s="13" t="n">
        <x:v>1</x:v>
      </x:c>
      <x:c r="H501" s="13" t="n">
        <x:v>1</x:v>
      </x:c>
      <x:c r="I501" s="13" t="str">
        <x:v>0805900100</x:v>
      </x:c>
      <x:c r="J501" s="13" t="str">
        <x:v>0805909900</x:v>
      </x:c>
      <x:c r="K501" s="13" t="str">
        <x:v>08059000</x:v>
      </x:c>
      <x:c r="L501" s="13" t="str">
        <x:v>UNRESOLVED</x:v>
      </x:c>
      <x:c r="M501" s="13" t="str"/>
      <x:c r="N501" s="13" t="str">
        <x:v>NO / DEFAULT</x:v>
      </x:c>
      <x:c r="O501" s="13" t="str"/>
      <x:c r="P501" s="13" t="str">
        <x:v>NO / DEFAULT</x:v>
      </x:c>
      <x:c r="Q501" s="13" t="str"/>
      <x:c r="R501" s="13" t="str">
        <x:v>INDEPENDENT / DEFAULT</x:v>
      </x:c>
      <x:c r="S501" s="13" t="str"/>
      <x:c r="T501" s="13" t="str">
        <x:v>UNRESOLVED</x:v>
      </x:c>
      <x:c r="U501" s="13" t="str"/>
      <x:c r="V501" s="13" t="str"/>
      <x:c r="W501" s="13" t="str"/>
      <x:c r="X501" s="13" t="str">
        <x:f>IF(L501&lt;&gt;"COVERED","HELD — COVERAGE",IF(N501="YES — SENSITIVE","C ACTIONABLE","CHAPTER 5 DEFAULT"))</x:f>
        <x:v>HELD — COVERAGE</x:v>
      </x:c>
      <x:c r="Y501" s="13" t="str">
        <x:f>IF(L501&lt;&gt;"COVERED","HELD — COVERAGE",IF(P501="YES — MANAGED ACCESS","D ACTIONABLE","NO D FIELD"))</x:f>
        <x:v>HELD — COVERAGE</x:v>
      </x:c>
      <x:c r="Z501" s="13" t="str">
        <x:f>IF(L501&lt;&gt;"COVERED","HELD — COVERAGE",IF(OR(R501="PAIRED SYNCHRONIZED",R501="TRILATERAL SYNCHRONIZED"),"E ACTIONABLE","INDEPENDENT"))</x:f>
        <x:v>HELD — COVERAGE</x:v>
      </x:c>
      <x:c r="AA501" s="13" t="str">
        <x:f>IF(L501&lt;&gt;"COVERED","HELD — COVERAGE","WAIT FOR UPSTREAM COMPLETION")</x:f>
        <x:v>HELD — COVERAGE</x:v>
      </x:c>
      <x:c r="AB501" s="13" t="str">
        <x:f>IF(L501&lt;&gt;"COVERED","HELD — COVERAGE",IF(T501="UNRESOLVED","G DECISION REQUIRED",IF(T501="NOT APPLICABLE","G N/A","G ACTIONABLE")))</x:f>
        <x:v>HELD — COVERAGE</x:v>
      </x:c>
      <x:c r="AC501" s="13" t="str">
        <x:f>IF(L501="UNRESOLVED","COVERAGE FIRST",IF(OR(L501="EXCLUDED",L501="OUT OF SCOPE"),"CLOSED BY COVERAGE",IF(AND(L501="COVERED",T501&lt;&gt;"UNRESOLVED"),"PARTIALLY ADOPTED","DECISIONS REMAIN")))</x:f>
        <x:v>COVERAGE FIRST</x:v>
      </x:c>
    </x:row>
    <x:row r="502">
      <x:c r="A502" s="13" t="str">
        <x:v>NAAFTC-HS6-080610</x:v>
      </x:c>
      <x:c r="B502" s="13" t="str">
        <x:v>080610</x:v>
      </x:c>
      <x:c r="C502" s="13" t="str">
        <x:v>08</x:v>
      </x:c>
      <x:c r="D502" s="13" t="str">
        <x:v>TRILATERAL_SPLIT_MERGE</x:v>
      </x:c>
      <x:c r="E502" s="13" t="str">
        <x:v>Pending</x:v>
      </x:c>
      <x:c r="F502" s="13" t="n">
        <x:v>15</x:v>
      </x:c>
      <x:c r="G502" s="13" t="n">
        <x:v>1</x:v>
      </x:c>
      <x:c r="H502" s="13" t="n">
        <x:v>4</x:v>
      </x:c>
      <x:c r="I502" s="13" t="str">
        <x:v>0806102005; 0806102015; 0806102025; 0806102035; 0806102045; 0806104005; +9 more</x:v>
      </x:c>
      <x:c r="J502" s="13" t="str">
        <x:v>0806100100</x:v>
      </x:c>
      <x:c r="K502" s="13" t="str">
        <x:v>0806101100; 0806101900; 08061091; 0806109900</x:v>
      </x:c>
      <x:c r="L502" s="13" t="str">
        <x:v>UNRESOLVED</x:v>
      </x:c>
      <x:c r="M502" s="13" t="str"/>
      <x:c r="N502" s="13" t="str">
        <x:v>NO / DEFAULT</x:v>
      </x:c>
      <x:c r="O502" s="13" t="str"/>
      <x:c r="P502" s="13" t="str">
        <x:v>NO / DEFAULT</x:v>
      </x:c>
      <x:c r="Q502" s="13" t="str"/>
      <x:c r="R502" s="13" t="str">
        <x:v>INDEPENDENT / DEFAULT</x:v>
      </x:c>
      <x:c r="S502" s="13" t="str"/>
      <x:c r="T502" s="13" t="str">
        <x:v>UNRESOLVED</x:v>
      </x:c>
      <x:c r="U502" s="13" t="str"/>
      <x:c r="V502" s="13" t="str"/>
      <x:c r="W502" s="13" t="str"/>
      <x:c r="X502" s="13" t="str">
        <x:f>IF(L502&lt;&gt;"COVERED","HELD — COVERAGE",IF(N502="YES — SENSITIVE","C ACTIONABLE","CHAPTER 5 DEFAULT"))</x:f>
        <x:v>HELD — COVERAGE</x:v>
      </x:c>
      <x:c r="Y502" s="13" t="str">
        <x:f>IF(L502&lt;&gt;"COVERED","HELD — COVERAGE",IF(P502="YES — MANAGED ACCESS","D ACTIONABLE","NO D FIELD"))</x:f>
        <x:v>HELD — COVERAGE</x:v>
      </x:c>
      <x:c r="Z502" s="13" t="str">
        <x:f>IF(L502&lt;&gt;"COVERED","HELD — COVERAGE",IF(OR(R502="PAIRED SYNCHRONIZED",R502="TRILATERAL SYNCHRONIZED"),"E ACTIONABLE","INDEPENDENT"))</x:f>
        <x:v>HELD — COVERAGE</x:v>
      </x:c>
      <x:c r="AA502" s="13" t="str">
        <x:f>IF(L502&lt;&gt;"COVERED","HELD — COVERAGE","WAIT FOR UPSTREAM COMPLETION")</x:f>
        <x:v>HELD — COVERAGE</x:v>
      </x:c>
      <x:c r="AB502" s="13" t="str">
        <x:f>IF(L502&lt;&gt;"COVERED","HELD — COVERAGE",IF(T502="UNRESOLVED","G DECISION REQUIRED",IF(T502="NOT APPLICABLE","G N/A","G ACTIONABLE")))</x:f>
        <x:v>HELD — COVERAGE</x:v>
      </x:c>
      <x:c r="AC502" s="13" t="str">
        <x:f>IF(L502="UNRESOLVED","COVERAGE FIRST",IF(OR(L502="EXCLUDED",L502="OUT OF SCOPE"),"CLOSED BY COVERAGE",IF(AND(L502="COVERED",T502&lt;&gt;"UNRESOLVED"),"PARTIALLY ADOPTED","DECISIONS REMAIN")))</x:f>
        <x:v>COVERAGE FIRST</x:v>
      </x:c>
    </x:row>
    <x:row r="503">
      <x:c r="A503" s="13" t="str">
        <x:v>NAAFTC-HS6-080620</x:v>
      </x:c>
      <x:c r="B503" s="13" t="str">
        <x:v>080620</x:v>
      </x:c>
      <x:c r="C503" s="13" t="str">
        <x:v>08</x:v>
      </x:c>
      <x:c r="D503" s="13" t="str">
        <x:v>TRILATERAL_SPLIT_MERGE</x:v>
      </x:c>
      <x:c r="E503" s="13" t="str">
        <x:v>Pending</x:v>
      </x:c>
      <x:c r="F503" s="13" t="n">
        <x:v>5</x:v>
      </x:c>
      <x:c r="G503" s="13" t="n">
        <x:v>1</x:v>
      </x:c>
      <x:c r="H503" s="13" t="n">
        <x:v>1</x:v>
      </x:c>
      <x:c r="I503" s="13" t="str">
        <x:v>0806201010; 0806201020; 0806201090; 0806202000; 0806209000</x:v>
      </x:c>
      <x:c r="J503" s="13" t="str">
        <x:v>0806200100</x:v>
      </x:c>
      <x:c r="K503" s="13" t="str">
        <x:v>0806200000</x:v>
      </x:c>
      <x:c r="L503" s="13" t="str">
        <x:v>UNRESOLVED</x:v>
      </x:c>
      <x:c r="M503" s="13" t="str"/>
      <x:c r="N503" s="13" t="str">
        <x:v>NO / DEFAULT</x:v>
      </x:c>
      <x:c r="O503" s="13" t="str"/>
      <x:c r="P503" s="13" t="str">
        <x:v>NO / DEFAULT</x:v>
      </x:c>
      <x:c r="Q503" s="13" t="str"/>
      <x:c r="R503" s="13" t="str">
        <x:v>INDEPENDENT / DEFAULT</x:v>
      </x:c>
      <x:c r="S503" s="13" t="str"/>
      <x:c r="T503" s="13" t="str">
        <x:v>UNRESOLVED</x:v>
      </x:c>
      <x:c r="U503" s="13" t="str"/>
      <x:c r="V503" s="13" t="str"/>
      <x:c r="W503" s="13" t="str"/>
      <x:c r="X503" s="13" t="str">
        <x:f>IF(L503&lt;&gt;"COVERED","HELD — COVERAGE",IF(N503="YES — SENSITIVE","C ACTIONABLE","CHAPTER 5 DEFAULT"))</x:f>
        <x:v>HELD — COVERAGE</x:v>
      </x:c>
      <x:c r="Y503" s="13" t="str">
        <x:f>IF(L503&lt;&gt;"COVERED","HELD — COVERAGE",IF(P503="YES — MANAGED ACCESS","D ACTIONABLE","NO D FIELD"))</x:f>
        <x:v>HELD — COVERAGE</x:v>
      </x:c>
      <x:c r="Z503" s="13" t="str">
        <x:f>IF(L503&lt;&gt;"COVERED","HELD — COVERAGE",IF(OR(R503="PAIRED SYNCHRONIZED",R503="TRILATERAL SYNCHRONIZED"),"E ACTIONABLE","INDEPENDENT"))</x:f>
        <x:v>HELD — COVERAGE</x:v>
      </x:c>
      <x:c r="AA503" s="13" t="str">
        <x:f>IF(L503&lt;&gt;"COVERED","HELD — COVERAGE","WAIT FOR UPSTREAM COMPLETION")</x:f>
        <x:v>HELD — COVERAGE</x:v>
      </x:c>
      <x:c r="AB503" s="13" t="str">
        <x:f>IF(L503&lt;&gt;"COVERED","HELD — COVERAGE",IF(T503="UNRESOLVED","G DECISION REQUIRED",IF(T503="NOT APPLICABLE","G N/A","G ACTIONABLE")))</x:f>
        <x:v>HELD — COVERAGE</x:v>
      </x:c>
      <x:c r="AC503" s="13" t="str">
        <x:f>IF(L503="UNRESOLVED","COVERAGE FIRST",IF(OR(L503="EXCLUDED",L503="OUT OF SCOPE"),"CLOSED BY COVERAGE",IF(AND(L503="COVERED",T503&lt;&gt;"UNRESOLVED"),"PARTIALLY ADOPTED","DECISIONS REMAIN")))</x:f>
        <x:v>COVERAGE FIRST</x:v>
      </x:c>
    </x:row>
    <x:row r="504">
      <x:c r="A504" s="13" t="str">
        <x:v>NAAFTC-HS6-080711</x:v>
      </x:c>
      <x:c r="B504" s="13" t="str">
        <x:v>080711</x:v>
      </x:c>
      <x:c r="C504" s="13" t="str">
        <x:v>08</x:v>
      </x:c>
      <x:c r="D504" s="13" t="str">
        <x:v>TRILATERAL_SPLIT_MERGE</x:v>
      </x:c>
      <x:c r="E504" s="13" t="str">
        <x:v>Pending</x:v>
      </x:c>
      <x:c r="F504" s="13" t="n">
        <x:v>10</x:v>
      </x:c>
      <x:c r="G504" s="13" t="n">
        <x:v>2</x:v>
      </x:c>
      <x:c r="H504" s="13" t="n">
        <x:v>1</x:v>
      </x:c>
      <x:c r="I504" s="13" t="str">
        <x:v>0807113020; 0807113040; 0807113060; 0807113080; 0807113090; 0807114020; +4 more</x:v>
      </x:c>
      <x:c r="J504" s="13" t="str">
        <x:v>0807110101; 0807110199</x:v>
      </x:c>
      <x:c r="K504" s="13" t="str">
        <x:v>08071100</x:v>
      </x:c>
      <x:c r="L504" s="13" t="str">
        <x:v>UNRESOLVED</x:v>
      </x:c>
      <x:c r="M504" s="13" t="str"/>
      <x:c r="N504" s="13" t="str">
        <x:v>NO / DEFAULT</x:v>
      </x:c>
      <x:c r="O504" s="13" t="str"/>
      <x:c r="P504" s="13" t="str">
        <x:v>NO / DEFAULT</x:v>
      </x:c>
      <x:c r="Q504" s="13" t="str"/>
      <x:c r="R504" s="13" t="str">
        <x:v>INDEPENDENT / DEFAULT</x:v>
      </x:c>
      <x:c r="S504" s="13" t="str"/>
      <x:c r="T504" s="13" t="str">
        <x:v>UNRESOLVED</x:v>
      </x:c>
      <x:c r="U504" s="13" t="str"/>
      <x:c r="V504" s="13" t="str"/>
      <x:c r="W504" s="13" t="str"/>
      <x:c r="X504" s="13" t="str">
        <x:f>IF(L504&lt;&gt;"COVERED","HELD — COVERAGE",IF(N504="YES — SENSITIVE","C ACTIONABLE","CHAPTER 5 DEFAULT"))</x:f>
        <x:v>HELD — COVERAGE</x:v>
      </x:c>
      <x:c r="Y504" s="13" t="str">
        <x:f>IF(L504&lt;&gt;"COVERED","HELD — COVERAGE",IF(P504="YES — MANAGED ACCESS","D ACTIONABLE","NO D FIELD"))</x:f>
        <x:v>HELD — COVERAGE</x:v>
      </x:c>
      <x:c r="Z504" s="13" t="str">
        <x:f>IF(L504&lt;&gt;"COVERED","HELD — COVERAGE",IF(OR(R504="PAIRED SYNCHRONIZED",R504="TRILATERAL SYNCHRONIZED"),"E ACTIONABLE","INDEPENDENT"))</x:f>
        <x:v>HELD — COVERAGE</x:v>
      </x:c>
      <x:c r="AA504" s="13" t="str">
        <x:f>IF(L504&lt;&gt;"COVERED","HELD — COVERAGE","WAIT FOR UPSTREAM COMPLETION")</x:f>
        <x:v>HELD — COVERAGE</x:v>
      </x:c>
      <x:c r="AB504" s="13" t="str">
        <x:f>IF(L504&lt;&gt;"COVERED","HELD — COVERAGE",IF(T504="UNRESOLVED","G DECISION REQUIRED",IF(T504="NOT APPLICABLE","G N/A","G ACTIONABLE")))</x:f>
        <x:v>HELD — COVERAGE</x:v>
      </x:c>
      <x:c r="AC504" s="13" t="str">
        <x:f>IF(L504="UNRESOLVED","COVERAGE FIRST",IF(OR(L504="EXCLUDED",L504="OUT OF SCOPE"),"CLOSED BY COVERAGE",IF(AND(L504="COVERED",T504&lt;&gt;"UNRESOLVED"),"PARTIALLY ADOPTED","DECISIONS REMAIN")))</x:f>
        <x:v>COVERAGE FIRST</x:v>
      </x:c>
    </x:row>
    <x:row r="505">
      <x:c r="A505" s="13" t="str">
        <x:v>NAAFTC-HS6-080719</x:v>
      </x:c>
      <x:c r="B505" s="13" t="str">
        <x:v>080719</x:v>
      </x:c>
      <x:c r="C505" s="13" t="str">
        <x:v>08</x:v>
      </x:c>
      <x:c r="D505" s="13" t="str">
        <x:v>TRILATERAL_SPLIT_MERGE</x:v>
      </x:c>
      <x:c r="E505" s="13" t="str">
        <x:v>Pending</x:v>
      </x:c>
      <x:c r="F505" s="13" t="n">
        <x:v>8</x:v>
      </x:c>
      <x:c r="G505" s="13" t="n">
        <x:v>2</x:v>
      </x:c>
      <x:c r="H505" s="13" t="n">
        <x:v>1</x:v>
      </x:c>
      <x:c r="I505" s="13" t="str">
        <x:v>0807191000; 0807192000; 0807195000; 0807196000; 0807197020; 0807197040; +2 more</x:v>
      </x:c>
      <x:c r="J505" s="13" t="str">
        <x:v>0807199901; 0807199999</x:v>
      </x:c>
      <x:c r="K505" s="13" t="str">
        <x:v>08071900</x:v>
      </x:c>
      <x:c r="L505" s="13" t="str">
        <x:v>UNRESOLVED</x:v>
      </x:c>
      <x:c r="M505" s="13" t="str"/>
      <x:c r="N505" s="13" t="str">
        <x:v>NO / DEFAULT</x:v>
      </x:c>
      <x:c r="O505" s="13" t="str"/>
      <x:c r="P505" s="13" t="str">
        <x:v>NO / DEFAULT</x:v>
      </x:c>
      <x:c r="Q505" s="13" t="str"/>
      <x:c r="R505" s="13" t="str">
        <x:v>INDEPENDENT / DEFAULT</x:v>
      </x:c>
      <x:c r="S505" s="13" t="str"/>
      <x:c r="T505" s="13" t="str">
        <x:v>UNRESOLVED</x:v>
      </x:c>
      <x:c r="U505" s="13" t="str"/>
      <x:c r="V505" s="13" t="str"/>
      <x:c r="W505" s="13" t="str"/>
      <x:c r="X505" s="13" t="str">
        <x:f>IF(L505&lt;&gt;"COVERED","HELD — COVERAGE",IF(N505="YES — SENSITIVE","C ACTIONABLE","CHAPTER 5 DEFAULT"))</x:f>
        <x:v>HELD — COVERAGE</x:v>
      </x:c>
      <x:c r="Y505" s="13" t="str">
        <x:f>IF(L505&lt;&gt;"COVERED","HELD — COVERAGE",IF(P505="YES — MANAGED ACCESS","D ACTIONABLE","NO D FIELD"))</x:f>
        <x:v>HELD — COVERAGE</x:v>
      </x:c>
      <x:c r="Z505" s="13" t="str">
        <x:f>IF(L505&lt;&gt;"COVERED","HELD — COVERAGE",IF(OR(R505="PAIRED SYNCHRONIZED",R505="TRILATERAL SYNCHRONIZED"),"E ACTIONABLE","INDEPENDENT"))</x:f>
        <x:v>HELD — COVERAGE</x:v>
      </x:c>
      <x:c r="AA505" s="13" t="str">
        <x:f>IF(L505&lt;&gt;"COVERED","HELD — COVERAGE","WAIT FOR UPSTREAM COMPLETION")</x:f>
        <x:v>HELD — COVERAGE</x:v>
      </x:c>
      <x:c r="AB505" s="13" t="str">
        <x:f>IF(L505&lt;&gt;"COVERED","HELD — COVERAGE",IF(T505="UNRESOLVED","G DECISION REQUIRED",IF(T505="NOT APPLICABLE","G N/A","G ACTIONABLE")))</x:f>
        <x:v>HELD — COVERAGE</x:v>
      </x:c>
      <x:c r="AC505" s="13" t="str">
        <x:f>IF(L505="UNRESOLVED","COVERAGE FIRST",IF(OR(L505="EXCLUDED",L505="OUT OF SCOPE"),"CLOSED BY COVERAGE",IF(AND(L505="COVERED",T505&lt;&gt;"UNRESOLVED"),"PARTIALLY ADOPTED","DECISIONS REMAIN")))</x:f>
        <x:v>COVERAGE FIRST</x:v>
      </x:c>
    </x:row>
    <x:row r="506">
      <x:c r="A506" s="13" t="str">
        <x:v>NAAFTC-HS6-080720</x:v>
      </x:c>
      <x:c r="B506" s="13" t="str">
        <x:v>080720</x:v>
      </x:c>
      <x:c r="C506" s="13" t="str">
        <x:v>08</x:v>
      </x:c>
      <x:c r="D506" s="13" t="str">
        <x:v>TRILATERAL_1_TO_1_TO_1</x:v>
      </x:c>
      <x:c r="E506" s="13" t="str">
        <x:v>Pending</x:v>
      </x:c>
      <x:c r="F506" s="13" t="n">
        <x:v>1</x:v>
      </x:c>
      <x:c r="G506" s="13" t="n">
        <x:v>1</x:v>
      </x:c>
      <x:c r="H506" s="13" t="n">
        <x:v>1</x:v>
      </x:c>
      <x:c r="I506" s="13" t="str">
        <x:v>0807200000</x:v>
      </x:c>
      <x:c r="J506" s="13" t="str">
        <x:v>0807200100</x:v>
      </x:c>
      <x:c r="K506" s="13" t="str">
        <x:v>08072000</x:v>
      </x:c>
      <x:c r="L506" s="13" t="str">
        <x:v>UNRESOLVED</x:v>
      </x:c>
      <x:c r="M506" s="13" t="str"/>
      <x:c r="N506" s="13" t="str">
        <x:v>NO / DEFAULT</x:v>
      </x:c>
      <x:c r="O506" s="13" t="str"/>
      <x:c r="P506" s="13" t="str">
        <x:v>NO / DEFAULT</x:v>
      </x:c>
      <x:c r="Q506" s="13" t="str"/>
      <x:c r="R506" s="13" t="str">
        <x:v>INDEPENDENT / DEFAULT</x:v>
      </x:c>
      <x:c r="S506" s="13" t="str"/>
      <x:c r="T506" s="13" t="str">
        <x:v>UNRESOLVED</x:v>
      </x:c>
      <x:c r="U506" s="13" t="str"/>
      <x:c r="V506" s="13" t="str"/>
      <x:c r="W506" s="13" t="str"/>
      <x:c r="X506" s="13" t="str">
        <x:f>IF(L506&lt;&gt;"COVERED","HELD — COVERAGE",IF(N506="YES — SENSITIVE","C ACTIONABLE","CHAPTER 5 DEFAULT"))</x:f>
        <x:v>HELD — COVERAGE</x:v>
      </x:c>
      <x:c r="Y506" s="13" t="str">
        <x:f>IF(L506&lt;&gt;"COVERED","HELD — COVERAGE",IF(P506="YES — MANAGED ACCESS","D ACTIONABLE","NO D FIELD"))</x:f>
        <x:v>HELD — COVERAGE</x:v>
      </x:c>
      <x:c r="Z506" s="13" t="str">
        <x:f>IF(L506&lt;&gt;"COVERED","HELD — COVERAGE",IF(OR(R506="PAIRED SYNCHRONIZED",R506="TRILATERAL SYNCHRONIZED"),"E ACTIONABLE","INDEPENDENT"))</x:f>
        <x:v>HELD — COVERAGE</x:v>
      </x:c>
      <x:c r="AA506" s="13" t="str">
        <x:f>IF(L506&lt;&gt;"COVERED","HELD — COVERAGE","WAIT FOR UPSTREAM COMPLETION")</x:f>
        <x:v>HELD — COVERAGE</x:v>
      </x:c>
      <x:c r="AB506" s="13" t="str">
        <x:f>IF(L506&lt;&gt;"COVERED","HELD — COVERAGE",IF(T506="UNRESOLVED","G DECISION REQUIRED",IF(T506="NOT APPLICABLE","G N/A","G ACTIONABLE")))</x:f>
        <x:v>HELD — COVERAGE</x:v>
      </x:c>
      <x:c r="AC506" s="13" t="str">
        <x:f>IF(L506="UNRESOLVED","COVERAGE FIRST",IF(OR(L506="EXCLUDED",L506="OUT OF SCOPE"),"CLOSED BY COVERAGE",IF(AND(L506="COVERED",T506&lt;&gt;"UNRESOLVED"),"PARTIALLY ADOPTED","DECISIONS REMAIN")))</x:f>
        <x:v>COVERAGE FIRST</x:v>
      </x:c>
    </x:row>
    <x:row r="507">
      <x:c r="A507" s="13" t="str">
        <x:v>NAAFTC-HS6-080810</x:v>
      </x:c>
      <x:c r="B507" s="13" t="str">
        <x:v>080810</x:v>
      </x:c>
      <x:c r="C507" s="13" t="str">
        <x:v>08</x:v>
      </x:c>
      <x:c r="D507" s="13" t="str">
        <x:v>TRILATERAL_SPLIT_MERGE</x:v>
      </x:c>
      <x:c r="E507" s="13" t="str">
        <x:v>Pending</x:v>
      </x:c>
      <x:c r="F507" s="13" t="n">
        <x:v>3</x:v>
      </x:c>
      <x:c r="G507" s="13" t="n">
        <x:v>1</x:v>
      </x:c>
      <x:c r="H507" s="13" t="n">
        <x:v>1</x:v>
      </x:c>
      <x:c r="I507" s="13" t="str">
        <x:v>0808100030; 0808100045; 0808100065</x:v>
      </x:c>
      <x:c r="J507" s="13" t="str">
        <x:v>0808100100</x:v>
      </x:c>
      <x:c r="K507" s="13" t="str">
        <x:v>08081010</x:v>
      </x:c>
      <x:c r="L507" s="13" t="str">
        <x:v>UNRESOLVED</x:v>
      </x:c>
      <x:c r="M507" s="13" t="str"/>
      <x:c r="N507" s="13" t="str">
        <x:v>NO / DEFAULT</x:v>
      </x:c>
      <x:c r="O507" s="13" t="str"/>
      <x:c r="P507" s="13" t="str">
        <x:v>NO / DEFAULT</x:v>
      </x:c>
      <x:c r="Q507" s="13" t="str"/>
      <x:c r="R507" s="13" t="str">
        <x:v>INDEPENDENT / DEFAULT</x:v>
      </x:c>
      <x:c r="S507" s="13" t="str"/>
      <x:c r="T507" s="13" t="str">
        <x:v>UNRESOLVED</x:v>
      </x:c>
      <x:c r="U507" s="13" t="str"/>
      <x:c r="V507" s="13" t="str"/>
      <x:c r="W507" s="13" t="str"/>
      <x:c r="X507" s="13" t="str">
        <x:f>IF(L507&lt;&gt;"COVERED","HELD — COVERAGE",IF(N507="YES — SENSITIVE","C ACTIONABLE","CHAPTER 5 DEFAULT"))</x:f>
        <x:v>HELD — COVERAGE</x:v>
      </x:c>
      <x:c r="Y507" s="13" t="str">
        <x:f>IF(L507&lt;&gt;"COVERED","HELD — COVERAGE",IF(P507="YES — MANAGED ACCESS","D ACTIONABLE","NO D FIELD"))</x:f>
        <x:v>HELD — COVERAGE</x:v>
      </x:c>
      <x:c r="Z507" s="13" t="str">
        <x:f>IF(L507&lt;&gt;"COVERED","HELD — COVERAGE",IF(OR(R507="PAIRED SYNCHRONIZED",R507="TRILATERAL SYNCHRONIZED"),"E ACTIONABLE","INDEPENDENT"))</x:f>
        <x:v>HELD — COVERAGE</x:v>
      </x:c>
      <x:c r="AA507" s="13" t="str">
        <x:f>IF(L507&lt;&gt;"COVERED","HELD — COVERAGE","WAIT FOR UPSTREAM COMPLETION")</x:f>
        <x:v>HELD — COVERAGE</x:v>
      </x:c>
      <x:c r="AB507" s="13" t="str">
        <x:f>IF(L507&lt;&gt;"COVERED","HELD — COVERAGE",IF(T507="UNRESOLVED","G DECISION REQUIRED",IF(T507="NOT APPLICABLE","G N/A","G ACTIONABLE")))</x:f>
        <x:v>HELD — COVERAGE</x:v>
      </x:c>
      <x:c r="AC507" s="13" t="str">
        <x:f>IF(L507="UNRESOLVED","COVERAGE FIRST",IF(OR(L507="EXCLUDED",L507="OUT OF SCOPE"),"CLOSED BY COVERAGE",IF(AND(L507="COVERED",T507&lt;&gt;"UNRESOLVED"),"PARTIALLY ADOPTED","DECISIONS REMAIN")))</x:f>
        <x:v>COVERAGE FIRST</x:v>
      </x:c>
    </x:row>
    <x:row r="508">
      <x:c r="A508" s="13" t="str">
        <x:v>NAAFTC-HS6-080830</x:v>
      </x:c>
      <x:c r="B508" s="13" t="str">
        <x:v>080830</x:v>
      </x:c>
      <x:c r="C508" s="13" t="str">
        <x:v>08</x:v>
      </x:c>
      <x:c r="D508" s="13" t="str">
        <x:v>TRILATERAL_SPLIT_MERGE</x:v>
      </x:c>
      <x:c r="E508" s="13" t="str">
        <x:v>Pending</x:v>
      </x:c>
      <x:c r="F508" s="13" t="n">
        <x:v>6</x:v>
      </x:c>
      <x:c r="G508" s="13" t="n">
        <x:v>1</x:v>
      </x:c>
      <x:c r="H508" s="13" t="n">
        <x:v>3</x:v>
      </x:c>
      <x:c r="I508" s="13" t="str">
        <x:v>0808302015; 0808302035; 0808302045; 0808304015; 0808304035; 0808304045</x:v>
      </x:c>
      <x:c r="J508" s="13" t="str">
        <x:v>0808300100</x:v>
      </x:c>
      <x:c r="K508" s="13" t="str">
        <x:v>0808301000; 0808309100; 08083099</x:v>
      </x:c>
      <x:c r="L508" s="13" t="str">
        <x:v>UNRESOLVED</x:v>
      </x:c>
      <x:c r="M508" s="13" t="str"/>
      <x:c r="N508" s="13" t="str">
        <x:v>NO / DEFAULT</x:v>
      </x:c>
      <x:c r="O508" s="13" t="str"/>
      <x:c r="P508" s="13" t="str">
        <x:v>NO / DEFAULT</x:v>
      </x:c>
      <x:c r="Q508" s="13" t="str"/>
      <x:c r="R508" s="13" t="str">
        <x:v>INDEPENDENT / DEFAULT</x:v>
      </x:c>
      <x:c r="S508" s="13" t="str"/>
      <x:c r="T508" s="13" t="str">
        <x:v>UNRESOLVED</x:v>
      </x:c>
      <x:c r="U508" s="13" t="str"/>
      <x:c r="V508" s="13" t="str"/>
      <x:c r="W508" s="13" t="str"/>
      <x:c r="X508" s="13" t="str">
        <x:f>IF(L508&lt;&gt;"COVERED","HELD — COVERAGE",IF(N508="YES — SENSITIVE","C ACTIONABLE","CHAPTER 5 DEFAULT"))</x:f>
        <x:v>HELD — COVERAGE</x:v>
      </x:c>
      <x:c r="Y508" s="13" t="str">
        <x:f>IF(L508&lt;&gt;"COVERED","HELD — COVERAGE",IF(P508="YES — MANAGED ACCESS","D ACTIONABLE","NO D FIELD"))</x:f>
        <x:v>HELD — COVERAGE</x:v>
      </x:c>
      <x:c r="Z508" s="13" t="str">
        <x:f>IF(L508&lt;&gt;"COVERED","HELD — COVERAGE",IF(OR(R508="PAIRED SYNCHRONIZED",R508="TRILATERAL SYNCHRONIZED"),"E ACTIONABLE","INDEPENDENT"))</x:f>
        <x:v>HELD — COVERAGE</x:v>
      </x:c>
      <x:c r="AA508" s="13" t="str">
        <x:f>IF(L508&lt;&gt;"COVERED","HELD — COVERAGE","WAIT FOR UPSTREAM COMPLETION")</x:f>
        <x:v>HELD — COVERAGE</x:v>
      </x:c>
      <x:c r="AB508" s="13" t="str">
        <x:f>IF(L508&lt;&gt;"COVERED","HELD — COVERAGE",IF(T508="UNRESOLVED","G DECISION REQUIRED",IF(T508="NOT APPLICABLE","G N/A","G ACTIONABLE")))</x:f>
        <x:v>HELD — COVERAGE</x:v>
      </x:c>
      <x:c r="AC508" s="13" t="str">
        <x:f>IF(L508="UNRESOLVED","COVERAGE FIRST",IF(OR(L508="EXCLUDED",L508="OUT OF SCOPE"),"CLOSED BY COVERAGE",IF(AND(L508="COVERED",T508&lt;&gt;"UNRESOLVED"),"PARTIALLY ADOPTED","DECISIONS REMAIN")))</x:f>
        <x:v>COVERAGE FIRST</x:v>
      </x:c>
    </x:row>
    <x:row r="509">
      <x:c r="A509" s="13" t="str">
        <x:v>NAAFTC-HS6-080840</x:v>
      </x:c>
      <x:c r="B509" s="13" t="str">
        <x:v>080840</x:v>
      </x:c>
      <x:c r="C509" s="13" t="str">
        <x:v>08</x:v>
      </x:c>
      <x:c r="D509" s="13" t="str">
        <x:v>TRILATERAL_SPLIT_MERGE</x:v>
      </x:c>
      <x:c r="E509" s="13" t="str">
        <x:v>Pending</x:v>
      </x:c>
      <x:c r="F509" s="13" t="n">
        <x:v>4</x:v>
      </x:c>
      <x:c r="G509" s="13" t="n">
        <x:v>1</x:v>
      </x:c>
      <x:c r="H509" s="13" t="n">
        <x:v>1</x:v>
      </x:c>
      <x:c r="I509" s="13" t="str">
        <x:v>0808402015; 0808402025; 0808404015; 0808404025</x:v>
      </x:c>
      <x:c r="J509" s="13" t="str">
        <x:v>0808400100</x:v>
      </x:c>
      <x:c r="K509" s="13" t="str">
        <x:v>0808400000</x:v>
      </x:c>
      <x:c r="L509" s="13" t="str">
        <x:v>UNRESOLVED</x:v>
      </x:c>
      <x:c r="M509" s="13" t="str"/>
      <x:c r="N509" s="13" t="str">
        <x:v>NO / DEFAULT</x:v>
      </x:c>
      <x:c r="O509" s="13" t="str"/>
      <x:c r="P509" s="13" t="str">
        <x:v>NO / DEFAULT</x:v>
      </x:c>
      <x:c r="Q509" s="13" t="str"/>
      <x:c r="R509" s="13" t="str">
        <x:v>INDEPENDENT / DEFAULT</x:v>
      </x:c>
      <x:c r="S509" s="13" t="str"/>
      <x:c r="T509" s="13" t="str">
        <x:v>UNRESOLVED</x:v>
      </x:c>
      <x:c r="U509" s="13" t="str"/>
      <x:c r="V509" s="13" t="str"/>
      <x:c r="W509" s="13" t="str"/>
      <x:c r="X509" s="13" t="str">
        <x:f>IF(L509&lt;&gt;"COVERED","HELD — COVERAGE",IF(N509="YES — SENSITIVE","C ACTIONABLE","CHAPTER 5 DEFAULT"))</x:f>
        <x:v>HELD — COVERAGE</x:v>
      </x:c>
      <x:c r="Y509" s="13" t="str">
        <x:f>IF(L509&lt;&gt;"COVERED","HELD — COVERAGE",IF(P509="YES — MANAGED ACCESS","D ACTIONABLE","NO D FIELD"))</x:f>
        <x:v>HELD — COVERAGE</x:v>
      </x:c>
      <x:c r="Z509" s="13" t="str">
        <x:f>IF(L509&lt;&gt;"COVERED","HELD — COVERAGE",IF(OR(R509="PAIRED SYNCHRONIZED",R509="TRILATERAL SYNCHRONIZED"),"E ACTIONABLE","INDEPENDENT"))</x:f>
        <x:v>HELD — COVERAGE</x:v>
      </x:c>
      <x:c r="AA509" s="13" t="str">
        <x:f>IF(L509&lt;&gt;"COVERED","HELD — COVERAGE","WAIT FOR UPSTREAM COMPLETION")</x:f>
        <x:v>HELD — COVERAGE</x:v>
      </x:c>
      <x:c r="AB509" s="13" t="str">
        <x:f>IF(L509&lt;&gt;"COVERED","HELD — COVERAGE",IF(T509="UNRESOLVED","G DECISION REQUIRED",IF(T509="NOT APPLICABLE","G N/A","G ACTIONABLE")))</x:f>
        <x:v>HELD — COVERAGE</x:v>
      </x:c>
      <x:c r="AC509" s="13" t="str">
        <x:f>IF(L509="UNRESOLVED","COVERAGE FIRST",IF(OR(L509="EXCLUDED",L509="OUT OF SCOPE"),"CLOSED BY COVERAGE",IF(AND(L509="COVERED",T509&lt;&gt;"UNRESOLVED"),"PARTIALLY ADOPTED","DECISIONS REMAIN")))</x:f>
        <x:v>COVERAGE FIRST</x:v>
      </x:c>
    </x:row>
    <x:row r="510">
      <x:c r="A510" s="13" t="str">
        <x:v>NAAFTC-HS6-080910</x:v>
      </x:c>
      <x:c r="B510" s="13" t="str">
        <x:v>080910</x:v>
      </x:c>
      <x:c r="C510" s="13" t="str">
        <x:v>08</x:v>
      </x:c>
      <x:c r="D510" s="13" t="str">
        <x:v>TRILATERAL_SPLIT_MERGE</x:v>
      </x:c>
      <x:c r="E510" s="13" t="str">
        <x:v>Pending</x:v>
      </x:c>
      <x:c r="F510" s="13" t="n">
        <x:v>1</x:v>
      </x:c>
      <x:c r="G510" s="13" t="n">
        <x:v>1</x:v>
      </x:c>
      <x:c r="H510" s="13" t="n">
        <x:v>2</x:v>
      </x:c>
      <x:c r="I510" s="13" t="str">
        <x:v>0809100000</x:v>
      </x:c>
      <x:c r="J510" s="13" t="str">
        <x:v>0809100100</x:v>
      </x:c>
      <x:c r="K510" s="13" t="str">
        <x:v>0809109100; 0809109900</x:v>
      </x:c>
      <x:c r="L510" s="13" t="str">
        <x:v>UNRESOLVED</x:v>
      </x:c>
      <x:c r="M510" s="13" t="str"/>
      <x:c r="N510" s="13" t="str">
        <x:v>NO / DEFAULT</x:v>
      </x:c>
      <x:c r="O510" s="13" t="str"/>
      <x:c r="P510" s="13" t="str">
        <x:v>NO / DEFAULT</x:v>
      </x:c>
      <x:c r="Q510" s="13" t="str"/>
      <x:c r="R510" s="13" t="str">
        <x:v>INDEPENDENT / DEFAULT</x:v>
      </x:c>
      <x:c r="S510" s="13" t="str"/>
      <x:c r="T510" s="13" t="str">
        <x:v>UNRESOLVED</x:v>
      </x:c>
      <x:c r="U510" s="13" t="str"/>
      <x:c r="V510" s="13" t="str"/>
      <x:c r="W510" s="13" t="str"/>
      <x:c r="X510" s="13" t="str">
        <x:f>IF(L510&lt;&gt;"COVERED","HELD — COVERAGE",IF(N510="YES — SENSITIVE","C ACTIONABLE","CHAPTER 5 DEFAULT"))</x:f>
        <x:v>HELD — COVERAGE</x:v>
      </x:c>
      <x:c r="Y510" s="13" t="str">
        <x:f>IF(L510&lt;&gt;"COVERED","HELD — COVERAGE",IF(P510="YES — MANAGED ACCESS","D ACTIONABLE","NO D FIELD"))</x:f>
        <x:v>HELD — COVERAGE</x:v>
      </x:c>
      <x:c r="Z510" s="13" t="str">
        <x:f>IF(L510&lt;&gt;"COVERED","HELD — COVERAGE",IF(OR(R510="PAIRED SYNCHRONIZED",R510="TRILATERAL SYNCHRONIZED"),"E ACTIONABLE","INDEPENDENT"))</x:f>
        <x:v>HELD — COVERAGE</x:v>
      </x:c>
      <x:c r="AA510" s="13" t="str">
        <x:f>IF(L510&lt;&gt;"COVERED","HELD — COVERAGE","WAIT FOR UPSTREAM COMPLETION")</x:f>
        <x:v>HELD — COVERAGE</x:v>
      </x:c>
      <x:c r="AB510" s="13" t="str">
        <x:f>IF(L510&lt;&gt;"COVERED","HELD — COVERAGE",IF(T510="UNRESOLVED","G DECISION REQUIRED",IF(T510="NOT APPLICABLE","G N/A","G ACTIONABLE")))</x:f>
        <x:v>HELD — COVERAGE</x:v>
      </x:c>
      <x:c r="AC510" s="13" t="str">
        <x:f>IF(L510="UNRESOLVED","COVERAGE FIRST",IF(OR(L510="EXCLUDED",L510="OUT OF SCOPE"),"CLOSED BY COVERAGE",IF(AND(L510="COVERED",T510&lt;&gt;"UNRESOLVED"),"PARTIALLY ADOPTED","DECISIONS REMAIN")))</x:f>
        <x:v>COVERAGE FIRST</x:v>
      </x:c>
    </x:row>
    <x:row r="511">
      <x:c r="A511" s="13" t="str">
        <x:v>NAAFTC-HS6-080921</x:v>
      </x:c>
      <x:c r="B511" s="13" t="str">
        <x:v>080921</x:v>
      </x:c>
      <x:c r="C511" s="13" t="str">
        <x:v>08</x:v>
      </x:c>
      <x:c r="D511" s="13" t="str">
        <x:v>TRILATERAL_SPLIT_MERGE</x:v>
      </x:c>
      <x:c r="E511" s="13" t="str">
        <x:v>Pending</x:v>
      </x:c>
      <x:c r="F511" s="13" t="n">
        <x:v>1</x:v>
      </x:c>
      <x:c r="G511" s="13" t="n">
        <x:v>1</x:v>
      </x:c>
      <x:c r="H511" s="13" t="n">
        <x:v>3</x:v>
      </x:c>
      <x:c r="I511" s="13" t="str">
        <x:v>0809210000</x:v>
      </x:c>
      <x:c r="J511" s="13" t="str">
        <x:v>0809210100</x:v>
      </x:c>
      <x:c r="K511" s="13" t="str">
        <x:v>0809211100; 0809211900; 0809219000</x:v>
      </x:c>
      <x:c r="L511" s="13" t="str">
        <x:v>UNRESOLVED</x:v>
      </x:c>
      <x:c r="M511" s="13" t="str"/>
      <x:c r="N511" s="13" t="str">
        <x:v>NO / DEFAULT</x:v>
      </x:c>
      <x:c r="O511" s="13" t="str"/>
      <x:c r="P511" s="13" t="str">
        <x:v>NO / DEFAULT</x:v>
      </x:c>
      <x:c r="Q511" s="13" t="str"/>
      <x:c r="R511" s="13" t="str">
        <x:v>INDEPENDENT / DEFAULT</x:v>
      </x:c>
      <x:c r="S511" s="13" t="str"/>
      <x:c r="T511" s="13" t="str">
        <x:v>UNRESOLVED</x:v>
      </x:c>
      <x:c r="U511" s="13" t="str"/>
      <x:c r="V511" s="13" t="str"/>
      <x:c r="W511" s="13" t="str"/>
      <x:c r="X511" s="13" t="str">
        <x:f>IF(L511&lt;&gt;"COVERED","HELD — COVERAGE",IF(N511="YES — SENSITIVE","C ACTIONABLE","CHAPTER 5 DEFAULT"))</x:f>
        <x:v>HELD — COVERAGE</x:v>
      </x:c>
      <x:c r="Y511" s="13" t="str">
        <x:f>IF(L511&lt;&gt;"COVERED","HELD — COVERAGE",IF(P511="YES — MANAGED ACCESS","D ACTIONABLE","NO D FIELD"))</x:f>
        <x:v>HELD — COVERAGE</x:v>
      </x:c>
      <x:c r="Z511" s="13" t="str">
        <x:f>IF(L511&lt;&gt;"COVERED","HELD — COVERAGE",IF(OR(R511="PAIRED SYNCHRONIZED",R511="TRILATERAL SYNCHRONIZED"),"E ACTIONABLE","INDEPENDENT"))</x:f>
        <x:v>HELD — COVERAGE</x:v>
      </x:c>
      <x:c r="AA511" s="13" t="str">
        <x:f>IF(L511&lt;&gt;"COVERED","HELD — COVERAGE","WAIT FOR UPSTREAM COMPLETION")</x:f>
        <x:v>HELD — COVERAGE</x:v>
      </x:c>
      <x:c r="AB511" s="13" t="str">
        <x:f>IF(L511&lt;&gt;"COVERED","HELD — COVERAGE",IF(T511="UNRESOLVED","G DECISION REQUIRED",IF(T511="NOT APPLICABLE","G N/A","G ACTIONABLE")))</x:f>
        <x:v>HELD — COVERAGE</x:v>
      </x:c>
      <x:c r="AC511" s="13" t="str">
        <x:f>IF(L511="UNRESOLVED","COVERAGE FIRST",IF(OR(L511="EXCLUDED",L511="OUT OF SCOPE"),"CLOSED BY COVERAGE",IF(AND(L511="COVERED",T511&lt;&gt;"UNRESOLVED"),"PARTIALLY ADOPTED","DECISIONS REMAIN")))</x:f>
        <x:v>COVERAGE FIRST</x:v>
      </x:c>
    </x:row>
    <x:row r="512">
      <x:c r="A512" s="13" t="str">
        <x:v>NAAFTC-HS6-080929</x:v>
      </x:c>
      <x:c r="B512" s="13" t="str">
        <x:v>080929</x:v>
      </x:c>
      <x:c r="C512" s="13" t="str">
        <x:v>08</x:v>
      </x:c>
      <x:c r="D512" s="13" t="str">
        <x:v>TRILATERAL_1_TO_1_TO_1</x:v>
      </x:c>
      <x:c r="E512" s="13" t="str">
        <x:v>Pending</x:v>
      </x:c>
      <x:c r="F512" s="13" t="n">
        <x:v>1</x:v>
      </x:c>
      <x:c r="G512" s="13" t="n">
        <x:v>1</x:v>
      </x:c>
      <x:c r="H512" s="13" t="n">
        <x:v>1</x:v>
      </x:c>
      <x:c r="I512" s="13" t="str">
        <x:v>0809290000</x:v>
      </x:c>
      <x:c r="J512" s="13" t="str">
        <x:v>0809299900</x:v>
      </x:c>
      <x:c r="K512" s="13" t="str">
        <x:v>0809291000</x:v>
      </x:c>
      <x:c r="L512" s="13" t="str">
        <x:v>UNRESOLVED</x:v>
      </x:c>
      <x:c r="M512" s="13" t="str"/>
      <x:c r="N512" s="13" t="str">
        <x:v>NO / DEFAULT</x:v>
      </x:c>
      <x:c r="O512" s="13" t="str"/>
      <x:c r="P512" s="13" t="str">
        <x:v>NO / DEFAULT</x:v>
      </x:c>
      <x:c r="Q512" s="13" t="str"/>
      <x:c r="R512" s="13" t="str">
        <x:v>INDEPENDENT / DEFAULT</x:v>
      </x:c>
      <x:c r="S512" s="13" t="str"/>
      <x:c r="T512" s="13" t="str">
        <x:v>UNRESOLVED</x:v>
      </x:c>
      <x:c r="U512" s="13" t="str"/>
      <x:c r="V512" s="13" t="str"/>
      <x:c r="W512" s="13" t="str"/>
      <x:c r="X512" s="13" t="str">
        <x:f>IF(L512&lt;&gt;"COVERED","HELD — COVERAGE",IF(N512="YES — SENSITIVE","C ACTIONABLE","CHAPTER 5 DEFAULT"))</x:f>
        <x:v>HELD — COVERAGE</x:v>
      </x:c>
      <x:c r="Y512" s="13" t="str">
        <x:f>IF(L512&lt;&gt;"COVERED","HELD — COVERAGE",IF(P512="YES — MANAGED ACCESS","D ACTIONABLE","NO D FIELD"))</x:f>
        <x:v>HELD — COVERAGE</x:v>
      </x:c>
      <x:c r="Z512" s="13" t="str">
        <x:f>IF(L512&lt;&gt;"COVERED","HELD — COVERAGE",IF(OR(R512="PAIRED SYNCHRONIZED",R512="TRILATERAL SYNCHRONIZED"),"E ACTIONABLE","INDEPENDENT"))</x:f>
        <x:v>HELD — COVERAGE</x:v>
      </x:c>
      <x:c r="AA512" s="13" t="str">
        <x:f>IF(L512&lt;&gt;"COVERED","HELD — COVERAGE","WAIT FOR UPSTREAM COMPLETION")</x:f>
        <x:v>HELD — COVERAGE</x:v>
      </x:c>
      <x:c r="AB512" s="13" t="str">
        <x:f>IF(L512&lt;&gt;"COVERED","HELD — COVERAGE",IF(T512="UNRESOLVED","G DECISION REQUIRED",IF(T512="NOT APPLICABLE","G N/A","G ACTIONABLE")))</x:f>
        <x:v>HELD — COVERAGE</x:v>
      </x:c>
      <x:c r="AC512" s="13" t="str">
        <x:f>IF(L512="UNRESOLVED","COVERAGE FIRST",IF(OR(L512="EXCLUDED",L512="OUT OF SCOPE"),"CLOSED BY COVERAGE",IF(AND(L512="COVERED",T512&lt;&gt;"UNRESOLVED"),"PARTIALLY ADOPTED","DECISIONS REMAIN")))</x:f>
        <x:v>COVERAGE FIRST</x:v>
      </x:c>
    </x:row>
    <x:row r="513">
      <x:c r="A513" s="13" t="str">
        <x:v>NAAFTC-HS6-080930</x:v>
      </x:c>
      <x:c r="B513" s="13" t="str">
        <x:v>080930</x:v>
      </x:c>
      <x:c r="C513" s="13" t="str">
        <x:v>08</x:v>
      </x:c>
      <x:c r="D513" s="13" t="str">
        <x:v>TRILATERAL_SPLIT_MERGE</x:v>
      </x:c>
      <x:c r="E513" s="13" t="str">
        <x:v>Pending</x:v>
      </x:c>
      <x:c r="F513" s="13" t="n">
        <x:v>3</x:v>
      </x:c>
      <x:c r="G513" s="13" t="n">
        <x:v>2</x:v>
      </x:c>
      <x:c r="H513" s="13" t="n">
        <x:v>2</x:v>
      </x:c>
      <x:c r="I513" s="13" t="str">
        <x:v>0809302000; 0809304010; 0809304090</x:v>
      </x:c>
      <x:c r="J513" s="13" t="str">
        <x:v>0809300301; 0809300302</x:v>
      </x:c>
      <x:c r="K513" s="13" t="str">
        <x:v>0809303000; 0809309000</x:v>
      </x:c>
      <x:c r="L513" s="13" t="str">
        <x:v>UNRESOLVED</x:v>
      </x:c>
      <x:c r="M513" s="13" t="str"/>
      <x:c r="N513" s="13" t="str">
        <x:v>NO / DEFAULT</x:v>
      </x:c>
      <x:c r="O513" s="13" t="str"/>
      <x:c r="P513" s="13" t="str">
        <x:v>NO / DEFAULT</x:v>
      </x:c>
      <x:c r="Q513" s="13" t="str"/>
      <x:c r="R513" s="13" t="str">
        <x:v>INDEPENDENT / DEFAULT</x:v>
      </x:c>
      <x:c r="S513" s="13" t="str"/>
      <x:c r="T513" s="13" t="str">
        <x:v>UNRESOLVED</x:v>
      </x:c>
      <x:c r="U513" s="13" t="str"/>
      <x:c r="V513" s="13" t="str"/>
      <x:c r="W513" s="13" t="str"/>
      <x:c r="X513" s="13" t="str">
        <x:f>IF(L513&lt;&gt;"COVERED","HELD — COVERAGE",IF(N513="YES — SENSITIVE","C ACTIONABLE","CHAPTER 5 DEFAULT"))</x:f>
        <x:v>HELD — COVERAGE</x:v>
      </x:c>
      <x:c r="Y513" s="13" t="str">
        <x:f>IF(L513&lt;&gt;"COVERED","HELD — COVERAGE",IF(P513="YES — MANAGED ACCESS","D ACTIONABLE","NO D FIELD"))</x:f>
        <x:v>HELD — COVERAGE</x:v>
      </x:c>
      <x:c r="Z513" s="13" t="str">
        <x:f>IF(L513&lt;&gt;"COVERED","HELD — COVERAGE",IF(OR(R513="PAIRED SYNCHRONIZED",R513="TRILATERAL SYNCHRONIZED"),"E ACTIONABLE","INDEPENDENT"))</x:f>
        <x:v>HELD — COVERAGE</x:v>
      </x:c>
      <x:c r="AA513" s="13" t="str">
        <x:f>IF(L513&lt;&gt;"COVERED","HELD — COVERAGE","WAIT FOR UPSTREAM COMPLETION")</x:f>
        <x:v>HELD — COVERAGE</x:v>
      </x:c>
      <x:c r="AB513" s="13" t="str">
        <x:f>IF(L513&lt;&gt;"COVERED","HELD — COVERAGE",IF(T513="UNRESOLVED","G DECISION REQUIRED",IF(T513="NOT APPLICABLE","G N/A","G ACTIONABLE")))</x:f>
        <x:v>HELD — COVERAGE</x:v>
      </x:c>
      <x:c r="AC513" s="13" t="str">
        <x:f>IF(L513="UNRESOLVED","COVERAGE FIRST",IF(OR(L513="EXCLUDED",L513="OUT OF SCOPE"),"CLOSED BY COVERAGE",IF(AND(L513="COVERED",T513&lt;&gt;"UNRESOLVED"),"PARTIALLY ADOPTED","DECISIONS REMAIN")))</x:f>
        <x:v>COVERAGE FIRST</x:v>
      </x:c>
    </x:row>
    <x:row r="514">
      <x:c r="A514" s="13" t="str">
        <x:v>NAAFTC-HS6-080940</x:v>
      </x:c>
      <x:c r="B514" s="13" t="str">
        <x:v>080940</x:v>
      </x:c>
      <x:c r="C514" s="13" t="str">
        <x:v>08</x:v>
      </x:c>
      <x:c r="D514" s="13" t="str">
        <x:v>TRILATERAL_SPLIT_MERGE</x:v>
      </x:c>
      <x:c r="E514" s="13" t="str">
        <x:v>Pending</x:v>
      </x:c>
      <x:c r="F514" s="13" t="n">
        <x:v>2</x:v>
      </x:c>
      <x:c r="G514" s="13" t="n">
        <x:v>1</x:v>
      </x:c>
      <x:c r="H514" s="13" t="n">
        <x:v>5</x:v>
      </x:c>
      <x:c r="I514" s="13" t="str">
        <x:v>0809402000; 0809404000</x:v>
      </x:c>
      <x:c r="J514" s="13" t="str">
        <x:v>0809400100</x:v>
      </x:c>
      <x:c r="K514" s="13" t="str">
        <x:v>0809401000; 0809402100; 0809402900; 0809403100; 0809403900</x:v>
      </x:c>
      <x:c r="L514" s="13" t="str">
        <x:v>UNRESOLVED</x:v>
      </x:c>
      <x:c r="M514" s="13" t="str"/>
      <x:c r="N514" s="13" t="str">
        <x:v>NO / DEFAULT</x:v>
      </x:c>
      <x:c r="O514" s="13" t="str"/>
      <x:c r="P514" s="13" t="str">
        <x:v>NO / DEFAULT</x:v>
      </x:c>
      <x:c r="Q514" s="13" t="str"/>
      <x:c r="R514" s="13" t="str">
        <x:v>INDEPENDENT / DEFAULT</x:v>
      </x:c>
      <x:c r="S514" s="13" t="str"/>
      <x:c r="T514" s="13" t="str">
        <x:v>UNRESOLVED</x:v>
      </x:c>
      <x:c r="U514" s="13" t="str"/>
      <x:c r="V514" s="13" t="str"/>
      <x:c r="W514" s="13" t="str"/>
      <x:c r="X514" s="13" t="str">
        <x:f>IF(L514&lt;&gt;"COVERED","HELD — COVERAGE",IF(N514="YES — SENSITIVE","C ACTIONABLE","CHAPTER 5 DEFAULT"))</x:f>
        <x:v>HELD — COVERAGE</x:v>
      </x:c>
      <x:c r="Y514" s="13" t="str">
        <x:f>IF(L514&lt;&gt;"COVERED","HELD — COVERAGE",IF(P514="YES — MANAGED ACCESS","D ACTIONABLE","NO D FIELD"))</x:f>
        <x:v>HELD — COVERAGE</x:v>
      </x:c>
      <x:c r="Z514" s="13" t="str">
        <x:f>IF(L514&lt;&gt;"COVERED","HELD — COVERAGE",IF(OR(R514="PAIRED SYNCHRONIZED",R514="TRILATERAL SYNCHRONIZED"),"E ACTIONABLE","INDEPENDENT"))</x:f>
        <x:v>HELD — COVERAGE</x:v>
      </x:c>
      <x:c r="AA514" s="13" t="str">
        <x:f>IF(L514&lt;&gt;"COVERED","HELD — COVERAGE","WAIT FOR UPSTREAM COMPLETION")</x:f>
        <x:v>HELD — COVERAGE</x:v>
      </x:c>
      <x:c r="AB514" s="13" t="str">
        <x:f>IF(L514&lt;&gt;"COVERED","HELD — COVERAGE",IF(T514="UNRESOLVED","G DECISION REQUIRED",IF(T514="NOT APPLICABLE","G N/A","G ACTIONABLE")))</x:f>
        <x:v>HELD — COVERAGE</x:v>
      </x:c>
      <x:c r="AC514" s="13" t="str">
        <x:f>IF(L514="UNRESOLVED","COVERAGE FIRST",IF(OR(L514="EXCLUDED",L514="OUT OF SCOPE"),"CLOSED BY COVERAGE",IF(AND(L514="COVERED",T514&lt;&gt;"UNRESOLVED"),"PARTIALLY ADOPTED","DECISIONS REMAIN")))</x:f>
        <x:v>COVERAGE FIRST</x:v>
      </x:c>
    </x:row>
    <x:row r="515">
      <x:c r="A515" s="13" t="str">
        <x:v>NAAFTC-HS6-081010</x:v>
      </x:c>
      <x:c r="B515" s="13" t="str">
        <x:v>081010</x:v>
      </x:c>
      <x:c r="C515" s="13" t="str">
        <x:v>08</x:v>
      </x:c>
      <x:c r="D515" s="13" t="str">
        <x:v>TRILATERAL_SPLIT_MERGE</x:v>
      </x:c>
      <x:c r="E515" s="13" t="str">
        <x:v>Pending</x:v>
      </x:c>
      <x:c r="F515" s="13" t="n">
        <x:v>8</x:v>
      </x:c>
      <x:c r="G515" s="13" t="n">
        <x:v>2</x:v>
      </x:c>
      <x:c r="H515" s="13" t="n">
        <x:v>3</x:v>
      </x:c>
      <x:c r="I515" s="13" t="str">
        <x:v>0810102020; 0810102040; 0810102060; 0810102080; 0810104020; 0810104040; +2 more</x:v>
      </x:c>
      <x:c r="J515" s="13" t="str">
        <x:v>0810100101; 0810100199</x:v>
      </x:c>
      <x:c r="K515" s="13" t="str">
        <x:v>0810101000; 0810109100; 08101099</x:v>
      </x:c>
      <x:c r="L515" s="13" t="str">
        <x:v>UNRESOLVED</x:v>
      </x:c>
      <x:c r="M515" s="13" t="str"/>
      <x:c r="N515" s="13" t="str">
        <x:v>NO / DEFAULT</x:v>
      </x:c>
      <x:c r="O515" s="13" t="str"/>
      <x:c r="P515" s="13" t="str">
        <x:v>NO / DEFAULT</x:v>
      </x:c>
      <x:c r="Q515" s="13" t="str"/>
      <x:c r="R515" s="13" t="str">
        <x:v>INDEPENDENT / DEFAULT</x:v>
      </x:c>
      <x:c r="S515" s="13" t="str"/>
      <x:c r="T515" s="13" t="str">
        <x:v>UNRESOLVED</x:v>
      </x:c>
      <x:c r="U515" s="13" t="str"/>
      <x:c r="V515" s="13" t="str"/>
      <x:c r="W515" s="13" t="str"/>
      <x:c r="X515" s="13" t="str">
        <x:f>IF(L515&lt;&gt;"COVERED","HELD — COVERAGE",IF(N515="YES — SENSITIVE","C ACTIONABLE","CHAPTER 5 DEFAULT"))</x:f>
        <x:v>HELD — COVERAGE</x:v>
      </x:c>
      <x:c r="Y515" s="13" t="str">
        <x:f>IF(L515&lt;&gt;"COVERED","HELD — COVERAGE",IF(P515="YES — MANAGED ACCESS","D ACTIONABLE","NO D FIELD"))</x:f>
        <x:v>HELD — COVERAGE</x:v>
      </x:c>
      <x:c r="Z515" s="13" t="str">
        <x:f>IF(L515&lt;&gt;"COVERED","HELD — COVERAGE",IF(OR(R515="PAIRED SYNCHRONIZED",R515="TRILATERAL SYNCHRONIZED"),"E ACTIONABLE","INDEPENDENT"))</x:f>
        <x:v>HELD — COVERAGE</x:v>
      </x:c>
      <x:c r="AA515" s="13" t="str">
        <x:f>IF(L515&lt;&gt;"COVERED","HELD — COVERAGE","WAIT FOR UPSTREAM COMPLETION")</x:f>
        <x:v>HELD — COVERAGE</x:v>
      </x:c>
      <x:c r="AB515" s="13" t="str">
        <x:f>IF(L515&lt;&gt;"COVERED","HELD — COVERAGE",IF(T515="UNRESOLVED","G DECISION REQUIRED",IF(T515="NOT APPLICABLE","G N/A","G ACTIONABLE")))</x:f>
        <x:v>HELD — COVERAGE</x:v>
      </x:c>
      <x:c r="AC515" s="13" t="str">
        <x:f>IF(L515="UNRESOLVED","COVERAGE FIRST",IF(OR(L515="EXCLUDED",L515="OUT OF SCOPE"),"CLOSED BY COVERAGE",IF(AND(L515="COVERED",T515&lt;&gt;"UNRESOLVED"),"PARTIALLY ADOPTED","DECISIONS REMAIN")))</x:f>
        <x:v>COVERAGE FIRST</x:v>
      </x:c>
    </x:row>
    <x:row r="516">
      <x:c r="A516" s="13" t="str">
        <x:v>NAAFTC-HS6-081020</x:v>
      </x:c>
      <x:c r="B516" s="13" t="str">
        <x:v>081020</x:v>
      </x:c>
      <x:c r="C516" s="13" t="str">
        <x:v>08</x:v>
      </x:c>
      <x:c r="D516" s="13" t="str">
        <x:v>TRILATERAL_SPLIT_MERGE</x:v>
      </x:c>
      <x:c r="E516" s="13" t="str">
        <x:v>Pending</x:v>
      </x:c>
      <x:c r="F516" s="13" t="n">
        <x:v>10</x:v>
      </x:c>
      <x:c r="G516" s="13" t="n">
        <x:v>6</x:v>
      </x:c>
      <x:c r="H516" s="13" t="n">
        <x:v>1</x:v>
      </x:c>
      <x:c r="I516" s="13" t="str">
        <x:v>0810201023; 0810201028; 0810201030; 0810201035; 0810201040; 0810209022; +4 more</x:v>
      </x:c>
      <x:c r="J516" s="13" t="str">
        <x:v>0810200101; 0810200102; 0810200191; 0810200192; 0810200193; 0810200199</x:v>
      </x:c>
      <x:c r="K516" s="13" t="str">
        <x:v>08102000</x:v>
      </x:c>
      <x:c r="L516" s="13" t="str">
        <x:v>UNRESOLVED</x:v>
      </x:c>
      <x:c r="M516" s="13" t="str"/>
      <x:c r="N516" s="13" t="str">
        <x:v>NO / DEFAULT</x:v>
      </x:c>
      <x:c r="O516" s="13" t="str"/>
      <x:c r="P516" s="13" t="str">
        <x:v>NO / DEFAULT</x:v>
      </x:c>
      <x:c r="Q516" s="13" t="str"/>
      <x:c r="R516" s="13" t="str">
        <x:v>INDEPENDENT / DEFAULT</x:v>
      </x:c>
      <x:c r="S516" s="13" t="str"/>
      <x:c r="T516" s="13" t="str">
        <x:v>UNRESOLVED</x:v>
      </x:c>
      <x:c r="U516" s="13" t="str"/>
      <x:c r="V516" s="13" t="str"/>
      <x:c r="W516" s="13" t="str"/>
      <x:c r="X516" s="13" t="str">
        <x:f>IF(L516&lt;&gt;"COVERED","HELD — COVERAGE",IF(N516="YES — SENSITIVE","C ACTIONABLE","CHAPTER 5 DEFAULT"))</x:f>
        <x:v>HELD — COVERAGE</x:v>
      </x:c>
      <x:c r="Y516" s="13" t="str">
        <x:f>IF(L516&lt;&gt;"COVERED","HELD — COVERAGE",IF(P516="YES — MANAGED ACCESS","D ACTIONABLE","NO D FIELD"))</x:f>
        <x:v>HELD — COVERAGE</x:v>
      </x:c>
      <x:c r="Z516" s="13" t="str">
        <x:f>IF(L516&lt;&gt;"COVERED","HELD — COVERAGE",IF(OR(R516="PAIRED SYNCHRONIZED",R516="TRILATERAL SYNCHRONIZED"),"E ACTIONABLE","INDEPENDENT"))</x:f>
        <x:v>HELD — COVERAGE</x:v>
      </x:c>
      <x:c r="AA516" s="13" t="str">
        <x:f>IF(L516&lt;&gt;"COVERED","HELD — COVERAGE","WAIT FOR UPSTREAM COMPLETION")</x:f>
        <x:v>HELD — COVERAGE</x:v>
      </x:c>
      <x:c r="AB516" s="13" t="str">
        <x:f>IF(L516&lt;&gt;"COVERED","HELD — COVERAGE",IF(T516="UNRESOLVED","G DECISION REQUIRED",IF(T516="NOT APPLICABLE","G N/A","G ACTIONABLE")))</x:f>
        <x:v>HELD — COVERAGE</x:v>
      </x:c>
      <x:c r="AC516" s="13" t="str">
        <x:f>IF(L516="UNRESOLVED","COVERAGE FIRST",IF(OR(L516="EXCLUDED",L516="OUT OF SCOPE"),"CLOSED BY COVERAGE",IF(AND(L516="COVERED",T516&lt;&gt;"UNRESOLVED"),"PARTIALLY ADOPTED","DECISIONS REMAIN")))</x:f>
        <x:v>COVERAGE FIRST</x:v>
      </x:c>
    </x:row>
    <x:row r="517">
      <x:c r="A517" s="13" t="str">
        <x:v>NAAFTC-HS6-081030</x:v>
      </x:c>
      <x:c r="B517" s="13" t="str">
        <x:v>081030</x:v>
      </x:c>
      <x:c r="C517" s="13" t="str">
        <x:v>08</x:v>
      </x:c>
      <x:c r="D517" s="13" t="str">
        <x:v>TRILATERAL_1_TO_1_TO_1</x:v>
      </x:c>
      <x:c r="E517" s="13" t="str">
        <x:v>Pending</x:v>
      </x:c>
      <x:c r="F517" s="13" t="n">
        <x:v>1</x:v>
      </x:c>
      <x:c r="G517" s="13" t="n">
        <x:v>1</x:v>
      </x:c>
      <x:c r="H517" s="13" t="n">
        <x:v>1</x:v>
      </x:c>
      <x:c r="I517" s="13" t="str">
        <x:v>0810300000</x:v>
      </x:c>
      <x:c r="J517" s="13" t="str">
        <x:v>0810300100</x:v>
      </x:c>
      <x:c r="K517" s="13" t="str">
        <x:v>0810300000</x:v>
      </x:c>
      <x:c r="L517" s="13" t="str">
        <x:v>UNRESOLVED</x:v>
      </x:c>
      <x:c r="M517" s="13" t="str"/>
      <x:c r="N517" s="13" t="str">
        <x:v>NO / DEFAULT</x:v>
      </x:c>
      <x:c r="O517" s="13" t="str"/>
      <x:c r="P517" s="13" t="str">
        <x:v>NO / DEFAULT</x:v>
      </x:c>
      <x:c r="Q517" s="13" t="str"/>
      <x:c r="R517" s="13" t="str">
        <x:v>INDEPENDENT / DEFAULT</x:v>
      </x:c>
      <x:c r="S517" s="13" t="str"/>
      <x:c r="T517" s="13" t="str">
        <x:v>UNRESOLVED</x:v>
      </x:c>
      <x:c r="U517" s="13" t="str"/>
      <x:c r="V517" s="13" t="str"/>
      <x:c r="W517" s="13" t="str"/>
      <x:c r="X517" s="13" t="str">
        <x:f>IF(L517&lt;&gt;"COVERED","HELD — COVERAGE",IF(N517="YES — SENSITIVE","C ACTIONABLE","CHAPTER 5 DEFAULT"))</x:f>
        <x:v>HELD — COVERAGE</x:v>
      </x:c>
      <x:c r="Y517" s="13" t="str">
        <x:f>IF(L517&lt;&gt;"COVERED","HELD — COVERAGE",IF(P517="YES — MANAGED ACCESS","D ACTIONABLE","NO D FIELD"))</x:f>
        <x:v>HELD — COVERAGE</x:v>
      </x:c>
      <x:c r="Z517" s="13" t="str">
        <x:f>IF(L517&lt;&gt;"COVERED","HELD — COVERAGE",IF(OR(R517="PAIRED SYNCHRONIZED",R517="TRILATERAL SYNCHRONIZED"),"E ACTIONABLE","INDEPENDENT"))</x:f>
        <x:v>HELD — COVERAGE</x:v>
      </x:c>
      <x:c r="AA517" s="13" t="str">
        <x:f>IF(L517&lt;&gt;"COVERED","HELD — COVERAGE","WAIT FOR UPSTREAM COMPLETION")</x:f>
        <x:v>HELD — COVERAGE</x:v>
      </x:c>
      <x:c r="AB517" s="13" t="str">
        <x:f>IF(L517&lt;&gt;"COVERED","HELD — COVERAGE",IF(T517="UNRESOLVED","G DECISION REQUIRED",IF(T517="NOT APPLICABLE","G N/A","G ACTIONABLE")))</x:f>
        <x:v>HELD — COVERAGE</x:v>
      </x:c>
      <x:c r="AC517" s="13" t="str">
        <x:f>IF(L517="UNRESOLVED","COVERAGE FIRST",IF(OR(L517="EXCLUDED",L517="OUT OF SCOPE"),"CLOSED BY COVERAGE",IF(AND(L517="COVERED",T517&lt;&gt;"UNRESOLVED"),"PARTIALLY ADOPTED","DECISIONS REMAIN")))</x:f>
        <x:v>COVERAGE FIRST</x:v>
      </x:c>
    </x:row>
    <x:row r="518">
      <x:c r="A518" s="13" t="str">
        <x:v>NAAFTC-HS6-081040</x:v>
      </x:c>
      <x:c r="B518" s="13" t="str">
        <x:v>081040</x:v>
      </x:c>
      <x:c r="C518" s="13" t="str">
        <x:v>08</x:v>
      </x:c>
      <x:c r="D518" s="13" t="str">
        <x:v>TRILATERAL_SPLIT_MERGE</x:v>
      </x:c>
      <x:c r="E518" s="13" t="str">
        <x:v>Pending</x:v>
      </x:c>
      <x:c r="F518" s="13" t="n">
        <x:v>5</x:v>
      </x:c>
      <x:c r="G518" s="13" t="n">
        <x:v>4</x:v>
      </x:c>
      <x:c r="H518" s="13" t="n">
        <x:v>1</x:v>
      </x:c>
      <x:c r="I518" s="13" t="str">
        <x:v>0810400024; 0810400026; 0810400029; 0810400030; 0810400040</x:v>
      </x:c>
      <x:c r="J518" s="13" t="str">
        <x:v>0810400101; 0810400191; 0810400192; 0810400199</x:v>
      </x:c>
      <x:c r="K518" s="13" t="str">
        <x:v>08104000</x:v>
      </x:c>
      <x:c r="L518" s="13" t="str">
        <x:v>UNRESOLVED</x:v>
      </x:c>
      <x:c r="M518" s="13" t="str"/>
      <x:c r="N518" s="13" t="str">
        <x:v>NO / DEFAULT</x:v>
      </x:c>
      <x:c r="O518" s="13" t="str"/>
      <x:c r="P518" s="13" t="str">
        <x:v>NO / DEFAULT</x:v>
      </x:c>
      <x:c r="Q518" s="13" t="str"/>
      <x:c r="R518" s="13" t="str">
        <x:v>INDEPENDENT / DEFAULT</x:v>
      </x:c>
      <x:c r="S518" s="13" t="str"/>
      <x:c r="T518" s="13" t="str">
        <x:v>UNRESOLVED</x:v>
      </x:c>
      <x:c r="U518" s="13" t="str"/>
      <x:c r="V518" s="13" t="str"/>
      <x:c r="W518" s="13" t="str"/>
      <x:c r="X518" s="13" t="str">
        <x:f>IF(L518&lt;&gt;"COVERED","HELD — COVERAGE",IF(N518="YES — SENSITIVE","C ACTIONABLE","CHAPTER 5 DEFAULT"))</x:f>
        <x:v>HELD — COVERAGE</x:v>
      </x:c>
      <x:c r="Y518" s="13" t="str">
        <x:f>IF(L518&lt;&gt;"COVERED","HELD — COVERAGE",IF(P518="YES — MANAGED ACCESS","D ACTIONABLE","NO D FIELD"))</x:f>
        <x:v>HELD — COVERAGE</x:v>
      </x:c>
      <x:c r="Z518" s="13" t="str">
        <x:f>IF(L518&lt;&gt;"COVERED","HELD — COVERAGE",IF(OR(R518="PAIRED SYNCHRONIZED",R518="TRILATERAL SYNCHRONIZED"),"E ACTIONABLE","INDEPENDENT"))</x:f>
        <x:v>HELD — COVERAGE</x:v>
      </x:c>
      <x:c r="AA518" s="13" t="str">
        <x:f>IF(L518&lt;&gt;"COVERED","HELD — COVERAGE","WAIT FOR UPSTREAM COMPLETION")</x:f>
        <x:v>HELD — COVERAGE</x:v>
      </x:c>
      <x:c r="AB518" s="13" t="str">
        <x:f>IF(L518&lt;&gt;"COVERED","HELD — COVERAGE",IF(T518="UNRESOLVED","G DECISION REQUIRED",IF(T518="NOT APPLICABLE","G N/A","G ACTIONABLE")))</x:f>
        <x:v>HELD — COVERAGE</x:v>
      </x:c>
      <x:c r="AC518" s="13" t="str">
        <x:f>IF(L518="UNRESOLVED","COVERAGE FIRST",IF(OR(L518="EXCLUDED",L518="OUT OF SCOPE"),"CLOSED BY COVERAGE",IF(AND(L518="COVERED",T518&lt;&gt;"UNRESOLVED"),"PARTIALLY ADOPTED","DECISIONS REMAIN")))</x:f>
        <x:v>COVERAGE FIRST</x:v>
      </x:c>
    </x:row>
    <x:row r="519">
      <x:c r="A519" s="13" t="str">
        <x:v>NAAFTC-HS6-081050</x:v>
      </x:c>
      <x:c r="B519" s="13" t="str">
        <x:v>081050</x:v>
      </x:c>
      <x:c r="C519" s="13" t="str">
        <x:v>08</x:v>
      </x:c>
      <x:c r="D519" s="13" t="str">
        <x:v>TRILATERAL_SPLIT_MERGE</x:v>
      </x:c>
      <x:c r="E519" s="13" t="str">
        <x:v>Pending</x:v>
      </x:c>
      <x:c r="F519" s="13" t="n">
        <x:v>2</x:v>
      </x:c>
      <x:c r="G519" s="13" t="n">
        <x:v>1</x:v>
      </x:c>
      <x:c r="H519" s="13" t="n">
        <x:v>1</x:v>
      </x:c>
      <x:c r="I519" s="13" t="str">
        <x:v>0810500010; 0810500090</x:v>
      </x:c>
      <x:c r="J519" s="13" t="str">
        <x:v>0810500100</x:v>
      </x:c>
      <x:c r="K519" s="13" t="str">
        <x:v>0810500000</x:v>
      </x:c>
      <x:c r="L519" s="13" t="str">
        <x:v>UNRESOLVED</x:v>
      </x:c>
      <x:c r="M519" s="13" t="str"/>
      <x:c r="N519" s="13" t="str">
        <x:v>NO / DEFAULT</x:v>
      </x:c>
      <x:c r="O519" s="13" t="str"/>
      <x:c r="P519" s="13" t="str">
        <x:v>NO / DEFAULT</x:v>
      </x:c>
      <x:c r="Q519" s="13" t="str"/>
      <x:c r="R519" s="13" t="str">
        <x:v>INDEPENDENT / DEFAULT</x:v>
      </x:c>
      <x:c r="S519" s="13" t="str"/>
      <x:c r="T519" s="13" t="str">
        <x:v>UNRESOLVED</x:v>
      </x:c>
      <x:c r="U519" s="13" t="str"/>
      <x:c r="V519" s="13" t="str"/>
      <x:c r="W519" s="13" t="str"/>
      <x:c r="X519" s="13" t="str">
        <x:f>IF(L519&lt;&gt;"COVERED","HELD — COVERAGE",IF(N519="YES — SENSITIVE","C ACTIONABLE","CHAPTER 5 DEFAULT"))</x:f>
        <x:v>HELD — COVERAGE</x:v>
      </x:c>
      <x:c r="Y519" s="13" t="str">
        <x:f>IF(L519&lt;&gt;"COVERED","HELD — COVERAGE",IF(P519="YES — MANAGED ACCESS","D ACTIONABLE","NO D FIELD"))</x:f>
        <x:v>HELD — COVERAGE</x:v>
      </x:c>
      <x:c r="Z519" s="13" t="str">
        <x:f>IF(L519&lt;&gt;"COVERED","HELD — COVERAGE",IF(OR(R519="PAIRED SYNCHRONIZED",R519="TRILATERAL SYNCHRONIZED"),"E ACTIONABLE","INDEPENDENT"))</x:f>
        <x:v>HELD — COVERAGE</x:v>
      </x:c>
      <x:c r="AA519" s="13" t="str">
        <x:f>IF(L519&lt;&gt;"COVERED","HELD — COVERAGE","WAIT FOR UPSTREAM COMPLETION")</x:f>
        <x:v>HELD — COVERAGE</x:v>
      </x:c>
      <x:c r="AB519" s="13" t="str">
        <x:f>IF(L519&lt;&gt;"COVERED","HELD — COVERAGE",IF(T519="UNRESOLVED","G DECISION REQUIRED",IF(T519="NOT APPLICABLE","G N/A","G ACTIONABLE")))</x:f>
        <x:v>HELD — COVERAGE</x:v>
      </x:c>
      <x:c r="AC519" s="13" t="str">
        <x:f>IF(L519="UNRESOLVED","COVERAGE FIRST",IF(OR(L519="EXCLUDED",L519="OUT OF SCOPE"),"CLOSED BY COVERAGE",IF(AND(L519="COVERED",T519&lt;&gt;"UNRESOLVED"),"PARTIALLY ADOPTED","DECISIONS REMAIN")))</x:f>
        <x:v>COVERAGE FIRST</x:v>
      </x:c>
    </x:row>
    <x:row r="520">
      <x:c r="A520" s="13" t="str">
        <x:v>NAAFTC-HS6-081060</x:v>
      </x:c>
      <x:c r="B520" s="13" t="str">
        <x:v>081060</x:v>
      </x:c>
      <x:c r="C520" s="13" t="str">
        <x:v>08</x:v>
      </x:c>
      <x:c r="D520" s="13" t="str">
        <x:v>TRILATERAL_1_TO_1_TO_1</x:v>
      </x:c>
      <x:c r="E520" s="13" t="str">
        <x:v>Pending</x:v>
      </x:c>
      <x:c r="F520" s="13" t="n">
        <x:v>1</x:v>
      </x:c>
      <x:c r="G520" s="13" t="n">
        <x:v>1</x:v>
      </x:c>
      <x:c r="H520" s="13" t="n">
        <x:v>1</x:v>
      </x:c>
      <x:c r="I520" s="13" t="str">
        <x:v>0810600000</x:v>
      </x:c>
      <x:c r="J520" s="13" t="str">
        <x:v>0810600100</x:v>
      </x:c>
      <x:c r="K520" s="13" t="str">
        <x:v>0810600000</x:v>
      </x:c>
      <x:c r="L520" s="13" t="str">
        <x:v>UNRESOLVED</x:v>
      </x:c>
      <x:c r="M520" s="13" t="str"/>
      <x:c r="N520" s="13" t="str">
        <x:v>NO / DEFAULT</x:v>
      </x:c>
      <x:c r="O520" s="13" t="str"/>
      <x:c r="P520" s="13" t="str">
        <x:v>NO / DEFAULT</x:v>
      </x:c>
      <x:c r="Q520" s="13" t="str"/>
      <x:c r="R520" s="13" t="str">
        <x:v>INDEPENDENT / DEFAULT</x:v>
      </x:c>
      <x:c r="S520" s="13" t="str"/>
      <x:c r="T520" s="13" t="str">
        <x:v>UNRESOLVED</x:v>
      </x:c>
      <x:c r="U520" s="13" t="str"/>
      <x:c r="V520" s="13" t="str"/>
      <x:c r="W520" s="13" t="str"/>
      <x:c r="X520" s="13" t="str">
        <x:f>IF(L520&lt;&gt;"COVERED","HELD — COVERAGE",IF(N520="YES — SENSITIVE","C ACTIONABLE","CHAPTER 5 DEFAULT"))</x:f>
        <x:v>HELD — COVERAGE</x:v>
      </x:c>
      <x:c r="Y520" s="13" t="str">
        <x:f>IF(L520&lt;&gt;"COVERED","HELD — COVERAGE",IF(P520="YES — MANAGED ACCESS","D ACTIONABLE","NO D FIELD"))</x:f>
        <x:v>HELD — COVERAGE</x:v>
      </x:c>
      <x:c r="Z520" s="13" t="str">
        <x:f>IF(L520&lt;&gt;"COVERED","HELD — COVERAGE",IF(OR(R520="PAIRED SYNCHRONIZED",R520="TRILATERAL SYNCHRONIZED"),"E ACTIONABLE","INDEPENDENT"))</x:f>
        <x:v>HELD — COVERAGE</x:v>
      </x:c>
      <x:c r="AA520" s="13" t="str">
        <x:f>IF(L520&lt;&gt;"COVERED","HELD — COVERAGE","WAIT FOR UPSTREAM COMPLETION")</x:f>
        <x:v>HELD — COVERAGE</x:v>
      </x:c>
      <x:c r="AB520" s="13" t="str">
        <x:f>IF(L520&lt;&gt;"COVERED","HELD — COVERAGE",IF(T520="UNRESOLVED","G DECISION REQUIRED",IF(T520="NOT APPLICABLE","G N/A","G ACTIONABLE")))</x:f>
        <x:v>HELD — COVERAGE</x:v>
      </x:c>
      <x:c r="AC520" s="13" t="str">
        <x:f>IF(L520="UNRESOLVED","COVERAGE FIRST",IF(OR(L520="EXCLUDED",L520="OUT OF SCOPE"),"CLOSED BY COVERAGE",IF(AND(L520="COVERED",T520&lt;&gt;"UNRESOLVED"),"PARTIALLY ADOPTED","DECISIONS REMAIN")))</x:f>
        <x:v>COVERAGE FIRST</x:v>
      </x:c>
    </x:row>
    <x:row r="521">
      <x:c r="A521" s="13" t="str">
        <x:v>NAAFTC-HS6-081070</x:v>
      </x:c>
      <x:c r="B521" s="13" t="str">
        <x:v>081070</x:v>
      </x:c>
      <x:c r="C521" s="13" t="str">
        <x:v>08</x:v>
      </x:c>
      <x:c r="D521" s="13" t="str">
        <x:v>TRILATERAL_1_TO_1_TO_1</x:v>
      </x:c>
      <x:c r="E521" s="13" t="str">
        <x:v>Pending</x:v>
      </x:c>
      <x:c r="F521" s="13" t="n">
        <x:v>1</x:v>
      </x:c>
      <x:c r="G521" s="13" t="n">
        <x:v>1</x:v>
      </x:c>
      <x:c r="H521" s="13" t="n">
        <x:v>1</x:v>
      </x:c>
      <x:c r="I521" s="13" t="str">
        <x:v>0810700000</x:v>
      </x:c>
      <x:c r="J521" s="13" t="str">
        <x:v>0810700100</x:v>
      </x:c>
      <x:c r="K521" s="13" t="str">
        <x:v>0810700000</x:v>
      </x:c>
      <x:c r="L521" s="13" t="str">
        <x:v>UNRESOLVED</x:v>
      </x:c>
      <x:c r="M521" s="13" t="str"/>
      <x:c r="N521" s="13" t="str">
        <x:v>NO / DEFAULT</x:v>
      </x:c>
      <x:c r="O521" s="13" t="str"/>
      <x:c r="P521" s="13" t="str">
        <x:v>NO / DEFAULT</x:v>
      </x:c>
      <x:c r="Q521" s="13" t="str"/>
      <x:c r="R521" s="13" t="str">
        <x:v>INDEPENDENT / DEFAULT</x:v>
      </x:c>
      <x:c r="S521" s="13" t="str"/>
      <x:c r="T521" s="13" t="str">
        <x:v>UNRESOLVED</x:v>
      </x:c>
      <x:c r="U521" s="13" t="str"/>
      <x:c r="V521" s="13" t="str"/>
      <x:c r="W521" s="13" t="str"/>
      <x:c r="X521" s="13" t="str">
        <x:f>IF(L521&lt;&gt;"COVERED","HELD — COVERAGE",IF(N521="YES — SENSITIVE","C ACTIONABLE","CHAPTER 5 DEFAULT"))</x:f>
        <x:v>HELD — COVERAGE</x:v>
      </x:c>
      <x:c r="Y521" s="13" t="str">
        <x:f>IF(L521&lt;&gt;"COVERED","HELD — COVERAGE",IF(P521="YES — MANAGED ACCESS","D ACTIONABLE","NO D FIELD"))</x:f>
        <x:v>HELD — COVERAGE</x:v>
      </x:c>
      <x:c r="Z521" s="13" t="str">
        <x:f>IF(L521&lt;&gt;"COVERED","HELD — COVERAGE",IF(OR(R521="PAIRED SYNCHRONIZED",R521="TRILATERAL SYNCHRONIZED"),"E ACTIONABLE","INDEPENDENT"))</x:f>
        <x:v>HELD — COVERAGE</x:v>
      </x:c>
      <x:c r="AA521" s="13" t="str">
        <x:f>IF(L521&lt;&gt;"COVERED","HELD — COVERAGE","WAIT FOR UPSTREAM COMPLETION")</x:f>
        <x:v>HELD — COVERAGE</x:v>
      </x:c>
      <x:c r="AB521" s="13" t="str">
        <x:f>IF(L521&lt;&gt;"COVERED","HELD — COVERAGE",IF(T521="UNRESOLVED","G DECISION REQUIRED",IF(T521="NOT APPLICABLE","G N/A","G ACTIONABLE")))</x:f>
        <x:v>HELD — COVERAGE</x:v>
      </x:c>
      <x:c r="AC521" s="13" t="str">
        <x:f>IF(L521="UNRESOLVED","COVERAGE FIRST",IF(OR(L521="EXCLUDED",L521="OUT OF SCOPE"),"CLOSED BY COVERAGE",IF(AND(L521="COVERED",T521&lt;&gt;"UNRESOLVED"),"PARTIALLY ADOPTED","DECISIONS REMAIN")))</x:f>
        <x:v>COVERAGE FIRST</x:v>
      </x:c>
    </x:row>
    <x:row r="522">
      <x:c r="A522" s="13" t="str">
        <x:v>NAAFTC-HS6-081090</x:v>
      </x:c>
      <x:c r="B522" s="13" t="str">
        <x:v>081090</x:v>
      </x:c>
      <x:c r="C522" s="13" t="str">
        <x:v>08</x:v>
      </x:c>
      <x:c r="D522" s="13" t="str">
        <x:v>TRILATERAL_SPLIT_MERGE</x:v>
      </x:c>
      <x:c r="E522" s="13" t="str">
        <x:v>Pending</x:v>
      </x:c>
      <x:c r="F522" s="13" t="n">
        <x:v>10</x:v>
      </x:c>
      <x:c r="G522" s="13" t="n">
        <x:v>1</x:v>
      </x:c>
      <x:c r="H522" s="13" t="n">
        <x:v>1</x:v>
      </x:c>
      <x:c r="I522" s="13" t="str">
        <x:v>0810902730; 0810902760; 0810904620; 0810904630; 0810904640; 0810904650; +4 more</x:v>
      </x:c>
      <x:c r="J522" s="13" t="str">
        <x:v>0810909900</x:v>
      </x:c>
      <x:c r="K522" s="13" t="str">
        <x:v>0810900000</x:v>
      </x:c>
      <x:c r="L522" s="13" t="str">
        <x:v>UNRESOLVED</x:v>
      </x:c>
      <x:c r="M522" s="13" t="str"/>
      <x:c r="N522" s="13" t="str">
        <x:v>NO / DEFAULT</x:v>
      </x:c>
      <x:c r="O522" s="13" t="str"/>
      <x:c r="P522" s="13" t="str">
        <x:v>NO / DEFAULT</x:v>
      </x:c>
      <x:c r="Q522" s="13" t="str"/>
      <x:c r="R522" s="13" t="str">
        <x:v>INDEPENDENT / DEFAULT</x:v>
      </x:c>
      <x:c r="S522" s="13" t="str"/>
      <x:c r="T522" s="13" t="str">
        <x:v>UNRESOLVED</x:v>
      </x:c>
      <x:c r="U522" s="13" t="str"/>
      <x:c r="V522" s="13" t="str"/>
      <x:c r="W522" s="13" t="str"/>
      <x:c r="X522" s="13" t="str">
        <x:f>IF(L522&lt;&gt;"COVERED","HELD — COVERAGE",IF(N522="YES — SENSITIVE","C ACTIONABLE","CHAPTER 5 DEFAULT"))</x:f>
        <x:v>HELD — COVERAGE</x:v>
      </x:c>
      <x:c r="Y522" s="13" t="str">
        <x:f>IF(L522&lt;&gt;"COVERED","HELD — COVERAGE",IF(P522="YES — MANAGED ACCESS","D ACTIONABLE","NO D FIELD"))</x:f>
        <x:v>HELD — COVERAGE</x:v>
      </x:c>
      <x:c r="Z522" s="13" t="str">
        <x:f>IF(L522&lt;&gt;"COVERED","HELD — COVERAGE",IF(OR(R522="PAIRED SYNCHRONIZED",R522="TRILATERAL SYNCHRONIZED"),"E ACTIONABLE","INDEPENDENT"))</x:f>
        <x:v>HELD — COVERAGE</x:v>
      </x:c>
      <x:c r="AA522" s="13" t="str">
        <x:f>IF(L522&lt;&gt;"COVERED","HELD — COVERAGE","WAIT FOR UPSTREAM COMPLETION")</x:f>
        <x:v>HELD — COVERAGE</x:v>
      </x:c>
      <x:c r="AB522" s="13" t="str">
        <x:f>IF(L522&lt;&gt;"COVERED","HELD — COVERAGE",IF(T522="UNRESOLVED","G DECISION REQUIRED",IF(T522="NOT APPLICABLE","G N/A","G ACTIONABLE")))</x:f>
        <x:v>HELD — COVERAGE</x:v>
      </x:c>
      <x:c r="AC522" s="13" t="str">
        <x:f>IF(L522="UNRESOLVED","COVERAGE FIRST",IF(OR(L522="EXCLUDED",L522="OUT OF SCOPE"),"CLOSED BY COVERAGE",IF(AND(L522="COVERED",T522&lt;&gt;"UNRESOLVED"),"PARTIALLY ADOPTED","DECISIONS REMAIN")))</x:f>
        <x:v>COVERAGE FIRST</x:v>
      </x:c>
    </x:row>
    <x:row r="523">
      <x:c r="A523" s="13" t="str">
        <x:v>NAAFTC-HS6-081110</x:v>
      </x:c>
      <x:c r="B523" s="13" t="str">
        <x:v>081110</x:v>
      </x:c>
      <x:c r="C523" s="13" t="str">
        <x:v>08</x:v>
      </x:c>
      <x:c r="D523" s="13" t="str">
        <x:v>TRILATERAL_SPLIT_MERGE</x:v>
      </x:c>
      <x:c r="E523" s="13" t="str">
        <x:v>Pending</x:v>
      </x:c>
      <x:c r="F523" s="13" t="n">
        <x:v>5</x:v>
      </x:c>
      <x:c r="G523" s="13" t="n">
        <x:v>1</x:v>
      </x:c>
      <x:c r="H523" s="13" t="n">
        <x:v>1</x:v>
      </x:c>
      <x:c r="I523" s="13" t="str">
        <x:v>0811100020; 0811100050; 0811100060; 0811100075; 0811100085</x:v>
      </x:c>
      <x:c r="J523" s="13" t="str">
        <x:v>0811100100</x:v>
      </x:c>
      <x:c r="K523" s="13" t="str">
        <x:v>0811101000</x:v>
      </x:c>
      <x:c r="L523" s="13" t="str">
        <x:v>UNRESOLVED</x:v>
      </x:c>
      <x:c r="M523" s="13" t="str"/>
      <x:c r="N523" s="13" t="str">
        <x:v>NO / DEFAULT</x:v>
      </x:c>
      <x:c r="O523" s="13" t="str"/>
      <x:c r="P523" s="13" t="str">
        <x:v>NO / DEFAULT</x:v>
      </x:c>
      <x:c r="Q523" s="13" t="str"/>
      <x:c r="R523" s="13" t="str">
        <x:v>INDEPENDENT / DEFAULT</x:v>
      </x:c>
      <x:c r="S523" s="13" t="str"/>
      <x:c r="T523" s="13" t="str">
        <x:v>UNRESOLVED</x:v>
      </x:c>
      <x:c r="U523" s="13" t="str"/>
      <x:c r="V523" s="13" t="str"/>
      <x:c r="W523" s="13" t="str"/>
      <x:c r="X523" s="13" t="str">
        <x:f>IF(L523&lt;&gt;"COVERED","HELD — COVERAGE",IF(N523="YES — SENSITIVE","C ACTIONABLE","CHAPTER 5 DEFAULT"))</x:f>
        <x:v>HELD — COVERAGE</x:v>
      </x:c>
      <x:c r="Y523" s="13" t="str">
        <x:f>IF(L523&lt;&gt;"COVERED","HELD — COVERAGE",IF(P523="YES — MANAGED ACCESS","D ACTIONABLE","NO D FIELD"))</x:f>
        <x:v>HELD — COVERAGE</x:v>
      </x:c>
      <x:c r="Z523" s="13" t="str">
        <x:f>IF(L523&lt;&gt;"COVERED","HELD — COVERAGE",IF(OR(R523="PAIRED SYNCHRONIZED",R523="TRILATERAL SYNCHRONIZED"),"E ACTIONABLE","INDEPENDENT"))</x:f>
        <x:v>HELD — COVERAGE</x:v>
      </x:c>
      <x:c r="AA523" s="13" t="str">
        <x:f>IF(L523&lt;&gt;"COVERED","HELD — COVERAGE","WAIT FOR UPSTREAM COMPLETION")</x:f>
        <x:v>HELD — COVERAGE</x:v>
      </x:c>
      <x:c r="AB523" s="13" t="str">
        <x:f>IF(L523&lt;&gt;"COVERED","HELD — COVERAGE",IF(T523="UNRESOLVED","G DECISION REQUIRED",IF(T523="NOT APPLICABLE","G N/A","G ACTIONABLE")))</x:f>
        <x:v>HELD — COVERAGE</x:v>
      </x:c>
      <x:c r="AC523" s="13" t="str">
        <x:f>IF(L523="UNRESOLVED","COVERAGE FIRST",IF(OR(L523="EXCLUDED",L523="OUT OF SCOPE"),"CLOSED BY COVERAGE",IF(AND(L523="COVERED",T523&lt;&gt;"UNRESOLVED"),"PARTIALLY ADOPTED","DECISIONS REMAIN")))</x:f>
        <x:v>COVERAGE FIRST</x:v>
      </x:c>
    </x:row>
    <x:row r="524">
      <x:c r="A524" s="13" t="str">
        <x:v>NAAFTC-HS6-081120</x:v>
      </x:c>
      <x:c r="B524" s="13" t="str">
        <x:v>081120</x:v>
      </x:c>
      <x:c r="C524" s="13" t="str">
        <x:v>08</x:v>
      </x:c>
      <x:c r="D524" s="13" t="str">
        <x:v>TRILATERAL_SPLIT_MERGE</x:v>
      </x:c>
      <x:c r="E524" s="13" t="str">
        <x:v>Pending</x:v>
      </x:c>
      <x:c r="F524" s="13" t="n">
        <x:v>5</x:v>
      </x:c>
      <x:c r="G524" s="13" t="n">
        <x:v>3</x:v>
      </x:c>
      <x:c r="H524" s="13" t="n">
        <x:v>1</x:v>
      </x:c>
      <x:c r="I524" s="13" t="str">
        <x:v>0811202025; 0811202035; 0811202040; 0811204030; 0811204090</x:v>
      </x:c>
      <x:c r="J524" s="13" t="str">
        <x:v>0811200101; 0811200102; 0811200199</x:v>
      </x:c>
      <x:c r="K524" s="13" t="str">
        <x:v>08112000</x:v>
      </x:c>
      <x:c r="L524" s="13" t="str">
        <x:v>UNRESOLVED</x:v>
      </x:c>
      <x:c r="M524" s="13" t="str"/>
      <x:c r="N524" s="13" t="str">
        <x:v>NO / DEFAULT</x:v>
      </x:c>
      <x:c r="O524" s="13" t="str"/>
      <x:c r="P524" s="13" t="str">
        <x:v>NO / DEFAULT</x:v>
      </x:c>
      <x:c r="Q524" s="13" t="str"/>
      <x:c r="R524" s="13" t="str">
        <x:v>INDEPENDENT / DEFAULT</x:v>
      </x:c>
      <x:c r="S524" s="13" t="str"/>
      <x:c r="T524" s="13" t="str">
        <x:v>UNRESOLVED</x:v>
      </x:c>
      <x:c r="U524" s="13" t="str"/>
      <x:c r="V524" s="13" t="str"/>
      <x:c r="W524" s="13" t="str"/>
      <x:c r="X524" s="13" t="str">
        <x:f>IF(L524&lt;&gt;"COVERED","HELD — COVERAGE",IF(N524="YES — SENSITIVE","C ACTIONABLE","CHAPTER 5 DEFAULT"))</x:f>
        <x:v>HELD — COVERAGE</x:v>
      </x:c>
      <x:c r="Y524" s="13" t="str">
        <x:f>IF(L524&lt;&gt;"COVERED","HELD — COVERAGE",IF(P524="YES — MANAGED ACCESS","D ACTIONABLE","NO D FIELD"))</x:f>
        <x:v>HELD — COVERAGE</x:v>
      </x:c>
      <x:c r="Z524" s="13" t="str">
        <x:f>IF(L524&lt;&gt;"COVERED","HELD — COVERAGE",IF(OR(R524="PAIRED SYNCHRONIZED",R524="TRILATERAL SYNCHRONIZED"),"E ACTIONABLE","INDEPENDENT"))</x:f>
        <x:v>HELD — COVERAGE</x:v>
      </x:c>
      <x:c r="AA524" s="13" t="str">
        <x:f>IF(L524&lt;&gt;"COVERED","HELD — COVERAGE","WAIT FOR UPSTREAM COMPLETION")</x:f>
        <x:v>HELD — COVERAGE</x:v>
      </x:c>
      <x:c r="AB524" s="13" t="str">
        <x:f>IF(L524&lt;&gt;"COVERED","HELD — COVERAGE",IF(T524="UNRESOLVED","G DECISION REQUIRED",IF(T524="NOT APPLICABLE","G N/A","G ACTIONABLE")))</x:f>
        <x:v>HELD — COVERAGE</x:v>
      </x:c>
      <x:c r="AC524" s="13" t="str">
        <x:f>IF(L524="UNRESOLVED","COVERAGE FIRST",IF(OR(L524="EXCLUDED",L524="OUT OF SCOPE"),"CLOSED BY COVERAGE",IF(AND(L524="COVERED",T524&lt;&gt;"UNRESOLVED"),"PARTIALLY ADOPTED","DECISIONS REMAIN")))</x:f>
        <x:v>COVERAGE FIRST</x:v>
      </x:c>
    </x:row>
    <x:row r="525">
      <x:c r="A525" s="13" t="str">
        <x:v>NAAFTC-HS6-081190</x:v>
      </x:c>
      <x:c r="B525" s="13" t="str">
        <x:v>081190</x:v>
      </x:c>
      <x:c r="C525" s="13" t="str">
        <x:v>08</x:v>
      </x:c>
      <x:c r="D525" s="13" t="str">
        <x:v>TRILATERAL_SPLIT_MERGE</x:v>
      </x:c>
      <x:c r="E525" s="13" t="str">
        <x:v>Pending</x:v>
      </x:c>
      <x:c r="F525" s="13" t="n">
        <x:v>20</x:v>
      </x:c>
      <x:c r="G525" s="13" t="n">
        <x:v>2</x:v>
      </x:c>
      <x:c r="H525" s="13" t="n">
        <x:v>3</x:v>
      </x:c>
      <x:c r="I525" s="13" t="str">
        <x:v>0811901000; 0811902025; 0811902027; 0811902030; 0811902040; 0811902200; +14 more</x:v>
      </x:c>
      <x:c r="J525" s="13" t="str">
        <x:v>0811909901; 0811909999</x:v>
      </x:c>
      <x:c r="K525" s="13" t="str">
        <x:v>08119010; 0811902000; 08119090</x:v>
      </x:c>
      <x:c r="L525" s="13" t="str">
        <x:v>UNRESOLVED</x:v>
      </x:c>
      <x:c r="M525" s="13" t="str"/>
      <x:c r="N525" s="13" t="str">
        <x:v>NO / DEFAULT</x:v>
      </x:c>
      <x:c r="O525" s="13" t="str"/>
      <x:c r="P525" s="13" t="str">
        <x:v>NO / DEFAULT</x:v>
      </x:c>
      <x:c r="Q525" s="13" t="str"/>
      <x:c r="R525" s="13" t="str">
        <x:v>INDEPENDENT / DEFAULT</x:v>
      </x:c>
      <x:c r="S525" s="13" t="str"/>
      <x:c r="T525" s="13" t="str">
        <x:v>UNRESOLVED</x:v>
      </x:c>
      <x:c r="U525" s="13" t="str"/>
      <x:c r="V525" s="13" t="str"/>
      <x:c r="W525" s="13" t="str"/>
      <x:c r="X525" s="13" t="str">
        <x:f>IF(L525&lt;&gt;"COVERED","HELD — COVERAGE",IF(N525="YES — SENSITIVE","C ACTIONABLE","CHAPTER 5 DEFAULT"))</x:f>
        <x:v>HELD — COVERAGE</x:v>
      </x:c>
      <x:c r="Y525" s="13" t="str">
        <x:f>IF(L525&lt;&gt;"COVERED","HELD — COVERAGE",IF(P525="YES — MANAGED ACCESS","D ACTIONABLE","NO D FIELD"))</x:f>
        <x:v>HELD — COVERAGE</x:v>
      </x:c>
      <x:c r="Z525" s="13" t="str">
        <x:f>IF(L525&lt;&gt;"COVERED","HELD — COVERAGE",IF(OR(R525="PAIRED SYNCHRONIZED",R525="TRILATERAL SYNCHRONIZED"),"E ACTIONABLE","INDEPENDENT"))</x:f>
        <x:v>HELD — COVERAGE</x:v>
      </x:c>
      <x:c r="AA525" s="13" t="str">
        <x:f>IF(L525&lt;&gt;"COVERED","HELD — COVERAGE","WAIT FOR UPSTREAM COMPLETION")</x:f>
        <x:v>HELD — COVERAGE</x:v>
      </x:c>
      <x:c r="AB525" s="13" t="str">
        <x:f>IF(L525&lt;&gt;"COVERED","HELD — COVERAGE",IF(T525="UNRESOLVED","G DECISION REQUIRED",IF(T525="NOT APPLICABLE","G N/A","G ACTIONABLE")))</x:f>
        <x:v>HELD — COVERAGE</x:v>
      </x:c>
      <x:c r="AC525" s="13" t="str">
        <x:f>IF(L525="UNRESOLVED","COVERAGE FIRST",IF(OR(L525="EXCLUDED",L525="OUT OF SCOPE"),"CLOSED BY COVERAGE",IF(AND(L525="COVERED",T525&lt;&gt;"UNRESOLVED"),"PARTIALLY ADOPTED","DECISIONS REMAIN")))</x:f>
        <x:v>COVERAGE FIRST</x:v>
      </x:c>
    </x:row>
    <x:row r="526">
      <x:c r="A526" s="13" t="str">
        <x:v>NAAFTC-HS6-081210</x:v>
      </x:c>
      <x:c r="B526" s="13" t="str">
        <x:v>081210</x:v>
      </x:c>
      <x:c r="C526" s="13" t="str">
        <x:v>08</x:v>
      </x:c>
      <x:c r="D526" s="13" t="str">
        <x:v>TRILATERAL_1_TO_1_TO_1</x:v>
      </x:c>
      <x:c r="E526" s="13" t="str">
        <x:v>Pending</x:v>
      </x:c>
      <x:c r="F526" s="13" t="n">
        <x:v>1</x:v>
      </x:c>
      <x:c r="G526" s="13" t="n">
        <x:v>1</x:v>
      </x:c>
      <x:c r="H526" s="13" t="n">
        <x:v>1</x:v>
      </x:c>
      <x:c r="I526" s="13" t="str">
        <x:v>0812100000</x:v>
      </x:c>
      <x:c r="J526" s="13" t="str">
        <x:v>0812100100</x:v>
      </x:c>
      <x:c r="K526" s="13" t="str">
        <x:v>0812100000</x:v>
      </x:c>
      <x:c r="L526" s="13" t="str">
        <x:v>UNRESOLVED</x:v>
      </x:c>
      <x:c r="M526" s="13" t="str"/>
      <x:c r="N526" s="13" t="str">
        <x:v>NO / DEFAULT</x:v>
      </x:c>
      <x:c r="O526" s="13" t="str"/>
      <x:c r="P526" s="13" t="str">
        <x:v>NO / DEFAULT</x:v>
      </x:c>
      <x:c r="Q526" s="13" t="str"/>
      <x:c r="R526" s="13" t="str">
        <x:v>INDEPENDENT / DEFAULT</x:v>
      </x:c>
      <x:c r="S526" s="13" t="str"/>
      <x:c r="T526" s="13" t="str">
        <x:v>UNRESOLVED</x:v>
      </x:c>
      <x:c r="U526" s="13" t="str"/>
      <x:c r="V526" s="13" t="str"/>
      <x:c r="W526" s="13" t="str"/>
      <x:c r="X526" s="13" t="str">
        <x:f>IF(L526&lt;&gt;"COVERED","HELD — COVERAGE",IF(N526="YES — SENSITIVE","C ACTIONABLE","CHAPTER 5 DEFAULT"))</x:f>
        <x:v>HELD — COVERAGE</x:v>
      </x:c>
      <x:c r="Y526" s="13" t="str">
        <x:f>IF(L526&lt;&gt;"COVERED","HELD — COVERAGE",IF(P526="YES — MANAGED ACCESS","D ACTIONABLE","NO D FIELD"))</x:f>
        <x:v>HELD — COVERAGE</x:v>
      </x:c>
      <x:c r="Z526" s="13" t="str">
        <x:f>IF(L526&lt;&gt;"COVERED","HELD — COVERAGE",IF(OR(R526="PAIRED SYNCHRONIZED",R526="TRILATERAL SYNCHRONIZED"),"E ACTIONABLE","INDEPENDENT"))</x:f>
        <x:v>HELD — COVERAGE</x:v>
      </x:c>
      <x:c r="AA526" s="13" t="str">
        <x:f>IF(L526&lt;&gt;"COVERED","HELD — COVERAGE","WAIT FOR UPSTREAM COMPLETION")</x:f>
        <x:v>HELD — COVERAGE</x:v>
      </x:c>
      <x:c r="AB526" s="13" t="str">
        <x:f>IF(L526&lt;&gt;"COVERED","HELD — COVERAGE",IF(T526="UNRESOLVED","G DECISION REQUIRED",IF(T526="NOT APPLICABLE","G N/A","G ACTIONABLE")))</x:f>
        <x:v>HELD — COVERAGE</x:v>
      </x:c>
      <x:c r="AC526" s="13" t="str">
        <x:f>IF(L526="UNRESOLVED","COVERAGE FIRST",IF(OR(L526="EXCLUDED",L526="OUT OF SCOPE"),"CLOSED BY COVERAGE",IF(AND(L526="COVERED",T526&lt;&gt;"UNRESOLVED"),"PARTIALLY ADOPTED","DECISIONS REMAIN")))</x:f>
        <x:v>COVERAGE FIRST</x:v>
      </x:c>
    </x:row>
    <x:row r="527">
      <x:c r="A527" s="13" t="str">
        <x:v>NAAFTC-HS6-081290</x:v>
      </x:c>
      <x:c r="B527" s="13" t="str">
        <x:v>081290</x:v>
      </x:c>
      <x:c r="C527" s="13" t="str">
        <x:v>08</x:v>
      </x:c>
      <x:c r="D527" s="13" t="str">
        <x:v>TRILATERAL_SPLIT_MERGE</x:v>
      </x:c>
      <x:c r="E527" s="13" t="str">
        <x:v>Pending</x:v>
      </x:c>
      <x:c r="F527" s="13" t="n">
        <x:v>6</x:v>
      </x:c>
      <x:c r="G527" s="13" t="n">
        <x:v>1</x:v>
      </x:c>
      <x:c r="H527" s="13" t="n">
        <x:v>1</x:v>
      </x:c>
      <x:c r="I527" s="13" t="str">
        <x:v>0812901000; 0812902000; 0812903000; 0812904000; 0812905000; 0812909000</x:v>
      </x:c>
      <x:c r="J527" s="13" t="str">
        <x:v>0812909900</x:v>
      </x:c>
      <x:c r="K527" s="13" t="str">
        <x:v>0812900000</x:v>
      </x:c>
      <x:c r="L527" s="13" t="str">
        <x:v>UNRESOLVED</x:v>
      </x:c>
      <x:c r="M527" s="13" t="str"/>
      <x:c r="N527" s="13" t="str">
        <x:v>NO / DEFAULT</x:v>
      </x:c>
      <x:c r="O527" s="13" t="str"/>
      <x:c r="P527" s="13" t="str">
        <x:v>NO / DEFAULT</x:v>
      </x:c>
      <x:c r="Q527" s="13" t="str"/>
      <x:c r="R527" s="13" t="str">
        <x:v>INDEPENDENT / DEFAULT</x:v>
      </x:c>
      <x:c r="S527" s="13" t="str"/>
      <x:c r="T527" s="13" t="str">
        <x:v>UNRESOLVED</x:v>
      </x:c>
      <x:c r="U527" s="13" t="str"/>
      <x:c r="V527" s="13" t="str"/>
      <x:c r="W527" s="13" t="str"/>
      <x:c r="X527" s="13" t="str">
        <x:f>IF(L527&lt;&gt;"COVERED","HELD — COVERAGE",IF(N527="YES — SENSITIVE","C ACTIONABLE","CHAPTER 5 DEFAULT"))</x:f>
        <x:v>HELD — COVERAGE</x:v>
      </x:c>
      <x:c r="Y527" s="13" t="str">
        <x:f>IF(L527&lt;&gt;"COVERED","HELD — COVERAGE",IF(P527="YES — MANAGED ACCESS","D ACTIONABLE","NO D FIELD"))</x:f>
        <x:v>HELD — COVERAGE</x:v>
      </x:c>
      <x:c r="Z527" s="13" t="str">
        <x:f>IF(L527&lt;&gt;"COVERED","HELD — COVERAGE",IF(OR(R527="PAIRED SYNCHRONIZED",R527="TRILATERAL SYNCHRONIZED"),"E ACTIONABLE","INDEPENDENT"))</x:f>
        <x:v>HELD — COVERAGE</x:v>
      </x:c>
      <x:c r="AA527" s="13" t="str">
        <x:f>IF(L527&lt;&gt;"COVERED","HELD — COVERAGE","WAIT FOR UPSTREAM COMPLETION")</x:f>
        <x:v>HELD — COVERAGE</x:v>
      </x:c>
      <x:c r="AB527" s="13" t="str">
        <x:f>IF(L527&lt;&gt;"COVERED","HELD — COVERAGE",IF(T527="UNRESOLVED","G DECISION REQUIRED",IF(T527="NOT APPLICABLE","G N/A","G ACTIONABLE")))</x:f>
        <x:v>HELD — COVERAGE</x:v>
      </x:c>
      <x:c r="AC527" s="13" t="str">
        <x:f>IF(L527="UNRESOLVED","COVERAGE FIRST",IF(OR(L527="EXCLUDED",L527="OUT OF SCOPE"),"CLOSED BY COVERAGE",IF(AND(L527="COVERED",T527&lt;&gt;"UNRESOLVED"),"PARTIALLY ADOPTED","DECISIONS REMAIN")))</x:f>
        <x:v>COVERAGE FIRST</x:v>
      </x:c>
    </x:row>
    <x:row r="528">
      <x:c r="A528" s="13" t="str">
        <x:v>NAAFTC-HS6-081310</x:v>
      </x:c>
      <x:c r="B528" s="13" t="str">
        <x:v>081310</x:v>
      </x:c>
      <x:c r="C528" s="13" t="str">
        <x:v>08</x:v>
      </x:c>
      <x:c r="D528" s="13" t="str">
        <x:v>TRILATERAL_1_TO_1_TO_1</x:v>
      </x:c>
      <x:c r="E528" s="13" t="str">
        <x:v>Pending</x:v>
      </x:c>
      <x:c r="F528" s="13" t="n">
        <x:v>1</x:v>
      </x:c>
      <x:c r="G528" s="13" t="n">
        <x:v>1</x:v>
      </x:c>
      <x:c r="H528" s="13" t="n">
        <x:v>1</x:v>
      </x:c>
      <x:c r="I528" s="13" t="str">
        <x:v>0813100000</x:v>
      </x:c>
      <x:c r="J528" s="13" t="str">
        <x:v>0813100200</x:v>
      </x:c>
      <x:c r="K528" s="13" t="str">
        <x:v>0813100000</x:v>
      </x:c>
      <x:c r="L528" s="13" t="str">
        <x:v>UNRESOLVED</x:v>
      </x:c>
      <x:c r="M528" s="13" t="str"/>
      <x:c r="N528" s="13" t="str">
        <x:v>NO / DEFAULT</x:v>
      </x:c>
      <x:c r="O528" s="13" t="str"/>
      <x:c r="P528" s="13" t="str">
        <x:v>NO / DEFAULT</x:v>
      </x:c>
      <x:c r="Q528" s="13" t="str"/>
      <x:c r="R528" s="13" t="str">
        <x:v>INDEPENDENT / DEFAULT</x:v>
      </x:c>
      <x:c r="S528" s="13" t="str"/>
      <x:c r="T528" s="13" t="str">
        <x:v>UNRESOLVED</x:v>
      </x:c>
      <x:c r="U528" s="13" t="str"/>
      <x:c r="V528" s="13" t="str"/>
      <x:c r="W528" s="13" t="str"/>
      <x:c r="X528" s="13" t="str">
        <x:f>IF(L528&lt;&gt;"COVERED","HELD — COVERAGE",IF(N528="YES — SENSITIVE","C ACTIONABLE","CHAPTER 5 DEFAULT"))</x:f>
        <x:v>HELD — COVERAGE</x:v>
      </x:c>
      <x:c r="Y528" s="13" t="str">
        <x:f>IF(L528&lt;&gt;"COVERED","HELD — COVERAGE",IF(P528="YES — MANAGED ACCESS","D ACTIONABLE","NO D FIELD"))</x:f>
        <x:v>HELD — COVERAGE</x:v>
      </x:c>
      <x:c r="Z528" s="13" t="str">
        <x:f>IF(L528&lt;&gt;"COVERED","HELD — COVERAGE",IF(OR(R528="PAIRED SYNCHRONIZED",R528="TRILATERAL SYNCHRONIZED"),"E ACTIONABLE","INDEPENDENT"))</x:f>
        <x:v>HELD — COVERAGE</x:v>
      </x:c>
      <x:c r="AA528" s="13" t="str">
        <x:f>IF(L528&lt;&gt;"COVERED","HELD — COVERAGE","WAIT FOR UPSTREAM COMPLETION")</x:f>
        <x:v>HELD — COVERAGE</x:v>
      </x:c>
      <x:c r="AB528" s="13" t="str">
        <x:f>IF(L528&lt;&gt;"COVERED","HELD — COVERAGE",IF(T528="UNRESOLVED","G DECISION REQUIRED",IF(T528="NOT APPLICABLE","G N/A","G ACTIONABLE")))</x:f>
        <x:v>HELD — COVERAGE</x:v>
      </x:c>
      <x:c r="AC528" s="13" t="str">
        <x:f>IF(L528="UNRESOLVED","COVERAGE FIRST",IF(OR(L528="EXCLUDED",L528="OUT OF SCOPE"),"CLOSED BY COVERAGE",IF(AND(L528="COVERED",T528&lt;&gt;"UNRESOLVED"),"PARTIALLY ADOPTED","DECISIONS REMAIN")))</x:f>
        <x:v>COVERAGE FIRST</x:v>
      </x:c>
    </x:row>
    <x:row r="529">
      <x:c r="A529" s="13" t="str">
        <x:v>NAAFTC-HS6-081320</x:v>
      </x:c>
      <x:c r="B529" s="13" t="str">
        <x:v>081320</x:v>
      </x:c>
      <x:c r="C529" s="13" t="str">
        <x:v>08</x:v>
      </x:c>
      <x:c r="D529" s="13" t="str">
        <x:v>TRILATERAL_SPLIT_MERGE</x:v>
      </x:c>
      <x:c r="E529" s="13" t="str">
        <x:v>Pending</x:v>
      </x:c>
      <x:c r="F529" s="13" t="n">
        <x:v>3</x:v>
      </x:c>
      <x:c r="G529" s="13" t="n">
        <x:v>2</x:v>
      </x:c>
      <x:c r="H529" s="13" t="n">
        <x:v>1</x:v>
      </x:c>
      <x:c r="I529" s="13" t="str">
        <x:v>0813201000; 0813202010; 0813202090</x:v>
      </x:c>
      <x:c r="J529" s="13" t="str">
        <x:v>0813200201; 0813200299</x:v>
      </x:c>
      <x:c r="K529" s="13" t="str">
        <x:v>0813200000</x:v>
      </x:c>
      <x:c r="L529" s="13" t="str">
        <x:v>UNRESOLVED</x:v>
      </x:c>
      <x:c r="M529" s="13" t="str"/>
      <x:c r="N529" s="13" t="str">
        <x:v>NO / DEFAULT</x:v>
      </x:c>
      <x:c r="O529" s="13" t="str"/>
      <x:c r="P529" s="13" t="str">
        <x:v>NO / DEFAULT</x:v>
      </x:c>
      <x:c r="Q529" s="13" t="str"/>
      <x:c r="R529" s="13" t="str">
        <x:v>INDEPENDENT / DEFAULT</x:v>
      </x:c>
      <x:c r="S529" s="13" t="str"/>
      <x:c r="T529" s="13" t="str">
        <x:v>UNRESOLVED</x:v>
      </x:c>
      <x:c r="U529" s="13" t="str"/>
      <x:c r="V529" s="13" t="str"/>
      <x:c r="W529" s="13" t="str"/>
      <x:c r="X529" s="13" t="str">
        <x:f>IF(L529&lt;&gt;"COVERED","HELD — COVERAGE",IF(N529="YES — SENSITIVE","C ACTIONABLE","CHAPTER 5 DEFAULT"))</x:f>
        <x:v>HELD — COVERAGE</x:v>
      </x:c>
      <x:c r="Y529" s="13" t="str">
        <x:f>IF(L529&lt;&gt;"COVERED","HELD — COVERAGE",IF(P529="YES — MANAGED ACCESS","D ACTIONABLE","NO D FIELD"))</x:f>
        <x:v>HELD — COVERAGE</x:v>
      </x:c>
      <x:c r="Z529" s="13" t="str">
        <x:f>IF(L529&lt;&gt;"COVERED","HELD — COVERAGE",IF(OR(R529="PAIRED SYNCHRONIZED",R529="TRILATERAL SYNCHRONIZED"),"E ACTIONABLE","INDEPENDENT"))</x:f>
        <x:v>HELD — COVERAGE</x:v>
      </x:c>
      <x:c r="AA529" s="13" t="str">
        <x:f>IF(L529&lt;&gt;"COVERED","HELD — COVERAGE","WAIT FOR UPSTREAM COMPLETION")</x:f>
        <x:v>HELD — COVERAGE</x:v>
      </x:c>
      <x:c r="AB529" s="13" t="str">
        <x:f>IF(L529&lt;&gt;"COVERED","HELD — COVERAGE",IF(T529="UNRESOLVED","G DECISION REQUIRED",IF(T529="NOT APPLICABLE","G N/A","G ACTIONABLE")))</x:f>
        <x:v>HELD — COVERAGE</x:v>
      </x:c>
      <x:c r="AC529" s="13" t="str">
        <x:f>IF(L529="UNRESOLVED","COVERAGE FIRST",IF(OR(L529="EXCLUDED",L529="OUT OF SCOPE"),"CLOSED BY COVERAGE",IF(AND(L529="COVERED",T529&lt;&gt;"UNRESOLVED"),"PARTIALLY ADOPTED","DECISIONS REMAIN")))</x:f>
        <x:v>COVERAGE FIRST</x:v>
      </x:c>
    </x:row>
    <x:row r="530">
      <x:c r="A530" s="13" t="str">
        <x:v>NAAFTC-HS6-081330</x:v>
      </x:c>
      <x:c r="B530" s="13" t="str">
        <x:v>081330</x:v>
      </x:c>
      <x:c r="C530" s="13" t="str">
        <x:v>08</x:v>
      </x:c>
      <x:c r="D530" s="13" t="str">
        <x:v>TRILATERAL_1_TO_1_TO_1</x:v>
      </x:c>
      <x:c r="E530" s="13" t="str">
        <x:v>Pending</x:v>
      </x:c>
      <x:c r="F530" s="13" t="n">
        <x:v>1</x:v>
      </x:c>
      <x:c r="G530" s="13" t="n">
        <x:v>1</x:v>
      </x:c>
      <x:c r="H530" s="13" t="n">
        <x:v>1</x:v>
      </x:c>
      <x:c r="I530" s="13" t="str">
        <x:v>0813300000</x:v>
      </x:c>
      <x:c r="J530" s="13" t="str">
        <x:v>0813300100</x:v>
      </x:c>
      <x:c r="K530" s="13" t="str">
        <x:v>0813300000</x:v>
      </x:c>
      <x:c r="L530" s="13" t="str">
        <x:v>UNRESOLVED</x:v>
      </x:c>
      <x:c r="M530" s="13" t="str"/>
      <x:c r="N530" s="13" t="str">
        <x:v>NO / DEFAULT</x:v>
      </x:c>
      <x:c r="O530" s="13" t="str"/>
      <x:c r="P530" s="13" t="str">
        <x:v>NO / DEFAULT</x:v>
      </x:c>
      <x:c r="Q530" s="13" t="str"/>
      <x:c r="R530" s="13" t="str">
        <x:v>INDEPENDENT / DEFAULT</x:v>
      </x:c>
      <x:c r="S530" s="13" t="str"/>
      <x:c r="T530" s="13" t="str">
        <x:v>UNRESOLVED</x:v>
      </x:c>
      <x:c r="U530" s="13" t="str"/>
      <x:c r="V530" s="13" t="str"/>
      <x:c r="W530" s="13" t="str"/>
      <x:c r="X530" s="13" t="str">
        <x:f>IF(L530&lt;&gt;"COVERED","HELD — COVERAGE",IF(N530="YES — SENSITIVE","C ACTIONABLE","CHAPTER 5 DEFAULT"))</x:f>
        <x:v>HELD — COVERAGE</x:v>
      </x:c>
      <x:c r="Y530" s="13" t="str">
        <x:f>IF(L530&lt;&gt;"COVERED","HELD — COVERAGE",IF(P530="YES — MANAGED ACCESS","D ACTIONABLE","NO D FIELD"))</x:f>
        <x:v>HELD — COVERAGE</x:v>
      </x:c>
      <x:c r="Z530" s="13" t="str">
        <x:f>IF(L530&lt;&gt;"COVERED","HELD — COVERAGE",IF(OR(R530="PAIRED SYNCHRONIZED",R530="TRILATERAL SYNCHRONIZED"),"E ACTIONABLE","INDEPENDENT"))</x:f>
        <x:v>HELD — COVERAGE</x:v>
      </x:c>
      <x:c r="AA530" s="13" t="str">
        <x:f>IF(L530&lt;&gt;"COVERED","HELD — COVERAGE","WAIT FOR UPSTREAM COMPLETION")</x:f>
        <x:v>HELD — COVERAGE</x:v>
      </x:c>
      <x:c r="AB530" s="13" t="str">
        <x:f>IF(L530&lt;&gt;"COVERED","HELD — COVERAGE",IF(T530="UNRESOLVED","G DECISION REQUIRED",IF(T530="NOT APPLICABLE","G N/A","G ACTIONABLE")))</x:f>
        <x:v>HELD — COVERAGE</x:v>
      </x:c>
      <x:c r="AC530" s="13" t="str">
        <x:f>IF(L530="UNRESOLVED","COVERAGE FIRST",IF(OR(L530="EXCLUDED",L530="OUT OF SCOPE"),"CLOSED BY COVERAGE",IF(AND(L530="COVERED",T530&lt;&gt;"UNRESOLVED"),"PARTIALLY ADOPTED","DECISIONS REMAIN")))</x:f>
        <x:v>COVERAGE FIRST</x:v>
      </x:c>
    </x:row>
    <x:row r="531">
      <x:c r="A531" s="13" t="str">
        <x:v>NAAFTC-HS6-081340</x:v>
      </x:c>
      <x:c r="B531" s="13" t="str">
        <x:v>081340</x:v>
      </x:c>
      <x:c r="C531" s="13" t="str">
        <x:v>08</x:v>
      </x:c>
      <x:c r="D531" s="13" t="str">
        <x:v>TRILATERAL_SPLIT_MERGE</x:v>
      </x:c>
      <x:c r="E531" s="13" t="str">
        <x:v>Pending</x:v>
      </x:c>
      <x:c r="F531" s="13" t="n">
        <x:v>10</x:v>
      </x:c>
      <x:c r="G531" s="13" t="n">
        <x:v>1</x:v>
      </x:c>
      <x:c r="H531" s="13" t="n">
        <x:v>1</x:v>
      </x:c>
      <x:c r="I531" s="13" t="str">
        <x:v>0813401000; 0813401500; 0813402010; 0813402020; 0813402060; 0813403010; +4 more</x:v>
      </x:c>
      <x:c r="J531" s="13" t="str">
        <x:v>0813409100</x:v>
      </x:c>
      <x:c r="K531" s="13" t="str">
        <x:v>08134000</x:v>
      </x:c>
      <x:c r="L531" s="13" t="str">
        <x:v>UNRESOLVED</x:v>
      </x:c>
      <x:c r="M531" s="13" t="str"/>
      <x:c r="N531" s="13" t="str">
        <x:v>NO / DEFAULT</x:v>
      </x:c>
      <x:c r="O531" s="13" t="str"/>
      <x:c r="P531" s="13" t="str">
        <x:v>NO / DEFAULT</x:v>
      </x:c>
      <x:c r="Q531" s="13" t="str"/>
      <x:c r="R531" s="13" t="str">
        <x:v>INDEPENDENT / DEFAULT</x:v>
      </x:c>
      <x:c r="S531" s="13" t="str"/>
      <x:c r="T531" s="13" t="str">
        <x:v>UNRESOLVED</x:v>
      </x:c>
      <x:c r="U531" s="13" t="str"/>
      <x:c r="V531" s="13" t="str"/>
      <x:c r="W531" s="13" t="str"/>
      <x:c r="X531" s="13" t="str">
        <x:f>IF(L531&lt;&gt;"COVERED","HELD — COVERAGE",IF(N531="YES — SENSITIVE","C ACTIONABLE","CHAPTER 5 DEFAULT"))</x:f>
        <x:v>HELD — COVERAGE</x:v>
      </x:c>
      <x:c r="Y531" s="13" t="str">
        <x:f>IF(L531&lt;&gt;"COVERED","HELD — COVERAGE",IF(P531="YES — MANAGED ACCESS","D ACTIONABLE","NO D FIELD"))</x:f>
        <x:v>HELD — COVERAGE</x:v>
      </x:c>
      <x:c r="Z531" s="13" t="str">
        <x:f>IF(L531&lt;&gt;"COVERED","HELD — COVERAGE",IF(OR(R531="PAIRED SYNCHRONIZED",R531="TRILATERAL SYNCHRONIZED"),"E ACTIONABLE","INDEPENDENT"))</x:f>
        <x:v>HELD — COVERAGE</x:v>
      </x:c>
      <x:c r="AA531" s="13" t="str">
        <x:f>IF(L531&lt;&gt;"COVERED","HELD — COVERAGE","WAIT FOR UPSTREAM COMPLETION")</x:f>
        <x:v>HELD — COVERAGE</x:v>
      </x:c>
      <x:c r="AB531" s="13" t="str">
        <x:f>IF(L531&lt;&gt;"COVERED","HELD — COVERAGE",IF(T531="UNRESOLVED","G DECISION REQUIRED",IF(T531="NOT APPLICABLE","G N/A","G ACTIONABLE")))</x:f>
        <x:v>HELD — COVERAGE</x:v>
      </x:c>
      <x:c r="AC531" s="13" t="str">
        <x:f>IF(L531="UNRESOLVED","COVERAGE FIRST",IF(OR(L531="EXCLUDED",L531="OUT OF SCOPE"),"CLOSED BY COVERAGE",IF(AND(L531="COVERED",T531&lt;&gt;"UNRESOLVED"),"PARTIALLY ADOPTED","DECISIONS REMAIN")))</x:f>
        <x:v>COVERAGE FIRST</x:v>
      </x:c>
    </x:row>
    <x:row r="532">
      <x:c r="A532" s="13" t="str">
        <x:v>NAAFTC-HS6-081350</x:v>
      </x:c>
      <x:c r="B532" s="13" t="str">
        <x:v>081350</x:v>
      </x:c>
      <x:c r="C532" s="13" t="str">
        <x:v>08</x:v>
      </x:c>
      <x:c r="D532" s="13" t="str">
        <x:v>TRILATERAL_SPLIT_MERGE</x:v>
      </x:c>
      <x:c r="E532" s="13" t="str">
        <x:v>Pending</x:v>
      </x:c>
      <x:c r="F532" s="13" t="n">
        <x:v>3</x:v>
      </x:c>
      <x:c r="G532" s="13" t="n">
        <x:v>1</x:v>
      </x:c>
      <x:c r="H532" s="13" t="n">
        <x:v>1</x:v>
      </x:c>
      <x:c r="I532" s="13" t="str">
        <x:v>0813500020; 0813500040; 0813500060</x:v>
      </x:c>
      <x:c r="J532" s="13" t="str">
        <x:v>0813500100</x:v>
      </x:c>
      <x:c r="K532" s="13" t="str">
        <x:v>0813500000</x:v>
      </x:c>
      <x:c r="L532" s="13" t="str">
        <x:v>UNRESOLVED</x:v>
      </x:c>
      <x:c r="M532" s="13" t="str"/>
      <x:c r="N532" s="13" t="str">
        <x:v>NO / DEFAULT</x:v>
      </x:c>
      <x:c r="O532" s="13" t="str"/>
      <x:c r="P532" s="13" t="str">
        <x:v>NO / DEFAULT</x:v>
      </x:c>
      <x:c r="Q532" s="13" t="str"/>
      <x:c r="R532" s="13" t="str">
        <x:v>INDEPENDENT / DEFAULT</x:v>
      </x:c>
      <x:c r="S532" s="13" t="str"/>
      <x:c r="T532" s="13" t="str">
        <x:v>UNRESOLVED</x:v>
      </x:c>
      <x:c r="U532" s="13" t="str"/>
      <x:c r="V532" s="13" t="str"/>
      <x:c r="W532" s="13" t="str"/>
      <x:c r="X532" s="13" t="str">
        <x:f>IF(L532&lt;&gt;"COVERED","HELD — COVERAGE",IF(N532="YES — SENSITIVE","C ACTIONABLE","CHAPTER 5 DEFAULT"))</x:f>
        <x:v>HELD — COVERAGE</x:v>
      </x:c>
      <x:c r="Y532" s="13" t="str">
        <x:f>IF(L532&lt;&gt;"COVERED","HELD — COVERAGE",IF(P532="YES — MANAGED ACCESS","D ACTIONABLE","NO D FIELD"))</x:f>
        <x:v>HELD — COVERAGE</x:v>
      </x:c>
      <x:c r="Z532" s="13" t="str">
        <x:f>IF(L532&lt;&gt;"COVERED","HELD — COVERAGE",IF(OR(R532="PAIRED SYNCHRONIZED",R532="TRILATERAL SYNCHRONIZED"),"E ACTIONABLE","INDEPENDENT"))</x:f>
        <x:v>HELD — COVERAGE</x:v>
      </x:c>
      <x:c r="AA532" s="13" t="str">
        <x:f>IF(L532&lt;&gt;"COVERED","HELD — COVERAGE","WAIT FOR UPSTREAM COMPLETION")</x:f>
        <x:v>HELD — COVERAGE</x:v>
      </x:c>
      <x:c r="AB532" s="13" t="str">
        <x:f>IF(L532&lt;&gt;"COVERED","HELD — COVERAGE",IF(T532="UNRESOLVED","G DECISION REQUIRED",IF(T532="NOT APPLICABLE","G N/A","G ACTIONABLE")))</x:f>
        <x:v>HELD — COVERAGE</x:v>
      </x:c>
      <x:c r="AC532" s="13" t="str">
        <x:f>IF(L532="UNRESOLVED","COVERAGE FIRST",IF(OR(L532="EXCLUDED",L532="OUT OF SCOPE"),"CLOSED BY COVERAGE",IF(AND(L532="COVERED",T532&lt;&gt;"UNRESOLVED"),"PARTIALLY ADOPTED","DECISIONS REMAIN")))</x:f>
        <x:v>COVERAGE FIRST</x:v>
      </x:c>
    </x:row>
    <x:row r="533">
      <x:c r="A533" s="13" t="str">
        <x:v>NAAFTC-HS6-081400</x:v>
      </x:c>
      <x:c r="B533" s="13" t="str">
        <x:v>081400</x:v>
      </x:c>
      <x:c r="C533" s="13" t="str">
        <x:v>08</x:v>
      </x:c>
      <x:c r="D533" s="13" t="str">
        <x:v>TRILATERAL_SPLIT_MERGE</x:v>
      </x:c>
      <x:c r="E533" s="13" t="str">
        <x:v>Pending</x:v>
      </x:c>
      <x:c r="F533" s="13" t="n">
        <x:v>3</x:v>
      </x:c>
      <x:c r="G533" s="13" t="n">
        <x:v>1</x:v>
      </x:c>
      <x:c r="H533" s="13" t="n">
        <x:v>1</x:v>
      </x:c>
      <x:c r="I533" s="13" t="str">
        <x:v>0814001000; 0814004000; 0814008000</x:v>
      </x:c>
      <x:c r="J533" s="13" t="str">
        <x:v>0814000100</x:v>
      </x:c>
      <x:c r="K533" s="13" t="str">
        <x:v>0814000000</x:v>
      </x:c>
      <x:c r="L533" s="13" t="str">
        <x:v>UNRESOLVED</x:v>
      </x:c>
      <x:c r="M533" s="13" t="str"/>
      <x:c r="N533" s="13" t="str">
        <x:v>NO / DEFAULT</x:v>
      </x:c>
      <x:c r="O533" s="13" t="str"/>
      <x:c r="P533" s="13" t="str">
        <x:v>NO / DEFAULT</x:v>
      </x:c>
      <x:c r="Q533" s="13" t="str"/>
      <x:c r="R533" s="13" t="str">
        <x:v>INDEPENDENT / DEFAULT</x:v>
      </x:c>
      <x:c r="S533" s="13" t="str"/>
      <x:c r="T533" s="13" t="str">
        <x:v>UNRESOLVED</x:v>
      </x:c>
      <x:c r="U533" s="13" t="str"/>
      <x:c r="V533" s="13" t="str"/>
      <x:c r="W533" s="13" t="str"/>
      <x:c r="X533" s="13" t="str">
        <x:f>IF(L533&lt;&gt;"COVERED","HELD — COVERAGE",IF(N533="YES — SENSITIVE","C ACTIONABLE","CHAPTER 5 DEFAULT"))</x:f>
        <x:v>HELD — COVERAGE</x:v>
      </x:c>
      <x:c r="Y533" s="13" t="str">
        <x:f>IF(L533&lt;&gt;"COVERED","HELD — COVERAGE",IF(P533="YES — MANAGED ACCESS","D ACTIONABLE","NO D FIELD"))</x:f>
        <x:v>HELD — COVERAGE</x:v>
      </x:c>
      <x:c r="Z533" s="13" t="str">
        <x:f>IF(L533&lt;&gt;"COVERED","HELD — COVERAGE",IF(OR(R533="PAIRED SYNCHRONIZED",R533="TRILATERAL SYNCHRONIZED"),"E ACTIONABLE","INDEPENDENT"))</x:f>
        <x:v>HELD — COVERAGE</x:v>
      </x:c>
      <x:c r="AA533" s="13" t="str">
        <x:f>IF(L533&lt;&gt;"COVERED","HELD — COVERAGE","WAIT FOR UPSTREAM COMPLETION")</x:f>
        <x:v>HELD — COVERAGE</x:v>
      </x:c>
      <x:c r="AB533" s="13" t="str">
        <x:f>IF(L533&lt;&gt;"COVERED","HELD — COVERAGE",IF(T533="UNRESOLVED","G DECISION REQUIRED",IF(T533="NOT APPLICABLE","G N/A","G ACTIONABLE")))</x:f>
        <x:v>HELD — COVERAGE</x:v>
      </x:c>
      <x:c r="AC533" s="13" t="str">
        <x:f>IF(L533="UNRESOLVED","COVERAGE FIRST",IF(OR(L533="EXCLUDED",L533="OUT OF SCOPE"),"CLOSED BY COVERAGE",IF(AND(L533="COVERED",T533&lt;&gt;"UNRESOLVED"),"PARTIALLY ADOPTED","DECISIONS REMAIN")))</x:f>
        <x:v>COVERAGE FIRST</x:v>
      </x:c>
    </x:row>
    <x:row r="534">
      <x:c r="A534" s="13" t="str">
        <x:v>NAAFTC-HS6-090111</x:v>
      </x:c>
      <x:c r="B534" s="13" t="str">
        <x:v>090111</x:v>
      </x:c>
      <x:c r="C534" s="13" t="str">
        <x:v>09</x:v>
      </x:c>
      <x:c r="D534" s="13" t="str">
        <x:v>TRILATERAL_SPLIT_MERGE</x:v>
      </x:c>
      <x:c r="E534" s="13" t="str">
        <x:v>Pending</x:v>
      </x:c>
      <x:c r="F534" s="13" t="n">
        <x:v>6</x:v>
      </x:c>
      <x:c r="G534" s="13" t="n">
        <x:v>5</x:v>
      </x:c>
      <x:c r="H534" s="13" t="n">
        <x:v>1</x:v>
      </x:c>
      <x:c r="I534" s="13" t="str">
        <x:v>0901110015; 0901110025; 0901110035; 0901110040; 0901110050; 0901110065</x:v>
      </x:c>
      <x:c r="J534" s="13" t="str">
        <x:v>0901110300; 0901110400; 0901110500; 0901119901; 0901119999</x:v>
      </x:c>
      <x:c r="K534" s="13" t="str">
        <x:v>09011100</x:v>
      </x:c>
      <x:c r="L534" s="13" t="str">
        <x:v>UNRESOLVED</x:v>
      </x:c>
      <x:c r="M534" s="13" t="str"/>
      <x:c r="N534" s="13" t="str">
        <x:v>NO / DEFAULT</x:v>
      </x:c>
      <x:c r="O534" s="13" t="str"/>
      <x:c r="P534" s="13" t="str">
        <x:v>NO / DEFAULT</x:v>
      </x:c>
      <x:c r="Q534" s="13" t="str"/>
      <x:c r="R534" s="13" t="str">
        <x:v>INDEPENDENT / DEFAULT</x:v>
      </x:c>
      <x:c r="S534" s="13" t="str"/>
      <x:c r="T534" s="13" t="str">
        <x:v>UNRESOLVED</x:v>
      </x:c>
      <x:c r="U534" s="13" t="str"/>
      <x:c r="V534" s="13" t="str"/>
      <x:c r="W534" s="13" t="str"/>
      <x:c r="X534" s="13" t="str">
        <x:f>IF(L534&lt;&gt;"COVERED","HELD — COVERAGE",IF(N534="YES — SENSITIVE","C ACTIONABLE","CHAPTER 5 DEFAULT"))</x:f>
        <x:v>HELD — COVERAGE</x:v>
      </x:c>
      <x:c r="Y534" s="13" t="str">
        <x:f>IF(L534&lt;&gt;"COVERED","HELD — COVERAGE",IF(P534="YES — MANAGED ACCESS","D ACTIONABLE","NO D FIELD"))</x:f>
        <x:v>HELD — COVERAGE</x:v>
      </x:c>
      <x:c r="Z534" s="13" t="str">
        <x:f>IF(L534&lt;&gt;"COVERED","HELD — COVERAGE",IF(OR(R534="PAIRED SYNCHRONIZED",R534="TRILATERAL SYNCHRONIZED"),"E ACTIONABLE","INDEPENDENT"))</x:f>
        <x:v>HELD — COVERAGE</x:v>
      </x:c>
      <x:c r="AA534" s="13" t="str">
        <x:f>IF(L534&lt;&gt;"COVERED","HELD — COVERAGE","WAIT FOR UPSTREAM COMPLETION")</x:f>
        <x:v>HELD — COVERAGE</x:v>
      </x:c>
      <x:c r="AB534" s="13" t="str">
        <x:f>IF(L534&lt;&gt;"COVERED","HELD — COVERAGE",IF(T534="UNRESOLVED","G DECISION REQUIRED",IF(T534="NOT APPLICABLE","G N/A","G ACTIONABLE")))</x:f>
        <x:v>HELD — COVERAGE</x:v>
      </x:c>
      <x:c r="AC534" s="13" t="str">
        <x:f>IF(L534="UNRESOLVED","COVERAGE FIRST",IF(OR(L534="EXCLUDED",L534="OUT OF SCOPE"),"CLOSED BY COVERAGE",IF(AND(L534="COVERED",T534&lt;&gt;"UNRESOLVED"),"PARTIALLY ADOPTED","DECISIONS REMAIN")))</x:f>
        <x:v>COVERAGE FIRST</x:v>
      </x:c>
    </x:row>
    <x:row r="535">
      <x:c r="A535" s="13" t="str">
        <x:v>NAAFTC-HS6-090112</x:v>
      </x:c>
      <x:c r="B535" s="13" t="str">
        <x:v>090112</x:v>
      </x:c>
      <x:c r="C535" s="13" t="str">
        <x:v>09</x:v>
      </x:c>
      <x:c r="D535" s="13" t="str">
        <x:v>TRILATERAL_SPLIT_MERGE</x:v>
      </x:c>
      <x:c r="E535" s="13" t="str">
        <x:v>Pending</x:v>
      </x:c>
      <x:c r="F535" s="13" t="n">
        <x:v>6</x:v>
      </x:c>
      <x:c r="G535" s="13" t="n">
        <x:v>4</x:v>
      </x:c>
      <x:c r="H535" s="13" t="n">
        <x:v>1</x:v>
      </x:c>
      <x:c r="I535" s="13" t="str">
        <x:v>0901120020; 0901120035; 0901120040; 0901120055; 0901120060; 0901120075</x:v>
      </x:c>
      <x:c r="J535" s="13" t="str">
        <x:v>0901120200; 0901120300; 0901120400; 0901129900</x:v>
      </x:c>
      <x:c r="K535" s="13" t="str">
        <x:v>0901120000</x:v>
      </x:c>
      <x:c r="L535" s="13" t="str">
        <x:v>UNRESOLVED</x:v>
      </x:c>
      <x:c r="M535" s="13" t="str"/>
      <x:c r="N535" s="13" t="str">
        <x:v>NO / DEFAULT</x:v>
      </x:c>
      <x:c r="O535" s="13" t="str"/>
      <x:c r="P535" s="13" t="str">
        <x:v>NO / DEFAULT</x:v>
      </x:c>
      <x:c r="Q535" s="13" t="str"/>
      <x:c r="R535" s="13" t="str">
        <x:v>INDEPENDENT / DEFAULT</x:v>
      </x:c>
      <x:c r="S535" s="13" t="str"/>
      <x:c r="T535" s="13" t="str">
        <x:v>UNRESOLVED</x:v>
      </x:c>
      <x:c r="U535" s="13" t="str"/>
      <x:c r="V535" s="13" t="str"/>
      <x:c r="W535" s="13" t="str"/>
      <x:c r="X535" s="13" t="str">
        <x:f>IF(L535&lt;&gt;"COVERED","HELD — COVERAGE",IF(N535="YES — SENSITIVE","C ACTIONABLE","CHAPTER 5 DEFAULT"))</x:f>
        <x:v>HELD — COVERAGE</x:v>
      </x:c>
      <x:c r="Y535" s="13" t="str">
        <x:f>IF(L535&lt;&gt;"COVERED","HELD — COVERAGE",IF(P535="YES — MANAGED ACCESS","D ACTIONABLE","NO D FIELD"))</x:f>
        <x:v>HELD — COVERAGE</x:v>
      </x:c>
      <x:c r="Z535" s="13" t="str">
        <x:f>IF(L535&lt;&gt;"COVERED","HELD — COVERAGE",IF(OR(R535="PAIRED SYNCHRONIZED",R535="TRILATERAL SYNCHRONIZED"),"E ACTIONABLE","INDEPENDENT"))</x:f>
        <x:v>HELD — COVERAGE</x:v>
      </x:c>
      <x:c r="AA535" s="13" t="str">
        <x:f>IF(L535&lt;&gt;"COVERED","HELD — COVERAGE","WAIT FOR UPSTREAM COMPLETION")</x:f>
        <x:v>HELD — COVERAGE</x:v>
      </x:c>
      <x:c r="AB535" s="13" t="str">
        <x:f>IF(L535&lt;&gt;"COVERED","HELD — COVERAGE",IF(T535="UNRESOLVED","G DECISION REQUIRED",IF(T535="NOT APPLICABLE","G N/A","G ACTIONABLE")))</x:f>
        <x:v>HELD — COVERAGE</x:v>
      </x:c>
      <x:c r="AC535" s="13" t="str">
        <x:f>IF(L535="UNRESOLVED","COVERAGE FIRST",IF(OR(L535="EXCLUDED",L535="OUT OF SCOPE"),"CLOSED BY COVERAGE",IF(AND(L535="COVERED",T535&lt;&gt;"UNRESOLVED"),"PARTIALLY ADOPTED","DECISIONS REMAIN")))</x:f>
        <x:v>COVERAGE FIRST</x:v>
      </x:c>
    </x:row>
    <x:row r="536">
      <x:c r="A536" s="13" t="str">
        <x:v>NAAFTC-HS6-090121</x:v>
      </x:c>
      <x:c r="B536" s="13" t="str">
        <x:v>090121</x:v>
      </x:c>
      <x:c r="C536" s="13" t="str">
        <x:v>09</x:v>
      </x:c>
      <x:c r="D536" s="13" t="str">
        <x:v>TRILATERAL_SPLIT_MERGE</x:v>
      </x:c>
      <x:c r="E536" s="13" t="str">
        <x:v>Pending</x:v>
      </x:c>
      <x:c r="F536" s="13" t="n">
        <x:v>8</x:v>
      </x:c>
      <x:c r="G536" s="13" t="n">
        <x:v>5</x:v>
      </x:c>
      <x:c r="H536" s="13" t="n">
        <x:v>1</x:v>
      </x:c>
      <x:c r="I536" s="13" t="str">
        <x:v>0901210015; 0901210020; 0901210025; 0901210029; 0901210040; 0901210049; +2 more</x:v>
      </x:c>
      <x:c r="J536" s="13" t="str">
        <x:v>0901210200; 0901210300; 0901210400; 0901219901; 0901219999</x:v>
      </x:c>
      <x:c r="K536" s="13" t="str">
        <x:v>09012100</x:v>
      </x:c>
      <x:c r="L536" s="13" t="str">
        <x:v>UNRESOLVED</x:v>
      </x:c>
      <x:c r="M536" s="13" t="str"/>
      <x:c r="N536" s="13" t="str">
        <x:v>NO / DEFAULT</x:v>
      </x:c>
      <x:c r="O536" s="13" t="str"/>
      <x:c r="P536" s="13" t="str">
        <x:v>NO / DEFAULT</x:v>
      </x:c>
      <x:c r="Q536" s="13" t="str"/>
      <x:c r="R536" s="13" t="str">
        <x:v>INDEPENDENT / DEFAULT</x:v>
      </x:c>
      <x:c r="S536" s="13" t="str"/>
      <x:c r="T536" s="13" t="str">
        <x:v>UNRESOLVED</x:v>
      </x:c>
      <x:c r="U536" s="13" t="str"/>
      <x:c r="V536" s="13" t="str"/>
      <x:c r="W536" s="13" t="str"/>
      <x:c r="X536" s="13" t="str">
        <x:f>IF(L536&lt;&gt;"COVERED","HELD — COVERAGE",IF(N536="YES — SENSITIVE","C ACTIONABLE","CHAPTER 5 DEFAULT"))</x:f>
        <x:v>HELD — COVERAGE</x:v>
      </x:c>
      <x:c r="Y536" s="13" t="str">
        <x:f>IF(L536&lt;&gt;"COVERED","HELD — COVERAGE",IF(P536="YES — MANAGED ACCESS","D ACTIONABLE","NO D FIELD"))</x:f>
        <x:v>HELD — COVERAGE</x:v>
      </x:c>
      <x:c r="Z536" s="13" t="str">
        <x:f>IF(L536&lt;&gt;"COVERED","HELD — COVERAGE",IF(OR(R536="PAIRED SYNCHRONIZED",R536="TRILATERAL SYNCHRONIZED"),"E ACTIONABLE","INDEPENDENT"))</x:f>
        <x:v>HELD — COVERAGE</x:v>
      </x:c>
      <x:c r="AA536" s="13" t="str">
        <x:f>IF(L536&lt;&gt;"COVERED","HELD — COVERAGE","WAIT FOR UPSTREAM COMPLETION")</x:f>
        <x:v>HELD — COVERAGE</x:v>
      </x:c>
      <x:c r="AB536" s="13" t="str">
        <x:f>IF(L536&lt;&gt;"COVERED","HELD — COVERAGE",IF(T536="UNRESOLVED","G DECISION REQUIRED",IF(T536="NOT APPLICABLE","G N/A","G ACTIONABLE")))</x:f>
        <x:v>HELD — COVERAGE</x:v>
      </x:c>
      <x:c r="AC536" s="13" t="str">
        <x:f>IF(L536="UNRESOLVED","COVERAGE FIRST",IF(OR(L536="EXCLUDED",L536="OUT OF SCOPE"),"CLOSED BY COVERAGE",IF(AND(L536="COVERED",T536&lt;&gt;"UNRESOLVED"),"PARTIALLY ADOPTED","DECISIONS REMAIN")))</x:f>
        <x:v>COVERAGE FIRST</x:v>
      </x:c>
    </x:row>
    <x:row r="537">
      <x:c r="A537" s="13" t="str">
        <x:v>NAAFTC-HS6-090122</x:v>
      </x:c>
      <x:c r="B537" s="13" t="str">
        <x:v>090122</x:v>
      </x:c>
      <x:c r="C537" s="13" t="str">
        <x:v>09</x:v>
      </x:c>
      <x:c r="D537" s="13" t="str">
        <x:v>TRILATERAL_SPLIT_MERGE</x:v>
      </x:c>
      <x:c r="E537" s="13" t="str">
        <x:v>Pending</x:v>
      </x:c>
      <x:c r="F537" s="13" t="n">
        <x:v>9</x:v>
      </x:c>
      <x:c r="G537" s="13" t="n">
        <x:v>5</x:v>
      </x:c>
      <x:c r="H537" s="13" t="n">
        <x:v>1</x:v>
      </x:c>
      <x:c r="I537" s="13" t="str">
        <x:v>0901220035; 0901220040; 0901220050; 0901220055; 0901220065; 0901220070; +3 more</x:v>
      </x:c>
      <x:c r="J537" s="13" t="str">
        <x:v>0901220200; 0901220300; 0901220400; 0901229901; 0901229999</x:v>
      </x:c>
      <x:c r="K537" s="13" t="str">
        <x:v>0901220000</x:v>
      </x:c>
      <x:c r="L537" s="13" t="str">
        <x:v>UNRESOLVED</x:v>
      </x:c>
      <x:c r="M537" s="13" t="str"/>
      <x:c r="N537" s="13" t="str">
        <x:v>NO / DEFAULT</x:v>
      </x:c>
      <x:c r="O537" s="13" t="str"/>
      <x:c r="P537" s="13" t="str">
        <x:v>NO / DEFAULT</x:v>
      </x:c>
      <x:c r="Q537" s="13" t="str"/>
      <x:c r="R537" s="13" t="str">
        <x:v>INDEPENDENT / DEFAULT</x:v>
      </x:c>
      <x:c r="S537" s="13" t="str"/>
      <x:c r="T537" s="13" t="str">
        <x:v>UNRESOLVED</x:v>
      </x:c>
      <x:c r="U537" s="13" t="str"/>
      <x:c r="V537" s="13" t="str"/>
      <x:c r="W537" s="13" t="str"/>
      <x:c r="X537" s="13" t="str">
        <x:f>IF(L537&lt;&gt;"COVERED","HELD — COVERAGE",IF(N537="YES — SENSITIVE","C ACTIONABLE","CHAPTER 5 DEFAULT"))</x:f>
        <x:v>HELD — COVERAGE</x:v>
      </x:c>
      <x:c r="Y537" s="13" t="str">
        <x:f>IF(L537&lt;&gt;"COVERED","HELD — COVERAGE",IF(P537="YES — MANAGED ACCESS","D ACTIONABLE","NO D FIELD"))</x:f>
        <x:v>HELD — COVERAGE</x:v>
      </x:c>
      <x:c r="Z537" s="13" t="str">
        <x:f>IF(L537&lt;&gt;"COVERED","HELD — COVERAGE",IF(OR(R537="PAIRED SYNCHRONIZED",R537="TRILATERAL SYNCHRONIZED"),"E ACTIONABLE","INDEPENDENT"))</x:f>
        <x:v>HELD — COVERAGE</x:v>
      </x:c>
      <x:c r="AA537" s="13" t="str">
        <x:f>IF(L537&lt;&gt;"COVERED","HELD — COVERAGE","WAIT FOR UPSTREAM COMPLETION")</x:f>
        <x:v>HELD — COVERAGE</x:v>
      </x:c>
      <x:c r="AB537" s="13" t="str">
        <x:f>IF(L537&lt;&gt;"COVERED","HELD — COVERAGE",IF(T537="UNRESOLVED","G DECISION REQUIRED",IF(T537="NOT APPLICABLE","G N/A","G ACTIONABLE")))</x:f>
        <x:v>HELD — COVERAGE</x:v>
      </x:c>
      <x:c r="AC537" s="13" t="str">
        <x:f>IF(L537="UNRESOLVED","COVERAGE FIRST",IF(OR(L537="EXCLUDED",L537="OUT OF SCOPE"),"CLOSED BY COVERAGE",IF(AND(L537="COVERED",T537&lt;&gt;"UNRESOLVED"),"PARTIALLY ADOPTED","DECISIONS REMAIN")))</x:f>
        <x:v>COVERAGE FIRST</x:v>
      </x:c>
    </x:row>
    <x:row r="538">
      <x:c r="A538" s="13" t="str">
        <x:v>NAAFTC-HS6-090190</x:v>
      </x:c>
      <x:c r="B538" s="13" t="str">
        <x:v>090190</x:v>
      </x:c>
      <x:c r="C538" s="13" t="str">
        <x:v>09</x:v>
      </x:c>
      <x:c r="D538" s="13" t="str">
        <x:v>TRILATERAL_SPLIT_MERGE</x:v>
      </x:c>
      <x:c r="E538" s="13" t="str">
        <x:v>Pending</x:v>
      </x:c>
      <x:c r="F538" s="13" t="n">
        <x:v>2</x:v>
      </x:c>
      <x:c r="G538" s="13" t="n">
        <x:v>1</x:v>
      </x:c>
      <x:c r="H538" s="13" t="n">
        <x:v>1</x:v>
      </x:c>
      <x:c r="I538" s="13" t="str">
        <x:v>0901901000; 0901902000</x:v>
      </x:c>
      <x:c r="J538" s="13" t="str">
        <x:v>0901909900</x:v>
      </x:c>
      <x:c r="K538" s="13" t="str">
        <x:v>0901900000</x:v>
      </x:c>
      <x:c r="L538" s="13" t="str">
        <x:v>UNRESOLVED</x:v>
      </x:c>
      <x:c r="M538" s="13" t="str"/>
      <x:c r="N538" s="13" t="str">
        <x:v>NO / DEFAULT</x:v>
      </x:c>
      <x:c r="O538" s="13" t="str"/>
      <x:c r="P538" s="13" t="str">
        <x:v>NO / DEFAULT</x:v>
      </x:c>
      <x:c r="Q538" s="13" t="str"/>
      <x:c r="R538" s="13" t="str">
        <x:v>INDEPENDENT / DEFAULT</x:v>
      </x:c>
      <x:c r="S538" s="13" t="str"/>
      <x:c r="T538" s="13" t="str">
        <x:v>UNRESOLVED</x:v>
      </x:c>
      <x:c r="U538" s="13" t="str"/>
      <x:c r="V538" s="13" t="str"/>
      <x:c r="W538" s="13" t="str"/>
      <x:c r="X538" s="13" t="str">
        <x:f>IF(L538&lt;&gt;"COVERED","HELD — COVERAGE",IF(N538="YES — SENSITIVE","C ACTIONABLE","CHAPTER 5 DEFAULT"))</x:f>
        <x:v>HELD — COVERAGE</x:v>
      </x:c>
      <x:c r="Y538" s="13" t="str">
        <x:f>IF(L538&lt;&gt;"COVERED","HELD — COVERAGE",IF(P538="YES — MANAGED ACCESS","D ACTIONABLE","NO D FIELD"))</x:f>
        <x:v>HELD — COVERAGE</x:v>
      </x:c>
      <x:c r="Z538" s="13" t="str">
        <x:f>IF(L538&lt;&gt;"COVERED","HELD — COVERAGE",IF(OR(R538="PAIRED SYNCHRONIZED",R538="TRILATERAL SYNCHRONIZED"),"E ACTIONABLE","INDEPENDENT"))</x:f>
        <x:v>HELD — COVERAGE</x:v>
      </x:c>
      <x:c r="AA538" s="13" t="str">
        <x:f>IF(L538&lt;&gt;"COVERED","HELD — COVERAGE","WAIT FOR UPSTREAM COMPLETION")</x:f>
        <x:v>HELD — COVERAGE</x:v>
      </x:c>
      <x:c r="AB538" s="13" t="str">
        <x:f>IF(L538&lt;&gt;"COVERED","HELD — COVERAGE",IF(T538="UNRESOLVED","G DECISION REQUIRED",IF(T538="NOT APPLICABLE","G N/A","G ACTIONABLE")))</x:f>
        <x:v>HELD — COVERAGE</x:v>
      </x:c>
      <x:c r="AC538" s="13" t="str">
        <x:f>IF(L538="UNRESOLVED","COVERAGE FIRST",IF(OR(L538="EXCLUDED",L538="OUT OF SCOPE"),"CLOSED BY COVERAGE",IF(AND(L538="COVERED",T538&lt;&gt;"UNRESOLVED"),"PARTIALLY ADOPTED","DECISIONS REMAIN")))</x:f>
        <x:v>COVERAGE FIRST</x:v>
      </x:c>
    </x:row>
    <x:row r="539">
      <x:c r="A539" s="13" t="str">
        <x:v>NAAFTC-HS6-090210</x:v>
      </x:c>
      <x:c r="B539" s="13" t="str">
        <x:v>090210</x:v>
      </x:c>
      <x:c r="C539" s="13" t="str">
        <x:v>09</x:v>
      </x:c>
      <x:c r="D539" s="13" t="str">
        <x:v>TRILATERAL_SPLIT_MERGE</x:v>
      </x:c>
      <x:c r="E539" s="13" t="str">
        <x:v>Pending</x:v>
      </x:c>
      <x:c r="F539" s="13" t="n">
        <x:v>4</x:v>
      </x:c>
      <x:c r="G539" s="13" t="n">
        <x:v>1</x:v>
      </x:c>
      <x:c r="H539" s="13" t="n">
        <x:v>2</x:v>
      </x:c>
      <x:c r="I539" s="13" t="str">
        <x:v>0902101015; 0902101050; 0902109015; 0902109050</x:v>
      </x:c>
      <x:c r="J539" s="13" t="str">
        <x:v>0902100100</x:v>
      </x:c>
      <x:c r="K539" s="13" t="str">
        <x:v>09021010; 09021090</x:v>
      </x:c>
      <x:c r="L539" s="13" t="str">
        <x:v>UNRESOLVED</x:v>
      </x:c>
      <x:c r="M539" s="13" t="str"/>
      <x:c r="N539" s="13" t="str">
        <x:v>NO / DEFAULT</x:v>
      </x:c>
      <x:c r="O539" s="13" t="str"/>
      <x:c r="P539" s="13" t="str">
        <x:v>NO / DEFAULT</x:v>
      </x:c>
      <x:c r="Q539" s="13" t="str"/>
      <x:c r="R539" s="13" t="str">
        <x:v>INDEPENDENT / DEFAULT</x:v>
      </x:c>
      <x:c r="S539" s="13" t="str"/>
      <x:c r="T539" s="13" t="str">
        <x:v>UNRESOLVED</x:v>
      </x:c>
      <x:c r="U539" s="13" t="str"/>
      <x:c r="V539" s="13" t="str"/>
      <x:c r="W539" s="13" t="str"/>
      <x:c r="X539" s="13" t="str">
        <x:f>IF(L539&lt;&gt;"COVERED","HELD — COVERAGE",IF(N539="YES — SENSITIVE","C ACTIONABLE","CHAPTER 5 DEFAULT"))</x:f>
        <x:v>HELD — COVERAGE</x:v>
      </x:c>
      <x:c r="Y539" s="13" t="str">
        <x:f>IF(L539&lt;&gt;"COVERED","HELD — COVERAGE",IF(P539="YES — MANAGED ACCESS","D ACTIONABLE","NO D FIELD"))</x:f>
        <x:v>HELD — COVERAGE</x:v>
      </x:c>
      <x:c r="Z539" s="13" t="str">
        <x:f>IF(L539&lt;&gt;"COVERED","HELD — COVERAGE",IF(OR(R539="PAIRED SYNCHRONIZED",R539="TRILATERAL SYNCHRONIZED"),"E ACTIONABLE","INDEPENDENT"))</x:f>
        <x:v>HELD — COVERAGE</x:v>
      </x:c>
      <x:c r="AA539" s="13" t="str">
        <x:f>IF(L539&lt;&gt;"COVERED","HELD — COVERAGE","WAIT FOR UPSTREAM COMPLETION")</x:f>
        <x:v>HELD — COVERAGE</x:v>
      </x:c>
      <x:c r="AB539" s="13" t="str">
        <x:f>IF(L539&lt;&gt;"COVERED","HELD — COVERAGE",IF(T539="UNRESOLVED","G DECISION REQUIRED",IF(T539="NOT APPLICABLE","G N/A","G ACTIONABLE")))</x:f>
        <x:v>HELD — COVERAGE</x:v>
      </x:c>
      <x:c r="AC539" s="13" t="str">
        <x:f>IF(L539="UNRESOLVED","COVERAGE FIRST",IF(OR(L539="EXCLUDED",L539="OUT OF SCOPE"),"CLOSED BY COVERAGE",IF(AND(L539="COVERED",T539&lt;&gt;"UNRESOLVED"),"PARTIALLY ADOPTED","DECISIONS REMAIN")))</x:f>
        <x:v>COVERAGE FIRST</x:v>
      </x:c>
    </x:row>
    <x:row r="540">
      <x:c r="A540" s="13" t="str">
        <x:v>NAAFTC-HS6-090220</x:v>
      </x:c>
      <x:c r="B540" s="13" t="str">
        <x:v>090220</x:v>
      </x:c>
      <x:c r="C540" s="13" t="str">
        <x:v>09</x:v>
      </x:c>
      <x:c r="D540" s="13" t="str">
        <x:v>TRILATERAL_SPLIT_MERGE</x:v>
      </x:c>
      <x:c r="E540" s="13" t="str">
        <x:v>Pending</x:v>
      </x:c>
      <x:c r="F540" s="13" t="n">
        <x:v>3</x:v>
      </x:c>
      <x:c r="G540" s="13" t="n">
        <x:v>1</x:v>
      </x:c>
      <x:c r="H540" s="13" t="n">
        <x:v>1</x:v>
      </x:c>
      <x:c r="I540" s="13" t="str">
        <x:v>0902201000; 0902209015; 0902209050</x:v>
      </x:c>
      <x:c r="J540" s="13" t="str">
        <x:v>0902200100</x:v>
      </x:c>
      <x:c r="K540" s="13" t="str">
        <x:v>09022000</x:v>
      </x:c>
      <x:c r="L540" s="13" t="str">
        <x:v>UNRESOLVED</x:v>
      </x:c>
      <x:c r="M540" s="13" t="str"/>
      <x:c r="N540" s="13" t="str">
        <x:v>NO / DEFAULT</x:v>
      </x:c>
      <x:c r="O540" s="13" t="str"/>
      <x:c r="P540" s="13" t="str">
        <x:v>NO / DEFAULT</x:v>
      </x:c>
      <x:c r="Q540" s="13" t="str"/>
      <x:c r="R540" s="13" t="str">
        <x:v>INDEPENDENT / DEFAULT</x:v>
      </x:c>
      <x:c r="S540" s="13" t="str"/>
      <x:c r="T540" s="13" t="str">
        <x:v>UNRESOLVED</x:v>
      </x:c>
      <x:c r="U540" s="13" t="str"/>
      <x:c r="V540" s="13" t="str"/>
      <x:c r="W540" s="13" t="str"/>
      <x:c r="X540" s="13" t="str">
        <x:f>IF(L540&lt;&gt;"COVERED","HELD — COVERAGE",IF(N540="YES — SENSITIVE","C ACTIONABLE","CHAPTER 5 DEFAULT"))</x:f>
        <x:v>HELD — COVERAGE</x:v>
      </x:c>
      <x:c r="Y540" s="13" t="str">
        <x:f>IF(L540&lt;&gt;"COVERED","HELD — COVERAGE",IF(P540="YES — MANAGED ACCESS","D ACTIONABLE","NO D FIELD"))</x:f>
        <x:v>HELD — COVERAGE</x:v>
      </x:c>
      <x:c r="Z540" s="13" t="str">
        <x:f>IF(L540&lt;&gt;"COVERED","HELD — COVERAGE",IF(OR(R540="PAIRED SYNCHRONIZED",R540="TRILATERAL SYNCHRONIZED"),"E ACTIONABLE","INDEPENDENT"))</x:f>
        <x:v>HELD — COVERAGE</x:v>
      </x:c>
      <x:c r="AA540" s="13" t="str">
        <x:f>IF(L540&lt;&gt;"COVERED","HELD — COVERAGE","WAIT FOR UPSTREAM COMPLETION")</x:f>
        <x:v>HELD — COVERAGE</x:v>
      </x:c>
      <x:c r="AB540" s="13" t="str">
        <x:f>IF(L540&lt;&gt;"COVERED","HELD — COVERAGE",IF(T540="UNRESOLVED","G DECISION REQUIRED",IF(T540="NOT APPLICABLE","G N/A","G ACTIONABLE")))</x:f>
        <x:v>HELD — COVERAGE</x:v>
      </x:c>
      <x:c r="AC540" s="13" t="str">
        <x:f>IF(L540="UNRESOLVED","COVERAGE FIRST",IF(OR(L540="EXCLUDED",L540="OUT OF SCOPE"),"CLOSED BY COVERAGE",IF(AND(L540="COVERED",T540&lt;&gt;"UNRESOLVED"),"PARTIALLY ADOPTED","DECISIONS REMAIN")))</x:f>
        <x:v>COVERAGE FIRST</x:v>
      </x:c>
    </x:row>
    <x:row r="541">
      <x:c r="A541" s="13" t="str">
        <x:v>NAAFTC-HS6-090230</x:v>
      </x:c>
      <x:c r="B541" s="13" t="str">
        <x:v>090230</x:v>
      </x:c>
      <x:c r="C541" s="13" t="str">
        <x:v>09</x:v>
      </x:c>
      <x:c r="D541" s="13" t="str">
        <x:v>TRILATERAL_SPLIT_MERGE</x:v>
      </x:c>
      <x:c r="E541" s="13" t="str">
        <x:v>Pending</x:v>
      </x:c>
      <x:c r="F541" s="13" t="n">
        <x:v>3</x:v>
      </x:c>
      <x:c r="G541" s="13" t="n">
        <x:v>1</x:v>
      </x:c>
      <x:c r="H541" s="13" t="n">
        <x:v>2</x:v>
      </x:c>
      <x:c r="I541" s="13" t="str">
        <x:v>0902300015; 0902300050; 0902300090</x:v>
      </x:c>
      <x:c r="J541" s="13" t="str">
        <x:v>0902300100</x:v>
      </x:c>
      <x:c r="K541" s="13" t="str">
        <x:v>09023010; 09023090</x:v>
      </x:c>
      <x:c r="L541" s="13" t="str">
        <x:v>UNRESOLVED</x:v>
      </x:c>
      <x:c r="M541" s="13" t="str"/>
      <x:c r="N541" s="13" t="str">
        <x:v>NO / DEFAULT</x:v>
      </x:c>
      <x:c r="O541" s="13" t="str"/>
      <x:c r="P541" s="13" t="str">
        <x:v>NO / DEFAULT</x:v>
      </x:c>
      <x:c r="Q541" s="13" t="str"/>
      <x:c r="R541" s="13" t="str">
        <x:v>INDEPENDENT / DEFAULT</x:v>
      </x:c>
      <x:c r="S541" s="13" t="str"/>
      <x:c r="T541" s="13" t="str">
        <x:v>UNRESOLVED</x:v>
      </x:c>
      <x:c r="U541" s="13" t="str"/>
      <x:c r="V541" s="13" t="str"/>
      <x:c r="W541" s="13" t="str"/>
      <x:c r="X541" s="13" t="str">
        <x:f>IF(L541&lt;&gt;"COVERED","HELD — COVERAGE",IF(N541="YES — SENSITIVE","C ACTIONABLE","CHAPTER 5 DEFAULT"))</x:f>
        <x:v>HELD — COVERAGE</x:v>
      </x:c>
      <x:c r="Y541" s="13" t="str">
        <x:f>IF(L541&lt;&gt;"COVERED","HELD — COVERAGE",IF(P541="YES — MANAGED ACCESS","D ACTIONABLE","NO D FIELD"))</x:f>
        <x:v>HELD — COVERAGE</x:v>
      </x:c>
      <x:c r="Z541" s="13" t="str">
        <x:f>IF(L541&lt;&gt;"COVERED","HELD — COVERAGE",IF(OR(R541="PAIRED SYNCHRONIZED",R541="TRILATERAL SYNCHRONIZED"),"E ACTIONABLE","INDEPENDENT"))</x:f>
        <x:v>HELD — COVERAGE</x:v>
      </x:c>
      <x:c r="AA541" s="13" t="str">
        <x:f>IF(L541&lt;&gt;"COVERED","HELD — COVERAGE","WAIT FOR UPSTREAM COMPLETION")</x:f>
        <x:v>HELD — COVERAGE</x:v>
      </x:c>
      <x:c r="AB541" s="13" t="str">
        <x:f>IF(L541&lt;&gt;"COVERED","HELD — COVERAGE",IF(T541="UNRESOLVED","G DECISION REQUIRED",IF(T541="NOT APPLICABLE","G N/A","G ACTIONABLE")))</x:f>
        <x:v>HELD — COVERAGE</x:v>
      </x:c>
      <x:c r="AC541" s="13" t="str">
        <x:f>IF(L541="UNRESOLVED","COVERAGE FIRST",IF(OR(L541="EXCLUDED",L541="OUT OF SCOPE"),"CLOSED BY COVERAGE",IF(AND(L541="COVERED",T541&lt;&gt;"UNRESOLVED"),"PARTIALLY ADOPTED","DECISIONS REMAIN")))</x:f>
        <x:v>COVERAGE FIRST</x:v>
      </x:c>
    </x:row>
    <x:row r="542">
      <x:c r="A542" s="13" t="str">
        <x:v>NAAFTC-HS6-090240</x:v>
      </x:c>
      <x:c r="B542" s="13" t="str">
        <x:v>090240</x:v>
      </x:c>
      <x:c r="C542" s="13" t="str">
        <x:v>09</x:v>
      </x:c>
      <x:c r="D542" s="13" t="str">
        <x:v>TRILATERAL_1_TO_1_TO_1</x:v>
      </x:c>
      <x:c r="E542" s="13" t="str">
        <x:v>Pending</x:v>
      </x:c>
      <x:c r="F542" s="13" t="n">
        <x:v>1</x:v>
      </x:c>
      <x:c r="G542" s="13" t="n">
        <x:v>1</x:v>
      </x:c>
      <x:c r="H542" s="13" t="n">
        <x:v>1</x:v>
      </x:c>
      <x:c r="I542" s="13" t="str">
        <x:v>0902400000</x:v>
      </x:c>
      <x:c r="J542" s="13" t="str">
        <x:v>0902400100</x:v>
      </x:c>
      <x:c r="K542" s="13" t="str">
        <x:v>09024000</x:v>
      </x:c>
      <x:c r="L542" s="13" t="str">
        <x:v>UNRESOLVED</x:v>
      </x:c>
      <x:c r="M542" s="13" t="str"/>
      <x:c r="N542" s="13" t="str">
        <x:v>NO / DEFAULT</x:v>
      </x:c>
      <x:c r="O542" s="13" t="str"/>
      <x:c r="P542" s="13" t="str">
        <x:v>NO / DEFAULT</x:v>
      </x:c>
      <x:c r="Q542" s="13" t="str"/>
      <x:c r="R542" s="13" t="str">
        <x:v>INDEPENDENT / DEFAULT</x:v>
      </x:c>
      <x:c r="S542" s="13" t="str"/>
      <x:c r="T542" s="13" t="str">
        <x:v>UNRESOLVED</x:v>
      </x:c>
      <x:c r="U542" s="13" t="str"/>
      <x:c r="V542" s="13" t="str"/>
      <x:c r="W542" s="13" t="str"/>
      <x:c r="X542" s="13" t="str">
        <x:f>IF(L542&lt;&gt;"COVERED","HELD — COVERAGE",IF(N542="YES — SENSITIVE","C ACTIONABLE","CHAPTER 5 DEFAULT"))</x:f>
        <x:v>HELD — COVERAGE</x:v>
      </x:c>
      <x:c r="Y542" s="13" t="str">
        <x:f>IF(L542&lt;&gt;"COVERED","HELD — COVERAGE",IF(P542="YES — MANAGED ACCESS","D ACTIONABLE","NO D FIELD"))</x:f>
        <x:v>HELD — COVERAGE</x:v>
      </x:c>
      <x:c r="Z542" s="13" t="str">
        <x:f>IF(L542&lt;&gt;"COVERED","HELD — COVERAGE",IF(OR(R542="PAIRED SYNCHRONIZED",R542="TRILATERAL SYNCHRONIZED"),"E ACTIONABLE","INDEPENDENT"))</x:f>
        <x:v>HELD — COVERAGE</x:v>
      </x:c>
      <x:c r="AA542" s="13" t="str">
        <x:f>IF(L542&lt;&gt;"COVERED","HELD — COVERAGE","WAIT FOR UPSTREAM COMPLETION")</x:f>
        <x:v>HELD — COVERAGE</x:v>
      </x:c>
      <x:c r="AB542" s="13" t="str">
        <x:f>IF(L542&lt;&gt;"COVERED","HELD — COVERAGE",IF(T542="UNRESOLVED","G DECISION REQUIRED",IF(T542="NOT APPLICABLE","G N/A","G ACTIONABLE")))</x:f>
        <x:v>HELD — COVERAGE</x:v>
      </x:c>
      <x:c r="AC542" s="13" t="str">
        <x:f>IF(L542="UNRESOLVED","COVERAGE FIRST",IF(OR(L542="EXCLUDED",L542="OUT OF SCOPE"),"CLOSED BY COVERAGE",IF(AND(L542="COVERED",T542&lt;&gt;"UNRESOLVED"),"PARTIALLY ADOPTED","DECISIONS REMAIN")))</x:f>
        <x:v>COVERAGE FIRST</x:v>
      </x:c>
    </x:row>
    <x:row r="543">
      <x:c r="A543" s="13" t="str">
        <x:v>NAAFTC-HS6-090300</x:v>
      </x:c>
      <x:c r="B543" s="13" t="str">
        <x:v>090300</x:v>
      </x:c>
      <x:c r="C543" s="13" t="str">
        <x:v>09</x:v>
      </x:c>
      <x:c r="D543" s="13" t="str">
        <x:v>TRILATERAL_1_TO_1_TO_1</x:v>
      </x:c>
      <x:c r="E543" s="13" t="str">
        <x:v>Pending</x:v>
      </x:c>
      <x:c r="F543" s="13" t="n">
        <x:v>1</x:v>
      </x:c>
      <x:c r="G543" s="13" t="n">
        <x:v>1</x:v>
      </x:c>
      <x:c r="H543" s="13" t="n">
        <x:v>1</x:v>
      </x:c>
      <x:c r="I543" s="13" t="str">
        <x:v>0903000000</x:v>
      </x:c>
      <x:c r="J543" s="13" t="str">
        <x:v>0903000100</x:v>
      </x:c>
      <x:c r="K543" s="13" t="str">
        <x:v>0903000000</x:v>
      </x:c>
      <x:c r="L543" s="13" t="str">
        <x:v>UNRESOLVED</x:v>
      </x:c>
      <x:c r="M543" s="13" t="str"/>
      <x:c r="N543" s="13" t="str">
        <x:v>NO / DEFAULT</x:v>
      </x:c>
      <x:c r="O543" s="13" t="str"/>
      <x:c r="P543" s="13" t="str">
        <x:v>NO / DEFAULT</x:v>
      </x:c>
      <x:c r="Q543" s="13" t="str"/>
      <x:c r="R543" s="13" t="str">
        <x:v>INDEPENDENT / DEFAULT</x:v>
      </x:c>
      <x:c r="S543" s="13" t="str"/>
      <x:c r="T543" s="13" t="str">
        <x:v>UNRESOLVED</x:v>
      </x:c>
      <x:c r="U543" s="13" t="str"/>
      <x:c r="V543" s="13" t="str"/>
      <x:c r="W543" s="13" t="str"/>
      <x:c r="X543" s="13" t="str">
        <x:f>IF(L543&lt;&gt;"COVERED","HELD — COVERAGE",IF(N543="YES — SENSITIVE","C ACTIONABLE","CHAPTER 5 DEFAULT"))</x:f>
        <x:v>HELD — COVERAGE</x:v>
      </x:c>
      <x:c r="Y543" s="13" t="str">
        <x:f>IF(L543&lt;&gt;"COVERED","HELD — COVERAGE",IF(P543="YES — MANAGED ACCESS","D ACTIONABLE","NO D FIELD"))</x:f>
        <x:v>HELD — COVERAGE</x:v>
      </x:c>
      <x:c r="Z543" s="13" t="str">
        <x:f>IF(L543&lt;&gt;"COVERED","HELD — COVERAGE",IF(OR(R543="PAIRED SYNCHRONIZED",R543="TRILATERAL SYNCHRONIZED"),"E ACTIONABLE","INDEPENDENT"))</x:f>
        <x:v>HELD — COVERAGE</x:v>
      </x:c>
      <x:c r="AA543" s="13" t="str">
        <x:f>IF(L543&lt;&gt;"COVERED","HELD — COVERAGE","WAIT FOR UPSTREAM COMPLETION")</x:f>
        <x:v>HELD — COVERAGE</x:v>
      </x:c>
      <x:c r="AB543" s="13" t="str">
        <x:f>IF(L543&lt;&gt;"COVERED","HELD — COVERAGE",IF(T543="UNRESOLVED","G DECISION REQUIRED",IF(T543="NOT APPLICABLE","G N/A","G ACTIONABLE")))</x:f>
        <x:v>HELD — COVERAGE</x:v>
      </x:c>
      <x:c r="AC543" s="13" t="str">
        <x:f>IF(L543="UNRESOLVED","COVERAGE FIRST",IF(OR(L543="EXCLUDED",L543="OUT OF SCOPE"),"CLOSED BY COVERAGE",IF(AND(L543="COVERED",T543&lt;&gt;"UNRESOLVED"),"PARTIALLY ADOPTED","DECISIONS REMAIN")))</x:f>
        <x:v>COVERAGE FIRST</x:v>
      </x:c>
    </x:row>
    <x:row r="544">
      <x:c r="A544" s="13" t="str">
        <x:v>NAAFTC-HS6-090411</x:v>
      </x:c>
      <x:c r="B544" s="13" t="str">
        <x:v>090411</x:v>
      </x:c>
      <x:c r="C544" s="13" t="str">
        <x:v>09</x:v>
      </x:c>
      <x:c r="D544" s="13" t="str">
        <x:v>TRILATERAL_SPLIT_MERGE</x:v>
      </x:c>
      <x:c r="E544" s="13" t="str">
        <x:v>Pending</x:v>
      </x:c>
      <x:c r="F544" s="13" t="n">
        <x:v>2</x:v>
      </x:c>
      <x:c r="G544" s="13" t="n">
        <x:v>1</x:v>
      </x:c>
      <x:c r="H544" s="13" t="n">
        <x:v>1</x:v>
      </x:c>
      <x:c r="I544" s="13" t="str">
        <x:v>0904110020; 0904110040</x:v>
      </x:c>
      <x:c r="J544" s="13" t="str">
        <x:v>0904110100</x:v>
      </x:c>
      <x:c r="K544" s="13" t="str">
        <x:v>0904110000</x:v>
      </x:c>
      <x:c r="L544" s="13" t="str">
        <x:v>UNRESOLVED</x:v>
      </x:c>
      <x:c r="M544" s="13" t="str"/>
      <x:c r="N544" s="13" t="str">
        <x:v>NO / DEFAULT</x:v>
      </x:c>
      <x:c r="O544" s="13" t="str"/>
      <x:c r="P544" s="13" t="str">
        <x:v>NO / DEFAULT</x:v>
      </x:c>
      <x:c r="Q544" s="13" t="str"/>
      <x:c r="R544" s="13" t="str">
        <x:v>INDEPENDENT / DEFAULT</x:v>
      </x:c>
      <x:c r="S544" s="13" t="str"/>
      <x:c r="T544" s="13" t="str">
        <x:v>UNRESOLVED</x:v>
      </x:c>
      <x:c r="U544" s="13" t="str"/>
      <x:c r="V544" s="13" t="str"/>
      <x:c r="W544" s="13" t="str"/>
      <x:c r="X544" s="13" t="str">
        <x:f>IF(L544&lt;&gt;"COVERED","HELD — COVERAGE",IF(N544="YES — SENSITIVE","C ACTIONABLE","CHAPTER 5 DEFAULT"))</x:f>
        <x:v>HELD — COVERAGE</x:v>
      </x:c>
      <x:c r="Y544" s="13" t="str">
        <x:f>IF(L544&lt;&gt;"COVERED","HELD — COVERAGE",IF(P544="YES — MANAGED ACCESS","D ACTIONABLE","NO D FIELD"))</x:f>
        <x:v>HELD — COVERAGE</x:v>
      </x:c>
      <x:c r="Z544" s="13" t="str">
        <x:f>IF(L544&lt;&gt;"COVERED","HELD — COVERAGE",IF(OR(R544="PAIRED SYNCHRONIZED",R544="TRILATERAL SYNCHRONIZED"),"E ACTIONABLE","INDEPENDENT"))</x:f>
        <x:v>HELD — COVERAGE</x:v>
      </x:c>
      <x:c r="AA544" s="13" t="str">
        <x:f>IF(L544&lt;&gt;"COVERED","HELD — COVERAGE","WAIT FOR UPSTREAM COMPLETION")</x:f>
        <x:v>HELD — COVERAGE</x:v>
      </x:c>
      <x:c r="AB544" s="13" t="str">
        <x:f>IF(L544&lt;&gt;"COVERED","HELD — COVERAGE",IF(T544="UNRESOLVED","G DECISION REQUIRED",IF(T544="NOT APPLICABLE","G N/A","G ACTIONABLE")))</x:f>
        <x:v>HELD — COVERAGE</x:v>
      </x:c>
      <x:c r="AC544" s="13" t="str">
        <x:f>IF(L544="UNRESOLVED","COVERAGE FIRST",IF(OR(L544="EXCLUDED",L544="OUT OF SCOPE"),"CLOSED BY COVERAGE",IF(AND(L544="COVERED",T544&lt;&gt;"UNRESOLVED"),"PARTIALLY ADOPTED","DECISIONS REMAIN")))</x:f>
        <x:v>COVERAGE FIRST</x:v>
      </x:c>
    </x:row>
    <x:row r="545">
      <x:c r="A545" s="13" t="str">
        <x:v>NAAFTC-HS6-090412</x:v>
      </x:c>
      <x:c r="B545" s="13" t="str">
        <x:v>090412</x:v>
      </x:c>
      <x:c r="C545" s="13" t="str">
        <x:v>09</x:v>
      </x:c>
      <x:c r="D545" s="13" t="str">
        <x:v>TRILATERAL_SPLIT_MERGE</x:v>
      </x:c>
      <x:c r="E545" s="13" t="str">
        <x:v>Pending</x:v>
      </x:c>
      <x:c r="F545" s="13" t="n">
        <x:v>1</x:v>
      </x:c>
      <x:c r="G545" s="13" t="n">
        <x:v>1</x:v>
      </x:c>
      <x:c r="H545" s="13" t="n">
        <x:v>2</x:v>
      </x:c>
      <x:c r="I545" s="13" t="str">
        <x:v>0904120000</x:v>
      </x:c>
      <x:c r="J545" s="13" t="str">
        <x:v>0904120100</x:v>
      </x:c>
      <x:c r="K545" s="13" t="str">
        <x:v>0904121000; 0904129000</x:v>
      </x:c>
      <x:c r="L545" s="13" t="str">
        <x:v>UNRESOLVED</x:v>
      </x:c>
      <x:c r="M545" s="13" t="str"/>
      <x:c r="N545" s="13" t="str">
        <x:v>NO / DEFAULT</x:v>
      </x:c>
      <x:c r="O545" s="13" t="str"/>
      <x:c r="P545" s="13" t="str">
        <x:v>NO / DEFAULT</x:v>
      </x:c>
      <x:c r="Q545" s="13" t="str"/>
      <x:c r="R545" s="13" t="str">
        <x:v>INDEPENDENT / DEFAULT</x:v>
      </x:c>
      <x:c r="S545" s="13" t="str"/>
      <x:c r="T545" s="13" t="str">
        <x:v>UNRESOLVED</x:v>
      </x:c>
      <x:c r="U545" s="13" t="str"/>
      <x:c r="V545" s="13" t="str"/>
      <x:c r="W545" s="13" t="str"/>
      <x:c r="X545" s="13" t="str">
        <x:f>IF(L545&lt;&gt;"COVERED","HELD — COVERAGE",IF(N545="YES — SENSITIVE","C ACTIONABLE","CHAPTER 5 DEFAULT"))</x:f>
        <x:v>HELD — COVERAGE</x:v>
      </x:c>
      <x:c r="Y545" s="13" t="str">
        <x:f>IF(L545&lt;&gt;"COVERED","HELD — COVERAGE",IF(P545="YES — MANAGED ACCESS","D ACTIONABLE","NO D FIELD"))</x:f>
        <x:v>HELD — COVERAGE</x:v>
      </x:c>
      <x:c r="Z545" s="13" t="str">
        <x:f>IF(L545&lt;&gt;"COVERED","HELD — COVERAGE",IF(OR(R545="PAIRED SYNCHRONIZED",R545="TRILATERAL SYNCHRONIZED"),"E ACTIONABLE","INDEPENDENT"))</x:f>
        <x:v>HELD — COVERAGE</x:v>
      </x:c>
      <x:c r="AA545" s="13" t="str">
        <x:f>IF(L545&lt;&gt;"COVERED","HELD — COVERAGE","WAIT FOR UPSTREAM COMPLETION")</x:f>
        <x:v>HELD — COVERAGE</x:v>
      </x:c>
      <x:c r="AB545" s="13" t="str">
        <x:f>IF(L545&lt;&gt;"COVERED","HELD — COVERAGE",IF(T545="UNRESOLVED","G DECISION REQUIRED",IF(T545="NOT APPLICABLE","G N/A","G ACTIONABLE")))</x:f>
        <x:v>HELD — COVERAGE</x:v>
      </x:c>
      <x:c r="AC545" s="13" t="str">
        <x:f>IF(L545="UNRESOLVED","COVERAGE FIRST",IF(OR(L545="EXCLUDED",L545="OUT OF SCOPE"),"CLOSED BY COVERAGE",IF(AND(L545="COVERED",T545&lt;&gt;"UNRESOLVED"),"PARTIALLY ADOPTED","DECISIONS REMAIN")))</x:f>
        <x:v>COVERAGE FIRST</x:v>
      </x:c>
    </x:row>
    <x:row r="546">
      <x:c r="A546" s="13" t="str">
        <x:v>NAAFTC-HS6-090421</x:v>
      </x:c>
      <x:c r="B546" s="13" t="str">
        <x:v>090421</x:v>
      </x:c>
      <x:c r="C546" s="13" t="str">
        <x:v>09</x:v>
      </x:c>
      <x:c r="D546" s="13" t="str">
        <x:v>TRILATERAL_SPLIT_MERGE</x:v>
      </x:c>
      <x:c r="E546" s="13" t="str">
        <x:v>Pending</x:v>
      </x:c>
      <x:c r="F546" s="13" t="n">
        <x:v>6</x:v>
      </x:c>
      <x:c r="G546" s="13" t="n">
        <x:v>2</x:v>
      </x:c>
      <x:c r="H546" s="13" t="n">
        <x:v>1</x:v>
      </x:c>
      <x:c r="I546" s="13" t="str">
        <x:v>0904212000; 0904214000; 0904216010; 0904216020; 0904216090; 0904218000</x:v>
      </x:c>
      <x:c r="J546" s="13" t="str">
        <x:v>0904210201; 0904210299</x:v>
      </x:c>
      <x:c r="K546" s="13" t="str">
        <x:v>0904210000</x:v>
      </x:c>
      <x:c r="L546" s="13" t="str">
        <x:v>UNRESOLVED</x:v>
      </x:c>
      <x:c r="M546" s="13" t="str"/>
      <x:c r="N546" s="13" t="str">
        <x:v>NO / DEFAULT</x:v>
      </x:c>
      <x:c r="O546" s="13" t="str"/>
      <x:c r="P546" s="13" t="str">
        <x:v>NO / DEFAULT</x:v>
      </x:c>
      <x:c r="Q546" s="13" t="str"/>
      <x:c r="R546" s="13" t="str">
        <x:v>INDEPENDENT / DEFAULT</x:v>
      </x:c>
      <x:c r="S546" s="13" t="str"/>
      <x:c r="T546" s="13" t="str">
        <x:v>UNRESOLVED</x:v>
      </x:c>
      <x:c r="U546" s="13" t="str"/>
      <x:c r="V546" s="13" t="str"/>
      <x:c r="W546" s="13" t="str"/>
      <x:c r="X546" s="13" t="str">
        <x:f>IF(L546&lt;&gt;"COVERED","HELD — COVERAGE",IF(N546="YES — SENSITIVE","C ACTIONABLE","CHAPTER 5 DEFAULT"))</x:f>
        <x:v>HELD — COVERAGE</x:v>
      </x:c>
      <x:c r="Y546" s="13" t="str">
        <x:f>IF(L546&lt;&gt;"COVERED","HELD — COVERAGE",IF(P546="YES — MANAGED ACCESS","D ACTIONABLE","NO D FIELD"))</x:f>
        <x:v>HELD — COVERAGE</x:v>
      </x:c>
      <x:c r="Z546" s="13" t="str">
        <x:f>IF(L546&lt;&gt;"COVERED","HELD — COVERAGE",IF(OR(R546="PAIRED SYNCHRONIZED",R546="TRILATERAL SYNCHRONIZED"),"E ACTIONABLE","INDEPENDENT"))</x:f>
        <x:v>HELD — COVERAGE</x:v>
      </x:c>
      <x:c r="AA546" s="13" t="str">
        <x:f>IF(L546&lt;&gt;"COVERED","HELD — COVERAGE","WAIT FOR UPSTREAM COMPLETION")</x:f>
        <x:v>HELD — COVERAGE</x:v>
      </x:c>
      <x:c r="AB546" s="13" t="str">
        <x:f>IF(L546&lt;&gt;"COVERED","HELD — COVERAGE",IF(T546="UNRESOLVED","G DECISION REQUIRED",IF(T546="NOT APPLICABLE","G N/A","G ACTIONABLE")))</x:f>
        <x:v>HELD — COVERAGE</x:v>
      </x:c>
      <x:c r="AC546" s="13" t="str">
        <x:f>IF(L546="UNRESOLVED","COVERAGE FIRST",IF(OR(L546="EXCLUDED",L546="OUT OF SCOPE"),"CLOSED BY COVERAGE",IF(AND(L546="COVERED",T546&lt;&gt;"UNRESOLVED"),"PARTIALLY ADOPTED","DECISIONS REMAIN")))</x:f>
        <x:v>COVERAGE FIRST</x:v>
      </x:c>
    </x:row>
    <x:row r="547">
      <x:c r="A547" s="13" t="str">
        <x:v>NAAFTC-HS6-090422</x:v>
      </x:c>
      <x:c r="B547" s="13" t="str">
        <x:v>090422</x:v>
      </x:c>
      <x:c r="C547" s="13" t="str">
        <x:v>09</x:v>
      </x:c>
      <x:c r="D547" s="13" t="str">
        <x:v>TRILATERAL_SPLIT_MERGE</x:v>
      </x:c>
      <x:c r="E547" s="13" t="str">
        <x:v>Pending</x:v>
      </x:c>
      <x:c r="F547" s="13" t="n">
        <x:v>5</x:v>
      </x:c>
      <x:c r="G547" s="13" t="n">
        <x:v>2</x:v>
      </x:c>
      <x:c r="H547" s="13" t="n">
        <x:v>1</x:v>
      </x:c>
      <x:c r="I547" s="13" t="str">
        <x:v>0904222000; 0904224000; 0904227300; 0904227600; 0904228000</x:v>
      </x:c>
      <x:c r="J547" s="13" t="str">
        <x:v>0904220201; 0904220299</x:v>
      </x:c>
      <x:c r="K547" s="13" t="str">
        <x:v>09042200</x:v>
      </x:c>
      <x:c r="L547" s="13" t="str">
        <x:v>UNRESOLVED</x:v>
      </x:c>
      <x:c r="M547" s="13" t="str"/>
      <x:c r="N547" s="13" t="str">
        <x:v>NO / DEFAULT</x:v>
      </x:c>
      <x:c r="O547" s="13" t="str"/>
      <x:c r="P547" s="13" t="str">
        <x:v>NO / DEFAULT</x:v>
      </x:c>
      <x:c r="Q547" s="13" t="str"/>
      <x:c r="R547" s="13" t="str">
        <x:v>INDEPENDENT / DEFAULT</x:v>
      </x:c>
      <x:c r="S547" s="13" t="str"/>
      <x:c r="T547" s="13" t="str">
        <x:v>UNRESOLVED</x:v>
      </x:c>
      <x:c r="U547" s="13" t="str"/>
      <x:c r="V547" s="13" t="str"/>
      <x:c r="W547" s="13" t="str"/>
      <x:c r="X547" s="13" t="str">
        <x:f>IF(L547&lt;&gt;"COVERED","HELD — COVERAGE",IF(N547="YES — SENSITIVE","C ACTIONABLE","CHAPTER 5 DEFAULT"))</x:f>
        <x:v>HELD — COVERAGE</x:v>
      </x:c>
      <x:c r="Y547" s="13" t="str">
        <x:f>IF(L547&lt;&gt;"COVERED","HELD — COVERAGE",IF(P547="YES — MANAGED ACCESS","D ACTIONABLE","NO D FIELD"))</x:f>
        <x:v>HELD — COVERAGE</x:v>
      </x:c>
      <x:c r="Z547" s="13" t="str">
        <x:f>IF(L547&lt;&gt;"COVERED","HELD — COVERAGE",IF(OR(R547="PAIRED SYNCHRONIZED",R547="TRILATERAL SYNCHRONIZED"),"E ACTIONABLE","INDEPENDENT"))</x:f>
        <x:v>HELD — COVERAGE</x:v>
      </x:c>
      <x:c r="AA547" s="13" t="str">
        <x:f>IF(L547&lt;&gt;"COVERED","HELD — COVERAGE","WAIT FOR UPSTREAM COMPLETION")</x:f>
        <x:v>HELD — COVERAGE</x:v>
      </x:c>
      <x:c r="AB547" s="13" t="str">
        <x:f>IF(L547&lt;&gt;"COVERED","HELD — COVERAGE",IF(T547="UNRESOLVED","G DECISION REQUIRED",IF(T547="NOT APPLICABLE","G N/A","G ACTIONABLE")))</x:f>
        <x:v>HELD — COVERAGE</x:v>
      </x:c>
      <x:c r="AC547" s="13" t="str">
        <x:f>IF(L547="UNRESOLVED","COVERAGE FIRST",IF(OR(L547="EXCLUDED",L547="OUT OF SCOPE"),"CLOSED BY COVERAGE",IF(AND(L547="COVERED",T547&lt;&gt;"UNRESOLVED"),"PARTIALLY ADOPTED","DECISIONS REMAIN")))</x:f>
        <x:v>COVERAGE FIRST</x:v>
      </x:c>
    </x:row>
    <x:row r="548">
      <x:c r="A548" s="13" t="str">
        <x:v>NAAFTC-HS6-090510</x:v>
      </x:c>
      <x:c r="B548" s="13" t="str">
        <x:v>090510</x:v>
      </x:c>
      <x:c r="C548" s="13" t="str">
        <x:v>09</x:v>
      </x:c>
      <x:c r="D548" s="13" t="str">
        <x:v>TRILATERAL_SPLIT_MERGE</x:v>
      </x:c>
      <x:c r="E548" s="13" t="str">
        <x:v>Pending</x:v>
      </x:c>
      <x:c r="F548" s="13" t="n">
        <x:v>1</x:v>
      </x:c>
      <x:c r="G548" s="13" t="n">
        <x:v>2</x:v>
      </x:c>
      <x:c r="H548" s="13" t="n">
        <x:v>1</x:v>
      </x:c>
      <x:c r="I548" s="13" t="str">
        <x:v>0905100000</x:v>
      </x:c>
      <x:c r="J548" s="13" t="str">
        <x:v>0905100200; 0905109900</x:v>
      </x:c>
      <x:c r="K548" s="13" t="str">
        <x:v>0905100000</x:v>
      </x:c>
      <x:c r="L548" s="13" t="str">
        <x:v>UNRESOLVED</x:v>
      </x:c>
      <x:c r="M548" s="13" t="str"/>
      <x:c r="N548" s="13" t="str">
        <x:v>NO / DEFAULT</x:v>
      </x:c>
      <x:c r="O548" s="13" t="str"/>
      <x:c r="P548" s="13" t="str">
        <x:v>NO / DEFAULT</x:v>
      </x:c>
      <x:c r="Q548" s="13" t="str"/>
      <x:c r="R548" s="13" t="str">
        <x:v>INDEPENDENT / DEFAULT</x:v>
      </x:c>
      <x:c r="S548" s="13" t="str"/>
      <x:c r="T548" s="13" t="str">
        <x:v>UNRESOLVED</x:v>
      </x:c>
      <x:c r="U548" s="13" t="str"/>
      <x:c r="V548" s="13" t="str"/>
      <x:c r="W548" s="13" t="str"/>
      <x:c r="X548" s="13" t="str">
        <x:f>IF(L548&lt;&gt;"COVERED","HELD — COVERAGE",IF(N548="YES — SENSITIVE","C ACTIONABLE","CHAPTER 5 DEFAULT"))</x:f>
        <x:v>HELD — COVERAGE</x:v>
      </x:c>
      <x:c r="Y548" s="13" t="str">
        <x:f>IF(L548&lt;&gt;"COVERED","HELD — COVERAGE",IF(P548="YES — MANAGED ACCESS","D ACTIONABLE","NO D FIELD"))</x:f>
        <x:v>HELD — COVERAGE</x:v>
      </x:c>
      <x:c r="Z548" s="13" t="str">
        <x:f>IF(L548&lt;&gt;"COVERED","HELD — COVERAGE",IF(OR(R548="PAIRED SYNCHRONIZED",R548="TRILATERAL SYNCHRONIZED"),"E ACTIONABLE","INDEPENDENT"))</x:f>
        <x:v>HELD — COVERAGE</x:v>
      </x:c>
      <x:c r="AA548" s="13" t="str">
        <x:f>IF(L548&lt;&gt;"COVERED","HELD — COVERAGE","WAIT FOR UPSTREAM COMPLETION")</x:f>
        <x:v>HELD — COVERAGE</x:v>
      </x:c>
      <x:c r="AB548" s="13" t="str">
        <x:f>IF(L548&lt;&gt;"COVERED","HELD — COVERAGE",IF(T548="UNRESOLVED","G DECISION REQUIRED",IF(T548="NOT APPLICABLE","G N/A","G ACTIONABLE")))</x:f>
        <x:v>HELD — COVERAGE</x:v>
      </x:c>
      <x:c r="AC548" s="13" t="str">
        <x:f>IF(L548="UNRESOLVED","COVERAGE FIRST",IF(OR(L548="EXCLUDED",L548="OUT OF SCOPE"),"CLOSED BY COVERAGE",IF(AND(L548="COVERED",T548&lt;&gt;"UNRESOLVED"),"PARTIALLY ADOPTED","DECISIONS REMAIN")))</x:f>
        <x:v>COVERAGE FIRST</x:v>
      </x:c>
    </x:row>
    <x:row r="549">
      <x:c r="A549" s="13" t="str">
        <x:v>NAAFTC-HS6-090520</x:v>
      </x:c>
      <x:c r="B549" s="13" t="str">
        <x:v>090520</x:v>
      </x:c>
      <x:c r="C549" s="13" t="str">
        <x:v>09</x:v>
      </x:c>
      <x:c r="D549" s="13" t="str">
        <x:v>TRILATERAL_SPLIT_MERGE</x:v>
      </x:c>
      <x:c r="E549" s="13" t="str">
        <x:v>Pending</x:v>
      </x:c>
      <x:c r="F549" s="13" t="n">
        <x:v>1</x:v>
      </x:c>
      <x:c r="G549" s="13" t="n">
        <x:v>2</x:v>
      </x:c>
      <x:c r="H549" s="13" t="n">
        <x:v>1</x:v>
      </x:c>
      <x:c r="I549" s="13" t="str">
        <x:v>0905200000</x:v>
      </x:c>
      <x:c r="J549" s="13" t="str">
        <x:v>0905200200; 0905209900</x:v>
      </x:c>
      <x:c r="K549" s="13" t="str">
        <x:v>0905200000</x:v>
      </x:c>
      <x:c r="L549" s="13" t="str">
        <x:v>UNRESOLVED</x:v>
      </x:c>
      <x:c r="M549" s="13" t="str"/>
      <x:c r="N549" s="13" t="str">
        <x:v>NO / DEFAULT</x:v>
      </x:c>
      <x:c r="O549" s="13" t="str"/>
      <x:c r="P549" s="13" t="str">
        <x:v>NO / DEFAULT</x:v>
      </x:c>
      <x:c r="Q549" s="13" t="str"/>
      <x:c r="R549" s="13" t="str">
        <x:v>INDEPENDENT / DEFAULT</x:v>
      </x:c>
      <x:c r="S549" s="13" t="str"/>
      <x:c r="T549" s="13" t="str">
        <x:v>UNRESOLVED</x:v>
      </x:c>
      <x:c r="U549" s="13" t="str"/>
      <x:c r="V549" s="13" t="str"/>
      <x:c r="W549" s="13" t="str"/>
      <x:c r="X549" s="13" t="str">
        <x:f>IF(L549&lt;&gt;"COVERED","HELD — COVERAGE",IF(N549="YES — SENSITIVE","C ACTIONABLE","CHAPTER 5 DEFAULT"))</x:f>
        <x:v>HELD — COVERAGE</x:v>
      </x:c>
      <x:c r="Y549" s="13" t="str">
        <x:f>IF(L549&lt;&gt;"COVERED","HELD — COVERAGE",IF(P549="YES — MANAGED ACCESS","D ACTIONABLE","NO D FIELD"))</x:f>
        <x:v>HELD — COVERAGE</x:v>
      </x:c>
      <x:c r="Z549" s="13" t="str">
        <x:f>IF(L549&lt;&gt;"COVERED","HELD — COVERAGE",IF(OR(R549="PAIRED SYNCHRONIZED",R549="TRILATERAL SYNCHRONIZED"),"E ACTIONABLE","INDEPENDENT"))</x:f>
        <x:v>HELD — COVERAGE</x:v>
      </x:c>
      <x:c r="AA549" s="13" t="str">
        <x:f>IF(L549&lt;&gt;"COVERED","HELD — COVERAGE","WAIT FOR UPSTREAM COMPLETION")</x:f>
        <x:v>HELD — COVERAGE</x:v>
      </x:c>
      <x:c r="AB549" s="13" t="str">
        <x:f>IF(L549&lt;&gt;"COVERED","HELD — COVERAGE",IF(T549="UNRESOLVED","G DECISION REQUIRED",IF(T549="NOT APPLICABLE","G N/A","G ACTIONABLE")))</x:f>
        <x:v>HELD — COVERAGE</x:v>
      </x:c>
      <x:c r="AC549" s="13" t="str">
        <x:f>IF(L549="UNRESOLVED","COVERAGE FIRST",IF(OR(L549="EXCLUDED",L549="OUT OF SCOPE"),"CLOSED BY COVERAGE",IF(AND(L549="COVERED",T549&lt;&gt;"UNRESOLVED"),"PARTIALLY ADOPTED","DECISIONS REMAIN")))</x:f>
        <x:v>COVERAGE FIRST</x:v>
      </x:c>
    </x:row>
    <x:row r="550">
      <x:c r="A550" s="13" t="str">
        <x:v>NAAFTC-HS6-090611</x:v>
      </x:c>
      <x:c r="B550" s="13" t="str">
        <x:v>090611</x:v>
      </x:c>
      <x:c r="C550" s="13" t="str">
        <x:v>09</x:v>
      </x:c>
      <x:c r="D550" s="13" t="str">
        <x:v>TRILATERAL_1_TO_1_TO_1</x:v>
      </x:c>
      <x:c r="E550" s="13" t="str">
        <x:v>Pending</x:v>
      </x:c>
      <x:c r="F550" s="13" t="n">
        <x:v>1</x:v>
      </x:c>
      <x:c r="G550" s="13" t="n">
        <x:v>1</x:v>
      </x:c>
      <x:c r="H550" s="13" t="n">
        <x:v>1</x:v>
      </x:c>
      <x:c r="I550" s="13" t="str">
        <x:v>0906110000</x:v>
      </x:c>
      <x:c r="J550" s="13" t="str">
        <x:v>0906110100</x:v>
      </x:c>
      <x:c r="K550" s="13" t="str">
        <x:v>0906110000</x:v>
      </x:c>
      <x:c r="L550" s="13" t="str">
        <x:v>UNRESOLVED</x:v>
      </x:c>
      <x:c r="M550" s="13" t="str"/>
      <x:c r="N550" s="13" t="str">
        <x:v>NO / DEFAULT</x:v>
      </x:c>
      <x:c r="O550" s="13" t="str"/>
      <x:c r="P550" s="13" t="str">
        <x:v>NO / DEFAULT</x:v>
      </x:c>
      <x:c r="Q550" s="13" t="str"/>
      <x:c r="R550" s="13" t="str">
        <x:v>INDEPENDENT / DEFAULT</x:v>
      </x:c>
      <x:c r="S550" s="13" t="str"/>
      <x:c r="T550" s="13" t="str">
        <x:v>UNRESOLVED</x:v>
      </x:c>
      <x:c r="U550" s="13" t="str"/>
      <x:c r="V550" s="13" t="str"/>
      <x:c r="W550" s="13" t="str"/>
      <x:c r="X550" s="13" t="str">
        <x:f>IF(L550&lt;&gt;"COVERED","HELD — COVERAGE",IF(N550="YES — SENSITIVE","C ACTIONABLE","CHAPTER 5 DEFAULT"))</x:f>
        <x:v>HELD — COVERAGE</x:v>
      </x:c>
      <x:c r="Y550" s="13" t="str">
        <x:f>IF(L550&lt;&gt;"COVERED","HELD — COVERAGE",IF(P550="YES — MANAGED ACCESS","D ACTIONABLE","NO D FIELD"))</x:f>
        <x:v>HELD — COVERAGE</x:v>
      </x:c>
      <x:c r="Z550" s="13" t="str">
        <x:f>IF(L550&lt;&gt;"COVERED","HELD — COVERAGE",IF(OR(R550="PAIRED SYNCHRONIZED",R550="TRILATERAL SYNCHRONIZED"),"E ACTIONABLE","INDEPENDENT"))</x:f>
        <x:v>HELD — COVERAGE</x:v>
      </x:c>
      <x:c r="AA550" s="13" t="str">
        <x:f>IF(L550&lt;&gt;"COVERED","HELD — COVERAGE","WAIT FOR UPSTREAM COMPLETION")</x:f>
        <x:v>HELD — COVERAGE</x:v>
      </x:c>
      <x:c r="AB550" s="13" t="str">
        <x:f>IF(L550&lt;&gt;"COVERED","HELD — COVERAGE",IF(T550="UNRESOLVED","G DECISION REQUIRED",IF(T550="NOT APPLICABLE","G N/A","G ACTIONABLE")))</x:f>
        <x:v>HELD — COVERAGE</x:v>
      </x:c>
      <x:c r="AC550" s="13" t="str">
        <x:f>IF(L550="UNRESOLVED","COVERAGE FIRST",IF(OR(L550="EXCLUDED",L550="OUT OF SCOPE"),"CLOSED BY COVERAGE",IF(AND(L550="COVERED",T550&lt;&gt;"UNRESOLVED"),"PARTIALLY ADOPTED","DECISIONS REMAIN")))</x:f>
        <x:v>COVERAGE FIRST</x:v>
      </x:c>
    </x:row>
    <x:row r="551">
      <x:c r="A551" s="13" t="str">
        <x:v>NAAFTC-HS6-090619</x:v>
      </x:c>
      <x:c r="B551" s="13" t="str">
        <x:v>090619</x:v>
      </x:c>
      <x:c r="C551" s="13" t="str">
        <x:v>09</x:v>
      </x:c>
      <x:c r="D551" s="13" t="str">
        <x:v>TRILATERAL_1_TO_1_TO_1</x:v>
      </x:c>
      <x:c r="E551" s="13" t="str">
        <x:v>Pending</x:v>
      </x:c>
      <x:c r="F551" s="13" t="n">
        <x:v>1</x:v>
      </x:c>
      <x:c r="G551" s="13" t="n">
        <x:v>1</x:v>
      </x:c>
      <x:c r="H551" s="13" t="n">
        <x:v>1</x:v>
      </x:c>
      <x:c r="I551" s="13" t="str">
        <x:v>0906190000</x:v>
      </x:c>
      <x:c r="J551" s="13" t="str">
        <x:v>0906199900</x:v>
      </x:c>
      <x:c r="K551" s="13" t="str">
        <x:v>0906190000</x:v>
      </x:c>
      <x:c r="L551" s="13" t="str">
        <x:v>UNRESOLVED</x:v>
      </x:c>
      <x:c r="M551" s="13" t="str"/>
      <x:c r="N551" s="13" t="str">
        <x:v>NO / DEFAULT</x:v>
      </x:c>
      <x:c r="O551" s="13" t="str"/>
      <x:c r="P551" s="13" t="str">
        <x:v>NO / DEFAULT</x:v>
      </x:c>
      <x:c r="Q551" s="13" t="str"/>
      <x:c r="R551" s="13" t="str">
        <x:v>INDEPENDENT / DEFAULT</x:v>
      </x:c>
      <x:c r="S551" s="13" t="str"/>
      <x:c r="T551" s="13" t="str">
        <x:v>UNRESOLVED</x:v>
      </x:c>
      <x:c r="U551" s="13" t="str"/>
      <x:c r="V551" s="13" t="str"/>
      <x:c r="W551" s="13" t="str"/>
      <x:c r="X551" s="13" t="str">
        <x:f>IF(L551&lt;&gt;"COVERED","HELD — COVERAGE",IF(N551="YES — SENSITIVE","C ACTIONABLE","CHAPTER 5 DEFAULT"))</x:f>
        <x:v>HELD — COVERAGE</x:v>
      </x:c>
      <x:c r="Y551" s="13" t="str">
        <x:f>IF(L551&lt;&gt;"COVERED","HELD — COVERAGE",IF(P551="YES — MANAGED ACCESS","D ACTIONABLE","NO D FIELD"))</x:f>
        <x:v>HELD — COVERAGE</x:v>
      </x:c>
      <x:c r="Z551" s="13" t="str">
        <x:f>IF(L551&lt;&gt;"COVERED","HELD — COVERAGE",IF(OR(R551="PAIRED SYNCHRONIZED",R551="TRILATERAL SYNCHRONIZED"),"E ACTIONABLE","INDEPENDENT"))</x:f>
        <x:v>HELD — COVERAGE</x:v>
      </x:c>
      <x:c r="AA551" s="13" t="str">
        <x:f>IF(L551&lt;&gt;"COVERED","HELD — COVERAGE","WAIT FOR UPSTREAM COMPLETION")</x:f>
        <x:v>HELD — COVERAGE</x:v>
      </x:c>
      <x:c r="AB551" s="13" t="str">
        <x:f>IF(L551&lt;&gt;"COVERED","HELD — COVERAGE",IF(T551="UNRESOLVED","G DECISION REQUIRED",IF(T551="NOT APPLICABLE","G N/A","G ACTIONABLE")))</x:f>
        <x:v>HELD — COVERAGE</x:v>
      </x:c>
      <x:c r="AC551" s="13" t="str">
        <x:f>IF(L551="UNRESOLVED","COVERAGE FIRST",IF(OR(L551="EXCLUDED",L551="OUT OF SCOPE"),"CLOSED BY COVERAGE",IF(AND(L551="COVERED",T551&lt;&gt;"UNRESOLVED"),"PARTIALLY ADOPTED","DECISIONS REMAIN")))</x:f>
        <x:v>COVERAGE FIRST</x:v>
      </x:c>
    </x:row>
    <x:row r="552">
      <x:c r="A552" s="13" t="str">
        <x:v>NAAFTC-HS6-090620</x:v>
      </x:c>
      <x:c r="B552" s="13" t="str">
        <x:v>090620</x:v>
      </x:c>
      <x:c r="C552" s="13" t="str">
        <x:v>09</x:v>
      </x:c>
      <x:c r="D552" s="13" t="str">
        <x:v>TRILATERAL_1_TO_1_TO_1</x:v>
      </x:c>
      <x:c r="E552" s="13" t="str">
        <x:v>Pending</x:v>
      </x:c>
      <x:c r="F552" s="13" t="n">
        <x:v>1</x:v>
      </x:c>
      <x:c r="G552" s="13" t="n">
        <x:v>1</x:v>
      </x:c>
      <x:c r="H552" s="13" t="n">
        <x:v>1</x:v>
      </x:c>
      <x:c r="I552" s="13" t="str">
        <x:v>0906200000</x:v>
      </x:c>
      <x:c r="J552" s="13" t="str">
        <x:v>0906200100</x:v>
      </x:c>
      <x:c r="K552" s="13" t="str">
        <x:v>0906200000</x:v>
      </x:c>
      <x:c r="L552" s="13" t="str">
        <x:v>UNRESOLVED</x:v>
      </x:c>
      <x:c r="M552" s="13" t="str"/>
      <x:c r="N552" s="13" t="str">
        <x:v>NO / DEFAULT</x:v>
      </x:c>
      <x:c r="O552" s="13" t="str"/>
      <x:c r="P552" s="13" t="str">
        <x:v>NO / DEFAULT</x:v>
      </x:c>
      <x:c r="Q552" s="13" t="str"/>
      <x:c r="R552" s="13" t="str">
        <x:v>INDEPENDENT / DEFAULT</x:v>
      </x:c>
      <x:c r="S552" s="13" t="str"/>
      <x:c r="T552" s="13" t="str">
        <x:v>UNRESOLVED</x:v>
      </x:c>
      <x:c r="U552" s="13" t="str"/>
      <x:c r="V552" s="13" t="str"/>
      <x:c r="W552" s="13" t="str"/>
      <x:c r="X552" s="13" t="str">
        <x:f>IF(L552&lt;&gt;"COVERED","HELD — COVERAGE",IF(N552="YES — SENSITIVE","C ACTIONABLE","CHAPTER 5 DEFAULT"))</x:f>
        <x:v>HELD — COVERAGE</x:v>
      </x:c>
      <x:c r="Y552" s="13" t="str">
        <x:f>IF(L552&lt;&gt;"COVERED","HELD — COVERAGE",IF(P552="YES — MANAGED ACCESS","D ACTIONABLE","NO D FIELD"))</x:f>
        <x:v>HELD — COVERAGE</x:v>
      </x:c>
      <x:c r="Z552" s="13" t="str">
        <x:f>IF(L552&lt;&gt;"COVERED","HELD — COVERAGE",IF(OR(R552="PAIRED SYNCHRONIZED",R552="TRILATERAL SYNCHRONIZED"),"E ACTIONABLE","INDEPENDENT"))</x:f>
        <x:v>HELD — COVERAGE</x:v>
      </x:c>
      <x:c r="AA552" s="13" t="str">
        <x:f>IF(L552&lt;&gt;"COVERED","HELD — COVERAGE","WAIT FOR UPSTREAM COMPLETION")</x:f>
        <x:v>HELD — COVERAGE</x:v>
      </x:c>
      <x:c r="AB552" s="13" t="str">
        <x:f>IF(L552&lt;&gt;"COVERED","HELD — COVERAGE",IF(T552="UNRESOLVED","G DECISION REQUIRED",IF(T552="NOT APPLICABLE","G N/A","G ACTIONABLE")))</x:f>
        <x:v>HELD — COVERAGE</x:v>
      </x:c>
      <x:c r="AC552" s="13" t="str">
        <x:f>IF(L552="UNRESOLVED","COVERAGE FIRST",IF(OR(L552="EXCLUDED",L552="OUT OF SCOPE"),"CLOSED BY COVERAGE",IF(AND(L552="COVERED",T552&lt;&gt;"UNRESOLVED"),"PARTIALLY ADOPTED","DECISIONS REMAIN")))</x:f>
        <x:v>COVERAGE FIRST</x:v>
      </x:c>
    </x:row>
    <x:row r="553">
      <x:c r="A553" s="13" t="str">
        <x:v>NAAFTC-HS6-090710</x:v>
      </x:c>
      <x:c r="B553" s="13" t="str">
        <x:v>090710</x:v>
      </x:c>
      <x:c r="C553" s="13" t="str">
        <x:v>09</x:v>
      </x:c>
      <x:c r="D553" s="13" t="str">
        <x:v>TRILATERAL_1_TO_1_TO_1</x:v>
      </x:c>
      <x:c r="E553" s="13" t="str">
        <x:v>Pending</x:v>
      </x:c>
      <x:c r="F553" s="13" t="n">
        <x:v>1</x:v>
      </x:c>
      <x:c r="G553" s="13" t="n">
        <x:v>1</x:v>
      </x:c>
      <x:c r="H553" s="13" t="n">
        <x:v>1</x:v>
      </x:c>
      <x:c r="I553" s="13" t="str">
        <x:v>0907100000</x:v>
      </x:c>
      <x:c r="J553" s="13" t="str">
        <x:v>0907100100</x:v>
      </x:c>
      <x:c r="K553" s="13" t="str">
        <x:v>0907100000</x:v>
      </x:c>
      <x:c r="L553" s="13" t="str">
        <x:v>UNRESOLVED</x:v>
      </x:c>
      <x:c r="M553" s="13" t="str"/>
      <x:c r="N553" s="13" t="str">
        <x:v>NO / DEFAULT</x:v>
      </x:c>
      <x:c r="O553" s="13" t="str"/>
      <x:c r="P553" s="13" t="str">
        <x:v>NO / DEFAULT</x:v>
      </x:c>
      <x:c r="Q553" s="13" t="str"/>
      <x:c r="R553" s="13" t="str">
        <x:v>INDEPENDENT / DEFAULT</x:v>
      </x:c>
      <x:c r="S553" s="13" t="str"/>
      <x:c r="T553" s="13" t="str">
        <x:v>UNRESOLVED</x:v>
      </x:c>
      <x:c r="U553" s="13" t="str"/>
      <x:c r="V553" s="13" t="str"/>
      <x:c r="W553" s="13" t="str"/>
      <x:c r="X553" s="13" t="str">
        <x:f>IF(L553&lt;&gt;"COVERED","HELD — COVERAGE",IF(N553="YES — SENSITIVE","C ACTIONABLE","CHAPTER 5 DEFAULT"))</x:f>
        <x:v>HELD — COVERAGE</x:v>
      </x:c>
      <x:c r="Y553" s="13" t="str">
        <x:f>IF(L553&lt;&gt;"COVERED","HELD — COVERAGE",IF(P553="YES — MANAGED ACCESS","D ACTIONABLE","NO D FIELD"))</x:f>
        <x:v>HELD — COVERAGE</x:v>
      </x:c>
      <x:c r="Z553" s="13" t="str">
        <x:f>IF(L553&lt;&gt;"COVERED","HELD — COVERAGE",IF(OR(R553="PAIRED SYNCHRONIZED",R553="TRILATERAL SYNCHRONIZED"),"E ACTIONABLE","INDEPENDENT"))</x:f>
        <x:v>HELD — COVERAGE</x:v>
      </x:c>
      <x:c r="AA553" s="13" t="str">
        <x:f>IF(L553&lt;&gt;"COVERED","HELD — COVERAGE","WAIT FOR UPSTREAM COMPLETION")</x:f>
        <x:v>HELD — COVERAGE</x:v>
      </x:c>
      <x:c r="AB553" s="13" t="str">
        <x:f>IF(L553&lt;&gt;"COVERED","HELD — COVERAGE",IF(T553="UNRESOLVED","G DECISION REQUIRED",IF(T553="NOT APPLICABLE","G N/A","G ACTIONABLE")))</x:f>
        <x:v>HELD — COVERAGE</x:v>
      </x:c>
      <x:c r="AC553" s="13" t="str">
        <x:f>IF(L553="UNRESOLVED","COVERAGE FIRST",IF(OR(L553="EXCLUDED",L553="OUT OF SCOPE"),"CLOSED BY COVERAGE",IF(AND(L553="COVERED",T553&lt;&gt;"UNRESOLVED"),"PARTIALLY ADOPTED","DECISIONS REMAIN")))</x:f>
        <x:v>COVERAGE FIRST</x:v>
      </x:c>
    </x:row>
    <x:row r="554">
      <x:c r="A554" s="13" t="str">
        <x:v>NAAFTC-HS6-090720</x:v>
      </x:c>
      <x:c r="B554" s="13" t="str">
        <x:v>090720</x:v>
      </x:c>
      <x:c r="C554" s="13" t="str">
        <x:v>09</x:v>
      </x:c>
      <x:c r="D554" s="13" t="str">
        <x:v>TRILATERAL_1_TO_1_TO_1</x:v>
      </x:c>
      <x:c r="E554" s="13" t="str">
        <x:v>Pending</x:v>
      </x:c>
      <x:c r="F554" s="13" t="n">
        <x:v>1</x:v>
      </x:c>
      <x:c r="G554" s="13" t="n">
        <x:v>1</x:v>
      </x:c>
      <x:c r="H554" s="13" t="n">
        <x:v>1</x:v>
      </x:c>
      <x:c r="I554" s="13" t="str">
        <x:v>0907200000</x:v>
      </x:c>
      <x:c r="J554" s="13" t="str">
        <x:v>0907200100</x:v>
      </x:c>
      <x:c r="K554" s="13" t="str">
        <x:v>0907200000</x:v>
      </x:c>
      <x:c r="L554" s="13" t="str">
        <x:v>UNRESOLVED</x:v>
      </x:c>
      <x:c r="M554" s="13" t="str"/>
      <x:c r="N554" s="13" t="str">
        <x:v>NO / DEFAULT</x:v>
      </x:c>
      <x:c r="O554" s="13" t="str"/>
      <x:c r="P554" s="13" t="str">
        <x:v>NO / DEFAULT</x:v>
      </x:c>
      <x:c r="Q554" s="13" t="str"/>
      <x:c r="R554" s="13" t="str">
        <x:v>INDEPENDENT / DEFAULT</x:v>
      </x:c>
      <x:c r="S554" s="13" t="str"/>
      <x:c r="T554" s="13" t="str">
        <x:v>UNRESOLVED</x:v>
      </x:c>
      <x:c r="U554" s="13" t="str"/>
      <x:c r="V554" s="13" t="str"/>
      <x:c r="W554" s="13" t="str"/>
      <x:c r="X554" s="13" t="str">
        <x:f>IF(L554&lt;&gt;"COVERED","HELD — COVERAGE",IF(N554="YES — SENSITIVE","C ACTIONABLE","CHAPTER 5 DEFAULT"))</x:f>
        <x:v>HELD — COVERAGE</x:v>
      </x:c>
      <x:c r="Y554" s="13" t="str">
        <x:f>IF(L554&lt;&gt;"COVERED","HELD — COVERAGE",IF(P554="YES — MANAGED ACCESS","D ACTIONABLE","NO D FIELD"))</x:f>
        <x:v>HELD — COVERAGE</x:v>
      </x:c>
      <x:c r="Z554" s="13" t="str">
        <x:f>IF(L554&lt;&gt;"COVERED","HELD — COVERAGE",IF(OR(R554="PAIRED SYNCHRONIZED",R554="TRILATERAL SYNCHRONIZED"),"E ACTIONABLE","INDEPENDENT"))</x:f>
        <x:v>HELD — COVERAGE</x:v>
      </x:c>
      <x:c r="AA554" s="13" t="str">
        <x:f>IF(L554&lt;&gt;"COVERED","HELD — COVERAGE","WAIT FOR UPSTREAM COMPLETION")</x:f>
        <x:v>HELD — COVERAGE</x:v>
      </x:c>
      <x:c r="AB554" s="13" t="str">
        <x:f>IF(L554&lt;&gt;"COVERED","HELD — COVERAGE",IF(T554="UNRESOLVED","G DECISION REQUIRED",IF(T554="NOT APPLICABLE","G N/A","G ACTIONABLE")))</x:f>
        <x:v>HELD — COVERAGE</x:v>
      </x:c>
      <x:c r="AC554" s="13" t="str">
        <x:f>IF(L554="UNRESOLVED","COVERAGE FIRST",IF(OR(L554="EXCLUDED",L554="OUT OF SCOPE"),"CLOSED BY COVERAGE",IF(AND(L554="COVERED",T554&lt;&gt;"UNRESOLVED"),"PARTIALLY ADOPTED","DECISIONS REMAIN")))</x:f>
        <x:v>COVERAGE FIRST</x:v>
      </x:c>
    </x:row>
    <x:row r="555">
      <x:c r="A555" s="13" t="str">
        <x:v>NAAFTC-HS6-090811</x:v>
      </x:c>
      <x:c r="B555" s="13" t="str">
        <x:v>090811</x:v>
      </x:c>
      <x:c r="C555" s="13" t="str">
        <x:v>09</x:v>
      </x:c>
      <x:c r="D555" s="13" t="str">
        <x:v>TRILATERAL_1_TO_1_TO_1</x:v>
      </x:c>
      <x:c r="E555" s="13" t="str">
        <x:v>Pending</x:v>
      </x:c>
      <x:c r="F555" s="13" t="n">
        <x:v>1</x:v>
      </x:c>
      <x:c r="G555" s="13" t="n">
        <x:v>1</x:v>
      </x:c>
      <x:c r="H555" s="13" t="n">
        <x:v>1</x:v>
      </x:c>
      <x:c r="I555" s="13" t="str">
        <x:v>0908110000</x:v>
      </x:c>
      <x:c r="J555" s="13" t="str">
        <x:v>0908110100</x:v>
      </x:c>
      <x:c r="K555" s="13" t="str">
        <x:v>0908110000</x:v>
      </x:c>
      <x:c r="L555" s="13" t="str">
        <x:v>UNRESOLVED</x:v>
      </x:c>
      <x:c r="M555" s="13" t="str"/>
      <x:c r="N555" s="13" t="str">
        <x:v>NO / DEFAULT</x:v>
      </x:c>
      <x:c r="O555" s="13" t="str"/>
      <x:c r="P555" s="13" t="str">
        <x:v>NO / DEFAULT</x:v>
      </x:c>
      <x:c r="Q555" s="13" t="str"/>
      <x:c r="R555" s="13" t="str">
        <x:v>INDEPENDENT / DEFAULT</x:v>
      </x:c>
      <x:c r="S555" s="13" t="str"/>
      <x:c r="T555" s="13" t="str">
        <x:v>UNRESOLVED</x:v>
      </x:c>
      <x:c r="U555" s="13" t="str"/>
      <x:c r="V555" s="13" t="str"/>
      <x:c r="W555" s="13" t="str"/>
      <x:c r="X555" s="13" t="str">
        <x:f>IF(L555&lt;&gt;"COVERED","HELD — COVERAGE",IF(N555="YES — SENSITIVE","C ACTIONABLE","CHAPTER 5 DEFAULT"))</x:f>
        <x:v>HELD — COVERAGE</x:v>
      </x:c>
      <x:c r="Y555" s="13" t="str">
        <x:f>IF(L555&lt;&gt;"COVERED","HELD — COVERAGE",IF(P555="YES — MANAGED ACCESS","D ACTIONABLE","NO D FIELD"))</x:f>
        <x:v>HELD — COVERAGE</x:v>
      </x:c>
      <x:c r="Z555" s="13" t="str">
        <x:f>IF(L555&lt;&gt;"COVERED","HELD — COVERAGE",IF(OR(R555="PAIRED SYNCHRONIZED",R555="TRILATERAL SYNCHRONIZED"),"E ACTIONABLE","INDEPENDENT"))</x:f>
        <x:v>HELD — COVERAGE</x:v>
      </x:c>
      <x:c r="AA555" s="13" t="str">
        <x:f>IF(L555&lt;&gt;"COVERED","HELD — COVERAGE","WAIT FOR UPSTREAM COMPLETION")</x:f>
        <x:v>HELD — COVERAGE</x:v>
      </x:c>
      <x:c r="AB555" s="13" t="str">
        <x:f>IF(L555&lt;&gt;"COVERED","HELD — COVERAGE",IF(T555="UNRESOLVED","G DECISION REQUIRED",IF(T555="NOT APPLICABLE","G N/A","G ACTIONABLE")))</x:f>
        <x:v>HELD — COVERAGE</x:v>
      </x:c>
      <x:c r="AC555" s="13" t="str">
        <x:f>IF(L555="UNRESOLVED","COVERAGE FIRST",IF(OR(L555="EXCLUDED",L555="OUT OF SCOPE"),"CLOSED BY COVERAGE",IF(AND(L555="COVERED",T555&lt;&gt;"UNRESOLVED"),"PARTIALLY ADOPTED","DECISIONS REMAIN")))</x:f>
        <x:v>COVERAGE FIRST</x:v>
      </x:c>
    </x:row>
    <x:row r="556">
      <x:c r="A556" s="13" t="str">
        <x:v>NAAFTC-HS6-090812</x:v>
      </x:c>
      <x:c r="B556" s="13" t="str">
        <x:v>090812</x:v>
      </x:c>
      <x:c r="C556" s="13" t="str">
        <x:v>09</x:v>
      </x:c>
      <x:c r="D556" s="13" t="str">
        <x:v>TRILATERAL_1_TO_1_TO_1</x:v>
      </x:c>
      <x:c r="E556" s="13" t="str">
        <x:v>Pending</x:v>
      </x:c>
      <x:c r="F556" s="13" t="n">
        <x:v>1</x:v>
      </x:c>
      <x:c r="G556" s="13" t="n">
        <x:v>1</x:v>
      </x:c>
      <x:c r="H556" s="13" t="n">
        <x:v>1</x:v>
      </x:c>
      <x:c r="I556" s="13" t="str">
        <x:v>0908120000</x:v>
      </x:c>
      <x:c r="J556" s="13" t="str">
        <x:v>0908120100</x:v>
      </x:c>
      <x:c r="K556" s="13" t="str">
        <x:v>0908120000</x:v>
      </x:c>
      <x:c r="L556" s="13" t="str">
        <x:v>UNRESOLVED</x:v>
      </x:c>
      <x:c r="M556" s="13" t="str"/>
      <x:c r="N556" s="13" t="str">
        <x:v>NO / DEFAULT</x:v>
      </x:c>
      <x:c r="O556" s="13" t="str"/>
      <x:c r="P556" s="13" t="str">
        <x:v>NO / DEFAULT</x:v>
      </x:c>
      <x:c r="Q556" s="13" t="str"/>
      <x:c r="R556" s="13" t="str">
        <x:v>INDEPENDENT / DEFAULT</x:v>
      </x:c>
      <x:c r="S556" s="13" t="str"/>
      <x:c r="T556" s="13" t="str">
        <x:v>UNRESOLVED</x:v>
      </x:c>
      <x:c r="U556" s="13" t="str"/>
      <x:c r="V556" s="13" t="str"/>
      <x:c r="W556" s="13" t="str"/>
      <x:c r="X556" s="13" t="str">
        <x:f>IF(L556&lt;&gt;"COVERED","HELD — COVERAGE",IF(N556="YES — SENSITIVE","C ACTIONABLE","CHAPTER 5 DEFAULT"))</x:f>
        <x:v>HELD — COVERAGE</x:v>
      </x:c>
      <x:c r="Y556" s="13" t="str">
        <x:f>IF(L556&lt;&gt;"COVERED","HELD — COVERAGE",IF(P556="YES — MANAGED ACCESS","D ACTIONABLE","NO D FIELD"))</x:f>
        <x:v>HELD — COVERAGE</x:v>
      </x:c>
      <x:c r="Z556" s="13" t="str">
        <x:f>IF(L556&lt;&gt;"COVERED","HELD — COVERAGE",IF(OR(R556="PAIRED SYNCHRONIZED",R556="TRILATERAL SYNCHRONIZED"),"E ACTIONABLE","INDEPENDENT"))</x:f>
        <x:v>HELD — COVERAGE</x:v>
      </x:c>
      <x:c r="AA556" s="13" t="str">
        <x:f>IF(L556&lt;&gt;"COVERED","HELD — COVERAGE","WAIT FOR UPSTREAM COMPLETION")</x:f>
        <x:v>HELD — COVERAGE</x:v>
      </x:c>
      <x:c r="AB556" s="13" t="str">
        <x:f>IF(L556&lt;&gt;"COVERED","HELD — COVERAGE",IF(T556="UNRESOLVED","G DECISION REQUIRED",IF(T556="NOT APPLICABLE","G N/A","G ACTIONABLE")))</x:f>
        <x:v>HELD — COVERAGE</x:v>
      </x:c>
      <x:c r="AC556" s="13" t="str">
        <x:f>IF(L556="UNRESOLVED","COVERAGE FIRST",IF(OR(L556="EXCLUDED",L556="OUT OF SCOPE"),"CLOSED BY COVERAGE",IF(AND(L556="COVERED",T556&lt;&gt;"UNRESOLVED"),"PARTIALLY ADOPTED","DECISIONS REMAIN")))</x:f>
        <x:v>COVERAGE FIRST</x:v>
      </x:c>
    </x:row>
    <x:row r="557">
      <x:c r="A557" s="13" t="str">
        <x:v>NAAFTC-HS6-090821</x:v>
      </x:c>
      <x:c r="B557" s="13" t="str">
        <x:v>090821</x:v>
      </x:c>
      <x:c r="C557" s="13" t="str">
        <x:v>09</x:v>
      </x:c>
      <x:c r="D557" s="13" t="str">
        <x:v>TRILATERAL_1_TO_1_TO_1</x:v>
      </x:c>
      <x:c r="E557" s="13" t="str">
        <x:v>Pending</x:v>
      </x:c>
      <x:c r="F557" s="13" t="n">
        <x:v>1</x:v>
      </x:c>
      <x:c r="G557" s="13" t="n">
        <x:v>1</x:v>
      </x:c>
      <x:c r="H557" s="13" t="n">
        <x:v>1</x:v>
      </x:c>
      <x:c r="I557" s="13" t="str">
        <x:v>0908210000</x:v>
      </x:c>
      <x:c r="J557" s="13" t="str">
        <x:v>0908210100</x:v>
      </x:c>
      <x:c r="K557" s="13" t="str">
        <x:v>0908210000</x:v>
      </x:c>
      <x:c r="L557" s="13" t="str">
        <x:v>UNRESOLVED</x:v>
      </x:c>
      <x:c r="M557" s="13" t="str"/>
      <x:c r="N557" s="13" t="str">
        <x:v>NO / DEFAULT</x:v>
      </x:c>
      <x:c r="O557" s="13" t="str"/>
      <x:c r="P557" s="13" t="str">
        <x:v>NO / DEFAULT</x:v>
      </x:c>
      <x:c r="Q557" s="13" t="str"/>
      <x:c r="R557" s="13" t="str">
        <x:v>INDEPENDENT / DEFAULT</x:v>
      </x:c>
      <x:c r="S557" s="13" t="str"/>
      <x:c r="T557" s="13" t="str">
        <x:v>UNRESOLVED</x:v>
      </x:c>
      <x:c r="U557" s="13" t="str"/>
      <x:c r="V557" s="13" t="str"/>
      <x:c r="W557" s="13" t="str"/>
      <x:c r="X557" s="13" t="str">
        <x:f>IF(L557&lt;&gt;"COVERED","HELD — COVERAGE",IF(N557="YES — SENSITIVE","C ACTIONABLE","CHAPTER 5 DEFAULT"))</x:f>
        <x:v>HELD — COVERAGE</x:v>
      </x:c>
      <x:c r="Y557" s="13" t="str">
        <x:f>IF(L557&lt;&gt;"COVERED","HELD — COVERAGE",IF(P557="YES — MANAGED ACCESS","D ACTIONABLE","NO D FIELD"))</x:f>
        <x:v>HELD — COVERAGE</x:v>
      </x:c>
      <x:c r="Z557" s="13" t="str">
        <x:f>IF(L557&lt;&gt;"COVERED","HELD — COVERAGE",IF(OR(R557="PAIRED SYNCHRONIZED",R557="TRILATERAL SYNCHRONIZED"),"E ACTIONABLE","INDEPENDENT"))</x:f>
        <x:v>HELD — COVERAGE</x:v>
      </x:c>
      <x:c r="AA557" s="13" t="str">
        <x:f>IF(L557&lt;&gt;"COVERED","HELD — COVERAGE","WAIT FOR UPSTREAM COMPLETION")</x:f>
        <x:v>HELD — COVERAGE</x:v>
      </x:c>
      <x:c r="AB557" s="13" t="str">
        <x:f>IF(L557&lt;&gt;"COVERED","HELD — COVERAGE",IF(T557="UNRESOLVED","G DECISION REQUIRED",IF(T557="NOT APPLICABLE","G N/A","G ACTIONABLE")))</x:f>
        <x:v>HELD — COVERAGE</x:v>
      </x:c>
      <x:c r="AC557" s="13" t="str">
        <x:f>IF(L557="UNRESOLVED","COVERAGE FIRST",IF(OR(L557="EXCLUDED",L557="OUT OF SCOPE"),"CLOSED BY COVERAGE",IF(AND(L557="COVERED",T557&lt;&gt;"UNRESOLVED"),"PARTIALLY ADOPTED","DECISIONS REMAIN")))</x:f>
        <x:v>COVERAGE FIRST</x:v>
      </x:c>
    </x:row>
    <x:row r="558">
      <x:c r="A558" s="13" t="str">
        <x:v>NAAFTC-HS6-090822</x:v>
      </x:c>
      <x:c r="B558" s="13" t="str">
        <x:v>090822</x:v>
      </x:c>
      <x:c r="C558" s="13" t="str">
        <x:v>09</x:v>
      </x:c>
      <x:c r="D558" s="13" t="str">
        <x:v>TRILATERAL_SPLIT_MERGE</x:v>
      </x:c>
      <x:c r="E558" s="13" t="str">
        <x:v>Pending</x:v>
      </x:c>
      <x:c r="F558" s="13" t="n">
        <x:v>2</x:v>
      </x:c>
      <x:c r="G558" s="13" t="n">
        <x:v>1</x:v>
      </x:c>
      <x:c r="H558" s="13" t="n">
        <x:v>1</x:v>
      </x:c>
      <x:c r="I558" s="13" t="str">
        <x:v>0908222000; 0908224000</x:v>
      </x:c>
      <x:c r="J558" s="13" t="str">
        <x:v>0908220100</x:v>
      </x:c>
      <x:c r="K558" s="13" t="str">
        <x:v>0908220000</x:v>
      </x:c>
      <x:c r="L558" s="13" t="str">
        <x:v>UNRESOLVED</x:v>
      </x:c>
      <x:c r="M558" s="13" t="str"/>
      <x:c r="N558" s="13" t="str">
        <x:v>NO / DEFAULT</x:v>
      </x:c>
      <x:c r="O558" s="13" t="str"/>
      <x:c r="P558" s="13" t="str">
        <x:v>NO / DEFAULT</x:v>
      </x:c>
      <x:c r="Q558" s="13" t="str"/>
      <x:c r="R558" s="13" t="str">
        <x:v>INDEPENDENT / DEFAULT</x:v>
      </x:c>
      <x:c r="S558" s="13" t="str"/>
      <x:c r="T558" s="13" t="str">
        <x:v>UNRESOLVED</x:v>
      </x:c>
      <x:c r="U558" s="13" t="str"/>
      <x:c r="V558" s="13" t="str"/>
      <x:c r="W558" s="13" t="str"/>
      <x:c r="X558" s="13" t="str">
        <x:f>IF(L558&lt;&gt;"COVERED","HELD — COVERAGE",IF(N558="YES — SENSITIVE","C ACTIONABLE","CHAPTER 5 DEFAULT"))</x:f>
        <x:v>HELD — COVERAGE</x:v>
      </x:c>
      <x:c r="Y558" s="13" t="str">
        <x:f>IF(L558&lt;&gt;"COVERED","HELD — COVERAGE",IF(P558="YES — MANAGED ACCESS","D ACTIONABLE","NO D FIELD"))</x:f>
        <x:v>HELD — COVERAGE</x:v>
      </x:c>
      <x:c r="Z558" s="13" t="str">
        <x:f>IF(L558&lt;&gt;"COVERED","HELD — COVERAGE",IF(OR(R558="PAIRED SYNCHRONIZED",R558="TRILATERAL SYNCHRONIZED"),"E ACTIONABLE","INDEPENDENT"))</x:f>
        <x:v>HELD — COVERAGE</x:v>
      </x:c>
      <x:c r="AA558" s="13" t="str">
        <x:f>IF(L558&lt;&gt;"COVERED","HELD — COVERAGE","WAIT FOR UPSTREAM COMPLETION")</x:f>
        <x:v>HELD — COVERAGE</x:v>
      </x:c>
      <x:c r="AB558" s="13" t="str">
        <x:f>IF(L558&lt;&gt;"COVERED","HELD — COVERAGE",IF(T558="UNRESOLVED","G DECISION REQUIRED",IF(T558="NOT APPLICABLE","G N/A","G ACTIONABLE")))</x:f>
        <x:v>HELD — COVERAGE</x:v>
      </x:c>
      <x:c r="AC558" s="13" t="str">
        <x:f>IF(L558="UNRESOLVED","COVERAGE FIRST",IF(OR(L558="EXCLUDED",L558="OUT OF SCOPE"),"CLOSED BY COVERAGE",IF(AND(L558="COVERED",T558&lt;&gt;"UNRESOLVED"),"PARTIALLY ADOPTED","DECISIONS REMAIN")))</x:f>
        <x:v>COVERAGE FIRST</x:v>
      </x:c>
    </x:row>
    <x:row r="559">
      <x:c r="A559" s="13" t="str">
        <x:v>NAAFTC-HS6-090831</x:v>
      </x:c>
      <x:c r="B559" s="13" t="str">
        <x:v>090831</x:v>
      </x:c>
      <x:c r="C559" s="13" t="str">
        <x:v>09</x:v>
      </x:c>
      <x:c r="D559" s="13" t="str">
        <x:v>TRILATERAL_1_TO_1_TO_1</x:v>
      </x:c>
      <x:c r="E559" s="13" t="str">
        <x:v>Pending</x:v>
      </x:c>
      <x:c r="F559" s="13" t="n">
        <x:v>1</x:v>
      </x:c>
      <x:c r="G559" s="13" t="n">
        <x:v>1</x:v>
      </x:c>
      <x:c r="H559" s="13" t="n">
        <x:v>1</x:v>
      </x:c>
      <x:c r="I559" s="13" t="str">
        <x:v>0908310000</x:v>
      </x:c>
      <x:c r="J559" s="13" t="str">
        <x:v>0908310100</x:v>
      </x:c>
      <x:c r="K559" s="13" t="str">
        <x:v>0908310000</x:v>
      </x:c>
      <x:c r="L559" s="13" t="str">
        <x:v>UNRESOLVED</x:v>
      </x:c>
      <x:c r="M559" s="13" t="str"/>
      <x:c r="N559" s="13" t="str">
        <x:v>NO / DEFAULT</x:v>
      </x:c>
      <x:c r="O559" s="13" t="str"/>
      <x:c r="P559" s="13" t="str">
        <x:v>NO / DEFAULT</x:v>
      </x:c>
      <x:c r="Q559" s="13" t="str"/>
      <x:c r="R559" s="13" t="str">
        <x:v>INDEPENDENT / DEFAULT</x:v>
      </x:c>
      <x:c r="S559" s="13" t="str"/>
      <x:c r="T559" s="13" t="str">
        <x:v>UNRESOLVED</x:v>
      </x:c>
      <x:c r="U559" s="13" t="str"/>
      <x:c r="V559" s="13" t="str"/>
      <x:c r="W559" s="13" t="str"/>
      <x:c r="X559" s="13" t="str">
        <x:f>IF(L559&lt;&gt;"COVERED","HELD — COVERAGE",IF(N559="YES — SENSITIVE","C ACTIONABLE","CHAPTER 5 DEFAULT"))</x:f>
        <x:v>HELD — COVERAGE</x:v>
      </x:c>
      <x:c r="Y559" s="13" t="str">
        <x:f>IF(L559&lt;&gt;"COVERED","HELD — COVERAGE",IF(P559="YES — MANAGED ACCESS","D ACTIONABLE","NO D FIELD"))</x:f>
        <x:v>HELD — COVERAGE</x:v>
      </x:c>
      <x:c r="Z559" s="13" t="str">
        <x:f>IF(L559&lt;&gt;"COVERED","HELD — COVERAGE",IF(OR(R559="PAIRED SYNCHRONIZED",R559="TRILATERAL SYNCHRONIZED"),"E ACTIONABLE","INDEPENDENT"))</x:f>
        <x:v>HELD — COVERAGE</x:v>
      </x:c>
      <x:c r="AA559" s="13" t="str">
        <x:f>IF(L559&lt;&gt;"COVERED","HELD — COVERAGE","WAIT FOR UPSTREAM COMPLETION")</x:f>
        <x:v>HELD — COVERAGE</x:v>
      </x:c>
      <x:c r="AB559" s="13" t="str">
        <x:f>IF(L559&lt;&gt;"COVERED","HELD — COVERAGE",IF(T559="UNRESOLVED","G DECISION REQUIRED",IF(T559="NOT APPLICABLE","G N/A","G ACTIONABLE")))</x:f>
        <x:v>HELD — COVERAGE</x:v>
      </x:c>
      <x:c r="AC559" s="13" t="str">
        <x:f>IF(L559="UNRESOLVED","COVERAGE FIRST",IF(OR(L559="EXCLUDED",L559="OUT OF SCOPE"),"CLOSED BY COVERAGE",IF(AND(L559="COVERED",T559&lt;&gt;"UNRESOLVED"),"PARTIALLY ADOPTED","DECISIONS REMAIN")))</x:f>
        <x:v>COVERAGE FIRST</x:v>
      </x:c>
    </x:row>
    <x:row r="560">
      <x:c r="A560" s="13" t="str">
        <x:v>NAAFTC-HS6-090832</x:v>
      </x:c>
      <x:c r="B560" s="13" t="str">
        <x:v>090832</x:v>
      </x:c>
      <x:c r="C560" s="13" t="str">
        <x:v>09</x:v>
      </x:c>
      <x:c r="D560" s="13" t="str">
        <x:v>TRILATERAL_1_TO_1_TO_1</x:v>
      </x:c>
      <x:c r="E560" s="13" t="str">
        <x:v>Pending</x:v>
      </x:c>
      <x:c r="F560" s="13" t="n">
        <x:v>1</x:v>
      </x:c>
      <x:c r="G560" s="13" t="n">
        <x:v>1</x:v>
      </x:c>
      <x:c r="H560" s="13" t="n">
        <x:v>1</x:v>
      </x:c>
      <x:c r="I560" s="13" t="str">
        <x:v>0908320000</x:v>
      </x:c>
      <x:c r="J560" s="13" t="str">
        <x:v>0908320100</x:v>
      </x:c>
      <x:c r="K560" s="13" t="str">
        <x:v>0908320000</x:v>
      </x:c>
      <x:c r="L560" s="13" t="str">
        <x:v>UNRESOLVED</x:v>
      </x:c>
      <x:c r="M560" s="13" t="str"/>
      <x:c r="N560" s="13" t="str">
        <x:v>NO / DEFAULT</x:v>
      </x:c>
      <x:c r="O560" s="13" t="str"/>
      <x:c r="P560" s="13" t="str">
        <x:v>NO / DEFAULT</x:v>
      </x:c>
      <x:c r="Q560" s="13" t="str"/>
      <x:c r="R560" s="13" t="str">
        <x:v>INDEPENDENT / DEFAULT</x:v>
      </x:c>
      <x:c r="S560" s="13" t="str"/>
      <x:c r="T560" s="13" t="str">
        <x:v>UNRESOLVED</x:v>
      </x:c>
      <x:c r="U560" s="13" t="str"/>
      <x:c r="V560" s="13" t="str"/>
      <x:c r="W560" s="13" t="str"/>
      <x:c r="X560" s="13" t="str">
        <x:f>IF(L560&lt;&gt;"COVERED","HELD — COVERAGE",IF(N560="YES — SENSITIVE","C ACTIONABLE","CHAPTER 5 DEFAULT"))</x:f>
        <x:v>HELD — COVERAGE</x:v>
      </x:c>
      <x:c r="Y560" s="13" t="str">
        <x:f>IF(L560&lt;&gt;"COVERED","HELD — COVERAGE",IF(P560="YES — MANAGED ACCESS","D ACTIONABLE","NO D FIELD"))</x:f>
        <x:v>HELD — COVERAGE</x:v>
      </x:c>
      <x:c r="Z560" s="13" t="str">
        <x:f>IF(L560&lt;&gt;"COVERED","HELD — COVERAGE",IF(OR(R560="PAIRED SYNCHRONIZED",R560="TRILATERAL SYNCHRONIZED"),"E ACTIONABLE","INDEPENDENT"))</x:f>
        <x:v>HELD — COVERAGE</x:v>
      </x:c>
      <x:c r="AA560" s="13" t="str">
        <x:f>IF(L560&lt;&gt;"COVERED","HELD — COVERAGE","WAIT FOR UPSTREAM COMPLETION")</x:f>
        <x:v>HELD — COVERAGE</x:v>
      </x:c>
      <x:c r="AB560" s="13" t="str">
        <x:f>IF(L560&lt;&gt;"COVERED","HELD — COVERAGE",IF(T560="UNRESOLVED","G DECISION REQUIRED",IF(T560="NOT APPLICABLE","G N/A","G ACTIONABLE")))</x:f>
        <x:v>HELD — COVERAGE</x:v>
      </x:c>
      <x:c r="AC560" s="13" t="str">
        <x:f>IF(L560="UNRESOLVED","COVERAGE FIRST",IF(OR(L560="EXCLUDED",L560="OUT OF SCOPE"),"CLOSED BY COVERAGE",IF(AND(L560="COVERED",T560&lt;&gt;"UNRESOLVED"),"PARTIALLY ADOPTED","DECISIONS REMAIN")))</x:f>
        <x:v>COVERAGE FIRST</x:v>
      </x:c>
    </x:row>
    <x:row r="561">
      <x:c r="A561" s="13" t="str">
        <x:v>NAAFTC-HS6-090921</x:v>
      </x:c>
      <x:c r="B561" s="13" t="str">
        <x:v>090921</x:v>
      </x:c>
      <x:c r="C561" s="13" t="str">
        <x:v>09</x:v>
      </x:c>
      <x:c r="D561" s="13" t="str">
        <x:v>TRILATERAL_1_TO_1_TO_1</x:v>
      </x:c>
      <x:c r="E561" s="13" t="str">
        <x:v>Pending</x:v>
      </x:c>
      <x:c r="F561" s="13" t="n">
        <x:v>1</x:v>
      </x:c>
      <x:c r="G561" s="13" t="n">
        <x:v>1</x:v>
      </x:c>
      <x:c r="H561" s="13" t="n">
        <x:v>1</x:v>
      </x:c>
      <x:c r="I561" s="13" t="str">
        <x:v>0909210000</x:v>
      </x:c>
      <x:c r="J561" s="13" t="str">
        <x:v>0909210100</x:v>
      </x:c>
      <x:c r="K561" s="13" t="str">
        <x:v>0909210000</x:v>
      </x:c>
      <x:c r="L561" s="13" t="str">
        <x:v>UNRESOLVED</x:v>
      </x:c>
      <x:c r="M561" s="13" t="str"/>
      <x:c r="N561" s="13" t="str">
        <x:v>NO / DEFAULT</x:v>
      </x:c>
      <x:c r="O561" s="13" t="str"/>
      <x:c r="P561" s="13" t="str">
        <x:v>NO / DEFAULT</x:v>
      </x:c>
      <x:c r="Q561" s="13" t="str"/>
      <x:c r="R561" s="13" t="str">
        <x:v>INDEPENDENT / DEFAULT</x:v>
      </x:c>
      <x:c r="S561" s="13" t="str"/>
      <x:c r="T561" s="13" t="str">
        <x:v>UNRESOLVED</x:v>
      </x:c>
      <x:c r="U561" s="13" t="str"/>
      <x:c r="V561" s="13" t="str"/>
      <x:c r="W561" s="13" t="str"/>
      <x:c r="X561" s="13" t="str">
        <x:f>IF(L561&lt;&gt;"COVERED","HELD — COVERAGE",IF(N561="YES — SENSITIVE","C ACTIONABLE","CHAPTER 5 DEFAULT"))</x:f>
        <x:v>HELD — COVERAGE</x:v>
      </x:c>
      <x:c r="Y561" s="13" t="str">
        <x:f>IF(L561&lt;&gt;"COVERED","HELD — COVERAGE",IF(P561="YES — MANAGED ACCESS","D ACTIONABLE","NO D FIELD"))</x:f>
        <x:v>HELD — COVERAGE</x:v>
      </x:c>
      <x:c r="Z561" s="13" t="str">
        <x:f>IF(L561&lt;&gt;"COVERED","HELD — COVERAGE",IF(OR(R561="PAIRED SYNCHRONIZED",R561="TRILATERAL SYNCHRONIZED"),"E ACTIONABLE","INDEPENDENT"))</x:f>
        <x:v>HELD — COVERAGE</x:v>
      </x:c>
      <x:c r="AA561" s="13" t="str">
        <x:f>IF(L561&lt;&gt;"COVERED","HELD — COVERAGE","WAIT FOR UPSTREAM COMPLETION")</x:f>
        <x:v>HELD — COVERAGE</x:v>
      </x:c>
      <x:c r="AB561" s="13" t="str">
        <x:f>IF(L561&lt;&gt;"COVERED","HELD — COVERAGE",IF(T561="UNRESOLVED","G DECISION REQUIRED",IF(T561="NOT APPLICABLE","G N/A","G ACTIONABLE")))</x:f>
        <x:v>HELD — COVERAGE</x:v>
      </x:c>
      <x:c r="AC561" s="13" t="str">
        <x:f>IF(L561="UNRESOLVED","COVERAGE FIRST",IF(OR(L561="EXCLUDED",L561="OUT OF SCOPE"),"CLOSED BY COVERAGE",IF(AND(L561="COVERED",T561&lt;&gt;"UNRESOLVED"),"PARTIALLY ADOPTED","DECISIONS REMAIN")))</x:f>
        <x:v>COVERAGE FIRST</x:v>
      </x:c>
    </x:row>
    <x:row r="562">
      <x:c r="A562" s="13" t="str">
        <x:v>NAAFTC-HS6-090922</x:v>
      </x:c>
      <x:c r="B562" s="13" t="str">
        <x:v>090922</x:v>
      </x:c>
      <x:c r="C562" s="13" t="str">
        <x:v>09</x:v>
      </x:c>
      <x:c r="D562" s="13" t="str">
        <x:v>TRILATERAL_1_TO_1_TO_1</x:v>
      </x:c>
      <x:c r="E562" s="13" t="str">
        <x:v>Pending</x:v>
      </x:c>
      <x:c r="F562" s="13" t="n">
        <x:v>1</x:v>
      </x:c>
      <x:c r="G562" s="13" t="n">
        <x:v>1</x:v>
      </x:c>
      <x:c r="H562" s="13" t="n">
        <x:v>1</x:v>
      </x:c>
      <x:c r="I562" s="13" t="str">
        <x:v>0909220000</x:v>
      </x:c>
      <x:c r="J562" s="13" t="str">
        <x:v>0909220100</x:v>
      </x:c>
      <x:c r="K562" s="13" t="str">
        <x:v>0909220000</x:v>
      </x:c>
      <x:c r="L562" s="13" t="str">
        <x:v>UNRESOLVED</x:v>
      </x:c>
      <x:c r="M562" s="13" t="str"/>
      <x:c r="N562" s="13" t="str">
        <x:v>NO / DEFAULT</x:v>
      </x:c>
      <x:c r="O562" s="13" t="str"/>
      <x:c r="P562" s="13" t="str">
        <x:v>NO / DEFAULT</x:v>
      </x:c>
      <x:c r="Q562" s="13" t="str"/>
      <x:c r="R562" s="13" t="str">
        <x:v>INDEPENDENT / DEFAULT</x:v>
      </x:c>
      <x:c r="S562" s="13" t="str"/>
      <x:c r="T562" s="13" t="str">
        <x:v>UNRESOLVED</x:v>
      </x:c>
      <x:c r="U562" s="13" t="str"/>
      <x:c r="V562" s="13" t="str"/>
      <x:c r="W562" s="13" t="str"/>
      <x:c r="X562" s="13" t="str">
        <x:f>IF(L562&lt;&gt;"COVERED","HELD — COVERAGE",IF(N562="YES — SENSITIVE","C ACTIONABLE","CHAPTER 5 DEFAULT"))</x:f>
        <x:v>HELD — COVERAGE</x:v>
      </x:c>
      <x:c r="Y562" s="13" t="str">
        <x:f>IF(L562&lt;&gt;"COVERED","HELD — COVERAGE",IF(P562="YES — MANAGED ACCESS","D ACTIONABLE","NO D FIELD"))</x:f>
        <x:v>HELD — COVERAGE</x:v>
      </x:c>
      <x:c r="Z562" s="13" t="str">
        <x:f>IF(L562&lt;&gt;"COVERED","HELD — COVERAGE",IF(OR(R562="PAIRED SYNCHRONIZED",R562="TRILATERAL SYNCHRONIZED"),"E ACTIONABLE","INDEPENDENT"))</x:f>
        <x:v>HELD — COVERAGE</x:v>
      </x:c>
      <x:c r="AA562" s="13" t="str">
        <x:f>IF(L562&lt;&gt;"COVERED","HELD — COVERAGE","WAIT FOR UPSTREAM COMPLETION")</x:f>
        <x:v>HELD — COVERAGE</x:v>
      </x:c>
      <x:c r="AB562" s="13" t="str">
        <x:f>IF(L562&lt;&gt;"COVERED","HELD — COVERAGE",IF(T562="UNRESOLVED","G DECISION REQUIRED",IF(T562="NOT APPLICABLE","G N/A","G ACTIONABLE")))</x:f>
        <x:v>HELD — COVERAGE</x:v>
      </x:c>
      <x:c r="AC562" s="13" t="str">
        <x:f>IF(L562="UNRESOLVED","COVERAGE FIRST",IF(OR(L562="EXCLUDED",L562="OUT OF SCOPE"),"CLOSED BY COVERAGE",IF(AND(L562="COVERED",T562&lt;&gt;"UNRESOLVED"),"PARTIALLY ADOPTED","DECISIONS REMAIN")))</x:f>
        <x:v>COVERAGE FIRST</x:v>
      </x:c>
    </x:row>
    <x:row r="563">
      <x:c r="A563" s="13" t="str">
        <x:v>NAAFTC-HS6-090931</x:v>
      </x:c>
      <x:c r="B563" s="13" t="str">
        <x:v>090931</x:v>
      </x:c>
      <x:c r="C563" s="13" t="str">
        <x:v>09</x:v>
      </x:c>
      <x:c r="D563" s="13" t="str">
        <x:v>TRILATERAL_1_TO_1_TO_1</x:v>
      </x:c>
      <x:c r="E563" s="13" t="str">
        <x:v>Pending</x:v>
      </x:c>
      <x:c r="F563" s="13" t="n">
        <x:v>1</x:v>
      </x:c>
      <x:c r="G563" s="13" t="n">
        <x:v>1</x:v>
      </x:c>
      <x:c r="H563" s="13" t="n">
        <x:v>1</x:v>
      </x:c>
      <x:c r="I563" s="13" t="str">
        <x:v>0909310000</x:v>
      </x:c>
      <x:c r="J563" s="13" t="str">
        <x:v>0909310100</x:v>
      </x:c>
      <x:c r="K563" s="13" t="str">
        <x:v>0909310000</x:v>
      </x:c>
      <x:c r="L563" s="13" t="str">
        <x:v>UNRESOLVED</x:v>
      </x:c>
      <x:c r="M563" s="13" t="str"/>
      <x:c r="N563" s="13" t="str">
        <x:v>NO / DEFAULT</x:v>
      </x:c>
      <x:c r="O563" s="13" t="str"/>
      <x:c r="P563" s="13" t="str">
        <x:v>NO / DEFAULT</x:v>
      </x:c>
      <x:c r="Q563" s="13" t="str"/>
      <x:c r="R563" s="13" t="str">
        <x:v>INDEPENDENT / DEFAULT</x:v>
      </x:c>
      <x:c r="S563" s="13" t="str"/>
      <x:c r="T563" s="13" t="str">
        <x:v>UNRESOLVED</x:v>
      </x:c>
      <x:c r="U563" s="13" t="str"/>
      <x:c r="V563" s="13" t="str"/>
      <x:c r="W563" s="13" t="str"/>
      <x:c r="X563" s="13" t="str">
        <x:f>IF(L563&lt;&gt;"COVERED","HELD — COVERAGE",IF(N563="YES — SENSITIVE","C ACTIONABLE","CHAPTER 5 DEFAULT"))</x:f>
        <x:v>HELD — COVERAGE</x:v>
      </x:c>
      <x:c r="Y563" s="13" t="str">
        <x:f>IF(L563&lt;&gt;"COVERED","HELD — COVERAGE",IF(P563="YES — MANAGED ACCESS","D ACTIONABLE","NO D FIELD"))</x:f>
        <x:v>HELD — COVERAGE</x:v>
      </x:c>
      <x:c r="Z563" s="13" t="str">
        <x:f>IF(L563&lt;&gt;"COVERED","HELD — COVERAGE",IF(OR(R563="PAIRED SYNCHRONIZED",R563="TRILATERAL SYNCHRONIZED"),"E ACTIONABLE","INDEPENDENT"))</x:f>
        <x:v>HELD — COVERAGE</x:v>
      </x:c>
      <x:c r="AA563" s="13" t="str">
        <x:f>IF(L563&lt;&gt;"COVERED","HELD — COVERAGE","WAIT FOR UPSTREAM COMPLETION")</x:f>
        <x:v>HELD — COVERAGE</x:v>
      </x:c>
      <x:c r="AB563" s="13" t="str">
        <x:f>IF(L563&lt;&gt;"COVERED","HELD — COVERAGE",IF(T563="UNRESOLVED","G DECISION REQUIRED",IF(T563="NOT APPLICABLE","G N/A","G ACTIONABLE")))</x:f>
        <x:v>HELD — COVERAGE</x:v>
      </x:c>
      <x:c r="AC563" s="13" t="str">
        <x:f>IF(L563="UNRESOLVED","COVERAGE FIRST",IF(OR(L563="EXCLUDED",L563="OUT OF SCOPE"),"CLOSED BY COVERAGE",IF(AND(L563="COVERED",T563&lt;&gt;"UNRESOLVED"),"PARTIALLY ADOPTED","DECISIONS REMAIN")))</x:f>
        <x:v>COVERAGE FIRST</x:v>
      </x:c>
    </x:row>
    <x:row r="564">
      <x:c r="A564" s="13" t="str">
        <x:v>NAAFTC-HS6-090932</x:v>
      </x:c>
      <x:c r="B564" s="13" t="str">
        <x:v>090932</x:v>
      </x:c>
      <x:c r="C564" s="13" t="str">
        <x:v>09</x:v>
      </x:c>
      <x:c r="D564" s="13" t="str">
        <x:v>TRILATERAL_1_TO_1_TO_1</x:v>
      </x:c>
      <x:c r="E564" s="13" t="str">
        <x:v>Pending</x:v>
      </x:c>
      <x:c r="F564" s="13" t="n">
        <x:v>1</x:v>
      </x:c>
      <x:c r="G564" s="13" t="n">
        <x:v>1</x:v>
      </x:c>
      <x:c r="H564" s="13" t="n">
        <x:v>1</x:v>
      </x:c>
      <x:c r="I564" s="13" t="str">
        <x:v>0909320000</x:v>
      </x:c>
      <x:c r="J564" s="13" t="str">
        <x:v>0909320100</x:v>
      </x:c>
      <x:c r="K564" s="13" t="str">
        <x:v>0909320000</x:v>
      </x:c>
      <x:c r="L564" s="13" t="str">
        <x:v>UNRESOLVED</x:v>
      </x:c>
      <x:c r="M564" s="13" t="str"/>
      <x:c r="N564" s="13" t="str">
        <x:v>NO / DEFAULT</x:v>
      </x:c>
      <x:c r="O564" s="13" t="str"/>
      <x:c r="P564" s="13" t="str">
        <x:v>NO / DEFAULT</x:v>
      </x:c>
      <x:c r="Q564" s="13" t="str"/>
      <x:c r="R564" s="13" t="str">
        <x:v>INDEPENDENT / DEFAULT</x:v>
      </x:c>
      <x:c r="S564" s="13" t="str"/>
      <x:c r="T564" s="13" t="str">
        <x:v>UNRESOLVED</x:v>
      </x:c>
      <x:c r="U564" s="13" t="str"/>
      <x:c r="V564" s="13" t="str"/>
      <x:c r="W564" s="13" t="str"/>
      <x:c r="X564" s="13" t="str">
        <x:f>IF(L564&lt;&gt;"COVERED","HELD — COVERAGE",IF(N564="YES — SENSITIVE","C ACTIONABLE","CHAPTER 5 DEFAULT"))</x:f>
        <x:v>HELD — COVERAGE</x:v>
      </x:c>
      <x:c r="Y564" s="13" t="str">
        <x:f>IF(L564&lt;&gt;"COVERED","HELD — COVERAGE",IF(P564="YES — MANAGED ACCESS","D ACTIONABLE","NO D FIELD"))</x:f>
        <x:v>HELD — COVERAGE</x:v>
      </x:c>
      <x:c r="Z564" s="13" t="str">
        <x:f>IF(L564&lt;&gt;"COVERED","HELD — COVERAGE",IF(OR(R564="PAIRED SYNCHRONIZED",R564="TRILATERAL SYNCHRONIZED"),"E ACTIONABLE","INDEPENDENT"))</x:f>
        <x:v>HELD — COVERAGE</x:v>
      </x:c>
      <x:c r="AA564" s="13" t="str">
        <x:f>IF(L564&lt;&gt;"COVERED","HELD — COVERAGE","WAIT FOR UPSTREAM COMPLETION")</x:f>
        <x:v>HELD — COVERAGE</x:v>
      </x:c>
      <x:c r="AB564" s="13" t="str">
        <x:f>IF(L564&lt;&gt;"COVERED","HELD — COVERAGE",IF(T564="UNRESOLVED","G DECISION REQUIRED",IF(T564="NOT APPLICABLE","G N/A","G ACTIONABLE")))</x:f>
        <x:v>HELD — COVERAGE</x:v>
      </x:c>
      <x:c r="AC564" s="13" t="str">
        <x:f>IF(L564="UNRESOLVED","COVERAGE FIRST",IF(OR(L564="EXCLUDED",L564="OUT OF SCOPE"),"CLOSED BY COVERAGE",IF(AND(L564="COVERED",T564&lt;&gt;"UNRESOLVED"),"PARTIALLY ADOPTED","DECISIONS REMAIN")))</x:f>
        <x:v>COVERAGE FIRST</x:v>
      </x:c>
    </x:row>
    <x:row r="565">
      <x:c r="A565" s="13" t="str">
        <x:v>NAAFTC-HS6-090961</x:v>
      </x:c>
      <x:c r="B565" s="13" t="str">
        <x:v>090961</x:v>
      </x:c>
      <x:c r="C565" s="13" t="str">
        <x:v>09</x:v>
      </x:c>
      <x:c r="D565" s="13" t="str">
        <x:v>TRILATERAL_SPLIT_MERGE</x:v>
      </x:c>
      <x:c r="E565" s="13" t="str">
        <x:v>Pending</x:v>
      </x:c>
      <x:c r="F565" s="13" t="n">
        <x:v>1</x:v>
      </x:c>
      <x:c r="G565" s="13" t="n">
        <x:v>3</x:v>
      </x:c>
      <x:c r="H565" s="13" t="n">
        <x:v>1</x:v>
      </x:c>
      <x:c r="I565" s="13" t="str">
        <x:v>0909610000</x:v>
      </x:c>
      <x:c r="J565" s="13" t="str">
        <x:v>0909610100; 0909610200; 0909619900</x:v>
      </x:c>
      <x:c r="K565" s="13" t="str">
        <x:v>0909610000</x:v>
      </x:c>
      <x:c r="L565" s="13" t="str">
        <x:v>UNRESOLVED</x:v>
      </x:c>
      <x:c r="M565" s="13" t="str"/>
      <x:c r="N565" s="13" t="str">
        <x:v>NO / DEFAULT</x:v>
      </x:c>
      <x:c r="O565" s="13" t="str"/>
      <x:c r="P565" s="13" t="str">
        <x:v>NO / DEFAULT</x:v>
      </x:c>
      <x:c r="Q565" s="13" t="str"/>
      <x:c r="R565" s="13" t="str">
        <x:v>INDEPENDENT / DEFAULT</x:v>
      </x:c>
      <x:c r="S565" s="13" t="str"/>
      <x:c r="T565" s="13" t="str">
        <x:v>UNRESOLVED</x:v>
      </x:c>
      <x:c r="U565" s="13" t="str"/>
      <x:c r="V565" s="13" t="str"/>
      <x:c r="W565" s="13" t="str"/>
      <x:c r="X565" s="13" t="str">
        <x:f>IF(L565&lt;&gt;"COVERED","HELD — COVERAGE",IF(N565="YES — SENSITIVE","C ACTIONABLE","CHAPTER 5 DEFAULT"))</x:f>
        <x:v>HELD — COVERAGE</x:v>
      </x:c>
      <x:c r="Y565" s="13" t="str">
        <x:f>IF(L565&lt;&gt;"COVERED","HELD — COVERAGE",IF(P565="YES — MANAGED ACCESS","D ACTIONABLE","NO D FIELD"))</x:f>
        <x:v>HELD — COVERAGE</x:v>
      </x:c>
      <x:c r="Z565" s="13" t="str">
        <x:f>IF(L565&lt;&gt;"COVERED","HELD — COVERAGE",IF(OR(R565="PAIRED SYNCHRONIZED",R565="TRILATERAL SYNCHRONIZED"),"E ACTIONABLE","INDEPENDENT"))</x:f>
        <x:v>HELD — COVERAGE</x:v>
      </x:c>
      <x:c r="AA565" s="13" t="str">
        <x:f>IF(L565&lt;&gt;"COVERED","HELD — COVERAGE","WAIT FOR UPSTREAM COMPLETION")</x:f>
        <x:v>HELD — COVERAGE</x:v>
      </x:c>
      <x:c r="AB565" s="13" t="str">
        <x:f>IF(L565&lt;&gt;"COVERED","HELD — COVERAGE",IF(T565="UNRESOLVED","G DECISION REQUIRED",IF(T565="NOT APPLICABLE","G N/A","G ACTIONABLE")))</x:f>
        <x:v>HELD — COVERAGE</x:v>
      </x:c>
      <x:c r="AC565" s="13" t="str">
        <x:f>IF(L565="UNRESOLVED","COVERAGE FIRST",IF(OR(L565="EXCLUDED",L565="OUT OF SCOPE"),"CLOSED BY COVERAGE",IF(AND(L565="COVERED",T565&lt;&gt;"UNRESOLVED"),"PARTIALLY ADOPTED","DECISIONS REMAIN")))</x:f>
        <x:v>COVERAGE FIRST</x:v>
      </x:c>
    </x:row>
    <x:row r="566">
      <x:c r="A566" s="13" t="str">
        <x:v>NAAFTC-HS6-090962</x:v>
      </x:c>
      <x:c r="B566" s="13" t="str">
        <x:v>090962</x:v>
      </x:c>
      <x:c r="C566" s="13" t="str">
        <x:v>09</x:v>
      </x:c>
      <x:c r="D566" s="13" t="str">
        <x:v>TRILATERAL_SPLIT_MERGE</x:v>
      </x:c>
      <x:c r="E566" s="13" t="str">
        <x:v>Pending</x:v>
      </x:c>
      <x:c r="F566" s="13" t="n">
        <x:v>1</x:v>
      </x:c>
      <x:c r="G566" s="13" t="n">
        <x:v>3</x:v>
      </x:c>
      <x:c r="H566" s="13" t="n">
        <x:v>1</x:v>
      </x:c>
      <x:c r="I566" s="13" t="str">
        <x:v>0909620000</x:v>
      </x:c>
      <x:c r="J566" s="13" t="str">
        <x:v>0909620100; 0909620200; 0909629900</x:v>
      </x:c>
      <x:c r="K566" s="13" t="str">
        <x:v>0909620000</x:v>
      </x:c>
      <x:c r="L566" s="13" t="str">
        <x:v>UNRESOLVED</x:v>
      </x:c>
      <x:c r="M566" s="13" t="str"/>
      <x:c r="N566" s="13" t="str">
        <x:v>NO / DEFAULT</x:v>
      </x:c>
      <x:c r="O566" s="13" t="str"/>
      <x:c r="P566" s="13" t="str">
        <x:v>NO / DEFAULT</x:v>
      </x:c>
      <x:c r="Q566" s="13" t="str"/>
      <x:c r="R566" s="13" t="str">
        <x:v>INDEPENDENT / DEFAULT</x:v>
      </x:c>
      <x:c r="S566" s="13" t="str"/>
      <x:c r="T566" s="13" t="str">
        <x:v>UNRESOLVED</x:v>
      </x:c>
      <x:c r="U566" s="13" t="str"/>
      <x:c r="V566" s="13" t="str"/>
      <x:c r="W566" s="13" t="str"/>
      <x:c r="X566" s="13" t="str">
        <x:f>IF(L566&lt;&gt;"COVERED","HELD — COVERAGE",IF(N566="YES — SENSITIVE","C ACTIONABLE","CHAPTER 5 DEFAULT"))</x:f>
        <x:v>HELD — COVERAGE</x:v>
      </x:c>
      <x:c r="Y566" s="13" t="str">
        <x:f>IF(L566&lt;&gt;"COVERED","HELD — COVERAGE",IF(P566="YES — MANAGED ACCESS","D ACTIONABLE","NO D FIELD"))</x:f>
        <x:v>HELD — COVERAGE</x:v>
      </x:c>
      <x:c r="Z566" s="13" t="str">
        <x:f>IF(L566&lt;&gt;"COVERED","HELD — COVERAGE",IF(OR(R566="PAIRED SYNCHRONIZED",R566="TRILATERAL SYNCHRONIZED"),"E ACTIONABLE","INDEPENDENT"))</x:f>
        <x:v>HELD — COVERAGE</x:v>
      </x:c>
      <x:c r="AA566" s="13" t="str">
        <x:f>IF(L566&lt;&gt;"COVERED","HELD — COVERAGE","WAIT FOR UPSTREAM COMPLETION")</x:f>
        <x:v>HELD — COVERAGE</x:v>
      </x:c>
      <x:c r="AB566" s="13" t="str">
        <x:f>IF(L566&lt;&gt;"COVERED","HELD — COVERAGE",IF(T566="UNRESOLVED","G DECISION REQUIRED",IF(T566="NOT APPLICABLE","G N/A","G ACTIONABLE")))</x:f>
        <x:v>HELD — COVERAGE</x:v>
      </x:c>
      <x:c r="AC566" s="13" t="str">
        <x:f>IF(L566="UNRESOLVED","COVERAGE FIRST",IF(OR(L566="EXCLUDED",L566="OUT OF SCOPE"),"CLOSED BY COVERAGE",IF(AND(L566="COVERED",T566&lt;&gt;"UNRESOLVED"),"PARTIALLY ADOPTED","DECISIONS REMAIN")))</x:f>
        <x:v>COVERAGE FIRST</x:v>
      </x:c>
    </x:row>
    <x:row r="567">
      <x:c r="A567" s="13" t="str">
        <x:v>NAAFTC-HS6-091011</x:v>
      </x:c>
      <x:c r="B567" s="13" t="str">
        <x:v>091011</x:v>
      </x:c>
      <x:c r="C567" s="13" t="str">
        <x:v>09</x:v>
      </x:c>
      <x:c r="D567" s="13" t="str">
        <x:v>TRILATERAL_SPLIT_MERGE</x:v>
      </x:c>
      <x:c r="E567" s="13" t="str">
        <x:v>Pending</x:v>
      </x:c>
      <x:c r="F567" s="13" t="n">
        <x:v>2</x:v>
      </x:c>
      <x:c r="G567" s="13" t="n">
        <x:v>1</x:v>
      </x:c>
      <x:c r="H567" s="13" t="n">
        <x:v>1</x:v>
      </x:c>
      <x:c r="I567" s="13" t="str">
        <x:v>0910110010; 0910110015</x:v>
      </x:c>
      <x:c r="J567" s="13" t="str">
        <x:v>0910110100</x:v>
      </x:c>
      <x:c r="K567" s="13" t="str">
        <x:v>0910110000</x:v>
      </x:c>
      <x:c r="L567" s="13" t="str">
        <x:v>UNRESOLVED</x:v>
      </x:c>
      <x:c r="M567" s="13" t="str"/>
      <x:c r="N567" s="13" t="str">
        <x:v>NO / DEFAULT</x:v>
      </x:c>
      <x:c r="O567" s="13" t="str"/>
      <x:c r="P567" s="13" t="str">
        <x:v>NO / DEFAULT</x:v>
      </x:c>
      <x:c r="Q567" s="13" t="str"/>
      <x:c r="R567" s="13" t="str">
        <x:v>INDEPENDENT / DEFAULT</x:v>
      </x:c>
      <x:c r="S567" s="13" t="str"/>
      <x:c r="T567" s="13" t="str">
        <x:v>UNRESOLVED</x:v>
      </x:c>
      <x:c r="U567" s="13" t="str"/>
      <x:c r="V567" s="13" t="str"/>
      <x:c r="W567" s="13" t="str"/>
      <x:c r="X567" s="13" t="str">
        <x:f>IF(L567&lt;&gt;"COVERED","HELD — COVERAGE",IF(N567="YES — SENSITIVE","C ACTIONABLE","CHAPTER 5 DEFAULT"))</x:f>
        <x:v>HELD — COVERAGE</x:v>
      </x:c>
      <x:c r="Y567" s="13" t="str">
        <x:f>IF(L567&lt;&gt;"COVERED","HELD — COVERAGE",IF(P567="YES — MANAGED ACCESS","D ACTIONABLE","NO D FIELD"))</x:f>
        <x:v>HELD — COVERAGE</x:v>
      </x:c>
      <x:c r="Z567" s="13" t="str">
        <x:f>IF(L567&lt;&gt;"COVERED","HELD — COVERAGE",IF(OR(R567="PAIRED SYNCHRONIZED",R567="TRILATERAL SYNCHRONIZED"),"E ACTIONABLE","INDEPENDENT"))</x:f>
        <x:v>HELD — COVERAGE</x:v>
      </x:c>
      <x:c r="AA567" s="13" t="str">
        <x:f>IF(L567&lt;&gt;"COVERED","HELD — COVERAGE","WAIT FOR UPSTREAM COMPLETION")</x:f>
        <x:v>HELD — COVERAGE</x:v>
      </x:c>
      <x:c r="AB567" s="13" t="str">
        <x:f>IF(L567&lt;&gt;"COVERED","HELD — COVERAGE",IF(T567="UNRESOLVED","G DECISION REQUIRED",IF(T567="NOT APPLICABLE","G N/A","G ACTIONABLE")))</x:f>
        <x:v>HELD — COVERAGE</x:v>
      </x:c>
      <x:c r="AC567" s="13" t="str">
        <x:f>IF(L567="UNRESOLVED","COVERAGE FIRST",IF(OR(L567="EXCLUDED",L567="OUT OF SCOPE"),"CLOSED BY COVERAGE",IF(AND(L567="COVERED",T567&lt;&gt;"UNRESOLVED"),"PARTIALLY ADOPTED","DECISIONS REMAIN")))</x:f>
        <x:v>COVERAGE FIRST</x:v>
      </x:c>
    </x:row>
    <x:row r="568">
      <x:c r="A568" s="13" t="str">
        <x:v>NAAFTC-HS6-091012</x:v>
      </x:c>
      <x:c r="B568" s="13" t="str">
        <x:v>091012</x:v>
      </x:c>
      <x:c r="C568" s="13" t="str">
        <x:v>09</x:v>
      </x:c>
      <x:c r="D568" s="13" t="str">
        <x:v>TRILATERAL_1_TO_1_TO_1</x:v>
      </x:c>
      <x:c r="E568" s="13" t="str">
        <x:v>Pending</x:v>
      </x:c>
      <x:c r="F568" s="13" t="n">
        <x:v>1</x:v>
      </x:c>
      <x:c r="G568" s="13" t="n">
        <x:v>1</x:v>
      </x:c>
      <x:c r="H568" s="13" t="n">
        <x:v>1</x:v>
      </x:c>
      <x:c r="I568" s="13" t="str">
        <x:v>0910120000</x:v>
      </x:c>
      <x:c r="J568" s="13" t="str">
        <x:v>0910120100</x:v>
      </x:c>
      <x:c r="K568" s="13" t="str">
        <x:v>0910120000</x:v>
      </x:c>
      <x:c r="L568" s="13" t="str">
        <x:v>UNRESOLVED</x:v>
      </x:c>
      <x:c r="M568" s="13" t="str"/>
      <x:c r="N568" s="13" t="str">
        <x:v>NO / DEFAULT</x:v>
      </x:c>
      <x:c r="O568" s="13" t="str"/>
      <x:c r="P568" s="13" t="str">
        <x:v>NO / DEFAULT</x:v>
      </x:c>
      <x:c r="Q568" s="13" t="str"/>
      <x:c r="R568" s="13" t="str">
        <x:v>INDEPENDENT / DEFAULT</x:v>
      </x:c>
      <x:c r="S568" s="13" t="str"/>
      <x:c r="T568" s="13" t="str">
        <x:v>UNRESOLVED</x:v>
      </x:c>
      <x:c r="U568" s="13" t="str"/>
      <x:c r="V568" s="13" t="str"/>
      <x:c r="W568" s="13" t="str"/>
      <x:c r="X568" s="13" t="str">
        <x:f>IF(L568&lt;&gt;"COVERED","HELD — COVERAGE",IF(N568="YES — SENSITIVE","C ACTIONABLE","CHAPTER 5 DEFAULT"))</x:f>
        <x:v>HELD — COVERAGE</x:v>
      </x:c>
      <x:c r="Y568" s="13" t="str">
        <x:f>IF(L568&lt;&gt;"COVERED","HELD — COVERAGE",IF(P568="YES — MANAGED ACCESS","D ACTIONABLE","NO D FIELD"))</x:f>
        <x:v>HELD — COVERAGE</x:v>
      </x:c>
      <x:c r="Z568" s="13" t="str">
        <x:f>IF(L568&lt;&gt;"COVERED","HELD — COVERAGE",IF(OR(R568="PAIRED SYNCHRONIZED",R568="TRILATERAL SYNCHRONIZED"),"E ACTIONABLE","INDEPENDENT"))</x:f>
        <x:v>HELD — COVERAGE</x:v>
      </x:c>
      <x:c r="AA568" s="13" t="str">
        <x:f>IF(L568&lt;&gt;"COVERED","HELD — COVERAGE","WAIT FOR UPSTREAM COMPLETION")</x:f>
        <x:v>HELD — COVERAGE</x:v>
      </x:c>
      <x:c r="AB568" s="13" t="str">
        <x:f>IF(L568&lt;&gt;"COVERED","HELD — COVERAGE",IF(T568="UNRESOLVED","G DECISION REQUIRED",IF(T568="NOT APPLICABLE","G N/A","G ACTIONABLE")))</x:f>
        <x:v>HELD — COVERAGE</x:v>
      </x:c>
      <x:c r="AC568" s="13" t="str">
        <x:f>IF(L568="UNRESOLVED","COVERAGE FIRST",IF(OR(L568="EXCLUDED",L568="OUT OF SCOPE"),"CLOSED BY COVERAGE",IF(AND(L568="COVERED",T568&lt;&gt;"UNRESOLVED"),"PARTIALLY ADOPTED","DECISIONS REMAIN")))</x:f>
        <x:v>COVERAGE FIRST</x:v>
      </x:c>
    </x:row>
    <x:row r="569">
      <x:c r="A569" s="13" t="str">
        <x:v>NAAFTC-HS6-091020</x:v>
      </x:c>
      <x:c r="B569" s="13" t="str">
        <x:v>091020</x:v>
      </x:c>
      <x:c r="C569" s="13" t="str">
        <x:v>09</x:v>
      </x:c>
      <x:c r="D569" s="13" t="str">
        <x:v>TRILATERAL_1_TO_1_TO_1</x:v>
      </x:c>
      <x:c r="E569" s="13" t="str">
        <x:v>Pending</x:v>
      </x:c>
      <x:c r="F569" s="13" t="n">
        <x:v>1</x:v>
      </x:c>
      <x:c r="G569" s="13" t="n">
        <x:v>1</x:v>
      </x:c>
      <x:c r="H569" s="13" t="n">
        <x:v>1</x:v>
      </x:c>
      <x:c r="I569" s="13" t="str">
        <x:v>0910200000</x:v>
      </x:c>
      <x:c r="J569" s="13" t="str">
        <x:v>0910200100</x:v>
      </x:c>
      <x:c r="K569" s="13" t="str">
        <x:v>0910200000</x:v>
      </x:c>
      <x:c r="L569" s="13" t="str">
        <x:v>UNRESOLVED</x:v>
      </x:c>
      <x:c r="M569" s="13" t="str"/>
      <x:c r="N569" s="13" t="str">
        <x:v>NO / DEFAULT</x:v>
      </x:c>
      <x:c r="O569" s="13" t="str"/>
      <x:c r="P569" s="13" t="str">
        <x:v>NO / DEFAULT</x:v>
      </x:c>
      <x:c r="Q569" s="13" t="str"/>
      <x:c r="R569" s="13" t="str">
        <x:v>INDEPENDENT / DEFAULT</x:v>
      </x:c>
      <x:c r="S569" s="13" t="str"/>
      <x:c r="T569" s="13" t="str">
        <x:v>UNRESOLVED</x:v>
      </x:c>
      <x:c r="U569" s="13" t="str"/>
      <x:c r="V569" s="13" t="str"/>
      <x:c r="W569" s="13" t="str"/>
      <x:c r="X569" s="13" t="str">
        <x:f>IF(L569&lt;&gt;"COVERED","HELD — COVERAGE",IF(N569="YES — SENSITIVE","C ACTIONABLE","CHAPTER 5 DEFAULT"))</x:f>
        <x:v>HELD — COVERAGE</x:v>
      </x:c>
      <x:c r="Y569" s="13" t="str">
        <x:f>IF(L569&lt;&gt;"COVERED","HELD — COVERAGE",IF(P569="YES — MANAGED ACCESS","D ACTIONABLE","NO D FIELD"))</x:f>
        <x:v>HELD — COVERAGE</x:v>
      </x:c>
      <x:c r="Z569" s="13" t="str">
        <x:f>IF(L569&lt;&gt;"COVERED","HELD — COVERAGE",IF(OR(R569="PAIRED SYNCHRONIZED",R569="TRILATERAL SYNCHRONIZED"),"E ACTIONABLE","INDEPENDENT"))</x:f>
        <x:v>HELD — COVERAGE</x:v>
      </x:c>
      <x:c r="AA569" s="13" t="str">
        <x:f>IF(L569&lt;&gt;"COVERED","HELD — COVERAGE","WAIT FOR UPSTREAM COMPLETION")</x:f>
        <x:v>HELD — COVERAGE</x:v>
      </x:c>
      <x:c r="AB569" s="13" t="str">
        <x:f>IF(L569&lt;&gt;"COVERED","HELD — COVERAGE",IF(T569="UNRESOLVED","G DECISION REQUIRED",IF(T569="NOT APPLICABLE","G N/A","G ACTIONABLE")))</x:f>
        <x:v>HELD — COVERAGE</x:v>
      </x:c>
      <x:c r="AC569" s="13" t="str">
        <x:f>IF(L569="UNRESOLVED","COVERAGE FIRST",IF(OR(L569="EXCLUDED",L569="OUT OF SCOPE"),"CLOSED BY COVERAGE",IF(AND(L569="COVERED",T569&lt;&gt;"UNRESOLVED"),"PARTIALLY ADOPTED","DECISIONS REMAIN")))</x:f>
        <x:v>COVERAGE FIRST</x:v>
      </x:c>
    </x:row>
    <x:row r="570">
      <x:c r="A570" s="13" t="str">
        <x:v>NAAFTC-HS6-091030</x:v>
      </x:c>
      <x:c r="B570" s="13" t="str">
        <x:v>091030</x:v>
      </x:c>
      <x:c r="C570" s="13" t="str">
        <x:v>09</x:v>
      </x:c>
      <x:c r="D570" s="13" t="str">
        <x:v>TRILATERAL_1_TO_1_TO_1</x:v>
      </x:c>
      <x:c r="E570" s="13" t="str">
        <x:v>Pending</x:v>
      </x:c>
      <x:c r="F570" s="13" t="n">
        <x:v>1</x:v>
      </x:c>
      <x:c r="G570" s="13" t="n">
        <x:v>1</x:v>
      </x:c>
      <x:c r="H570" s="13" t="n">
        <x:v>1</x:v>
      </x:c>
      <x:c r="I570" s="13" t="str">
        <x:v>0910300000</x:v>
      </x:c>
      <x:c r="J570" s="13" t="str">
        <x:v>0910300100</x:v>
      </x:c>
      <x:c r="K570" s="13" t="str">
        <x:v>0910300000</x:v>
      </x:c>
      <x:c r="L570" s="13" t="str">
        <x:v>UNRESOLVED</x:v>
      </x:c>
      <x:c r="M570" s="13" t="str"/>
      <x:c r="N570" s="13" t="str">
        <x:v>NO / DEFAULT</x:v>
      </x:c>
      <x:c r="O570" s="13" t="str"/>
      <x:c r="P570" s="13" t="str">
        <x:v>NO / DEFAULT</x:v>
      </x:c>
      <x:c r="Q570" s="13" t="str"/>
      <x:c r="R570" s="13" t="str">
        <x:v>INDEPENDENT / DEFAULT</x:v>
      </x:c>
      <x:c r="S570" s="13" t="str"/>
      <x:c r="T570" s="13" t="str">
        <x:v>UNRESOLVED</x:v>
      </x:c>
      <x:c r="U570" s="13" t="str"/>
      <x:c r="V570" s="13" t="str"/>
      <x:c r="W570" s="13" t="str"/>
      <x:c r="X570" s="13" t="str">
        <x:f>IF(L570&lt;&gt;"COVERED","HELD — COVERAGE",IF(N570="YES — SENSITIVE","C ACTIONABLE","CHAPTER 5 DEFAULT"))</x:f>
        <x:v>HELD — COVERAGE</x:v>
      </x:c>
      <x:c r="Y570" s="13" t="str">
        <x:f>IF(L570&lt;&gt;"COVERED","HELD — COVERAGE",IF(P570="YES — MANAGED ACCESS","D ACTIONABLE","NO D FIELD"))</x:f>
        <x:v>HELD — COVERAGE</x:v>
      </x:c>
      <x:c r="Z570" s="13" t="str">
        <x:f>IF(L570&lt;&gt;"COVERED","HELD — COVERAGE",IF(OR(R570="PAIRED SYNCHRONIZED",R570="TRILATERAL SYNCHRONIZED"),"E ACTIONABLE","INDEPENDENT"))</x:f>
        <x:v>HELD — COVERAGE</x:v>
      </x:c>
      <x:c r="AA570" s="13" t="str">
        <x:f>IF(L570&lt;&gt;"COVERED","HELD — COVERAGE","WAIT FOR UPSTREAM COMPLETION")</x:f>
        <x:v>HELD — COVERAGE</x:v>
      </x:c>
      <x:c r="AB570" s="13" t="str">
        <x:f>IF(L570&lt;&gt;"COVERED","HELD — COVERAGE",IF(T570="UNRESOLVED","G DECISION REQUIRED",IF(T570="NOT APPLICABLE","G N/A","G ACTIONABLE")))</x:f>
        <x:v>HELD — COVERAGE</x:v>
      </x:c>
      <x:c r="AC570" s="13" t="str">
        <x:f>IF(L570="UNRESOLVED","COVERAGE FIRST",IF(OR(L570="EXCLUDED",L570="OUT OF SCOPE"),"CLOSED BY COVERAGE",IF(AND(L570="COVERED",T570&lt;&gt;"UNRESOLVED"),"PARTIALLY ADOPTED","DECISIONS REMAIN")))</x:f>
        <x:v>COVERAGE FIRST</x:v>
      </x:c>
    </x:row>
    <x:row r="571">
      <x:c r="A571" s="13" t="str">
        <x:v>NAAFTC-HS6-091091</x:v>
      </x:c>
      <x:c r="B571" s="13" t="str">
        <x:v>091091</x:v>
      </x:c>
      <x:c r="C571" s="13" t="str">
        <x:v>09</x:v>
      </x:c>
      <x:c r="D571" s="13" t="str">
        <x:v>TRILATERAL_1_TO_1_TO_1</x:v>
      </x:c>
      <x:c r="E571" s="13" t="str">
        <x:v>Pending</x:v>
      </x:c>
      <x:c r="F571" s="13" t="n">
        <x:v>1</x:v>
      </x:c>
      <x:c r="G571" s="13" t="n">
        <x:v>1</x:v>
      </x:c>
      <x:c r="H571" s="13" t="n">
        <x:v>1</x:v>
      </x:c>
      <x:c r="I571" s="13" t="str">
        <x:v>0910910000</x:v>
      </x:c>
      <x:c r="J571" s="13" t="str">
        <x:v>0910910100</x:v>
      </x:c>
      <x:c r="K571" s="13" t="str">
        <x:v>0910910000</x:v>
      </x:c>
      <x:c r="L571" s="13" t="str">
        <x:v>UNRESOLVED</x:v>
      </x:c>
      <x:c r="M571" s="13" t="str"/>
      <x:c r="N571" s="13" t="str">
        <x:v>NO / DEFAULT</x:v>
      </x:c>
      <x:c r="O571" s="13" t="str"/>
      <x:c r="P571" s="13" t="str">
        <x:v>NO / DEFAULT</x:v>
      </x:c>
      <x:c r="Q571" s="13" t="str"/>
      <x:c r="R571" s="13" t="str">
        <x:v>INDEPENDENT / DEFAULT</x:v>
      </x:c>
      <x:c r="S571" s="13" t="str"/>
      <x:c r="T571" s="13" t="str">
        <x:v>UNRESOLVED</x:v>
      </x:c>
      <x:c r="U571" s="13" t="str"/>
      <x:c r="V571" s="13" t="str"/>
      <x:c r="W571" s="13" t="str"/>
      <x:c r="X571" s="13" t="str">
        <x:f>IF(L571&lt;&gt;"COVERED","HELD — COVERAGE",IF(N571="YES — SENSITIVE","C ACTIONABLE","CHAPTER 5 DEFAULT"))</x:f>
        <x:v>HELD — COVERAGE</x:v>
      </x:c>
      <x:c r="Y571" s="13" t="str">
        <x:f>IF(L571&lt;&gt;"COVERED","HELD — COVERAGE",IF(P571="YES — MANAGED ACCESS","D ACTIONABLE","NO D FIELD"))</x:f>
        <x:v>HELD — COVERAGE</x:v>
      </x:c>
      <x:c r="Z571" s="13" t="str">
        <x:f>IF(L571&lt;&gt;"COVERED","HELD — COVERAGE",IF(OR(R571="PAIRED SYNCHRONIZED",R571="TRILATERAL SYNCHRONIZED"),"E ACTIONABLE","INDEPENDENT"))</x:f>
        <x:v>HELD — COVERAGE</x:v>
      </x:c>
      <x:c r="AA571" s="13" t="str">
        <x:f>IF(L571&lt;&gt;"COVERED","HELD — COVERAGE","WAIT FOR UPSTREAM COMPLETION")</x:f>
        <x:v>HELD — COVERAGE</x:v>
      </x:c>
      <x:c r="AB571" s="13" t="str">
        <x:f>IF(L571&lt;&gt;"COVERED","HELD — COVERAGE",IF(T571="UNRESOLVED","G DECISION REQUIRED",IF(T571="NOT APPLICABLE","G N/A","G ACTIONABLE")))</x:f>
        <x:v>HELD — COVERAGE</x:v>
      </x:c>
      <x:c r="AC571" s="13" t="str">
        <x:f>IF(L571="UNRESOLVED","COVERAGE FIRST",IF(OR(L571="EXCLUDED",L571="OUT OF SCOPE"),"CLOSED BY COVERAGE",IF(AND(L571="COVERED",T571&lt;&gt;"UNRESOLVED"),"PARTIALLY ADOPTED","DECISIONS REMAIN")))</x:f>
        <x:v>COVERAGE FIRST</x:v>
      </x:c>
    </x:row>
    <x:row r="572">
      <x:c r="A572" s="13" t="str">
        <x:v>NAAFTC-HS6-091099</x:v>
      </x:c>
      <x:c r="B572" s="13" t="str">
        <x:v>091099</x:v>
      </x:c>
      <x:c r="C572" s="13" t="str">
        <x:v>09</x:v>
      </x:c>
      <x:c r="D572" s="13" t="str">
        <x:v>TRILATERAL_SPLIT_MERGE</x:v>
      </x:c>
      <x:c r="E572" s="13" t="str">
        <x:v>Pending</x:v>
      </x:c>
      <x:c r="F572" s="13" t="n">
        <x:v>8</x:v>
      </x:c>
      <x:c r="G572" s="13" t="n">
        <x:v>2</x:v>
      </x:c>
      <x:c r="H572" s="13" t="n">
        <x:v>1</x:v>
      </x:c>
      <x:c r="I572" s="13" t="str">
        <x:v>0910990500; 0910990600; 0910990700; 0910991000; 0910992000; 0910994000; +2 more</x:v>
      </x:c>
      <x:c r="J572" s="13" t="str">
        <x:v>0910999901; 0910999999</x:v>
      </x:c>
      <x:c r="K572" s="13" t="str">
        <x:v>0910990000</x:v>
      </x:c>
      <x:c r="L572" s="13" t="str">
        <x:v>UNRESOLVED</x:v>
      </x:c>
      <x:c r="M572" s="13" t="str"/>
      <x:c r="N572" s="13" t="str">
        <x:v>NO / DEFAULT</x:v>
      </x:c>
      <x:c r="O572" s="13" t="str"/>
      <x:c r="P572" s="13" t="str">
        <x:v>NO / DEFAULT</x:v>
      </x:c>
      <x:c r="Q572" s="13" t="str"/>
      <x:c r="R572" s="13" t="str">
        <x:v>INDEPENDENT / DEFAULT</x:v>
      </x:c>
      <x:c r="S572" s="13" t="str"/>
      <x:c r="T572" s="13" t="str">
        <x:v>UNRESOLVED</x:v>
      </x:c>
      <x:c r="U572" s="13" t="str"/>
      <x:c r="V572" s="13" t="str"/>
      <x:c r="W572" s="13" t="str"/>
      <x:c r="X572" s="13" t="str">
        <x:f>IF(L572&lt;&gt;"COVERED","HELD — COVERAGE",IF(N572="YES — SENSITIVE","C ACTIONABLE","CHAPTER 5 DEFAULT"))</x:f>
        <x:v>HELD — COVERAGE</x:v>
      </x:c>
      <x:c r="Y572" s="13" t="str">
        <x:f>IF(L572&lt;&gt;"COVERED","HELD — COVERAGE",IF(P572="YES — MANAGED ACCESS","D ACTIONABLE","NO D FIELD"))</x:f>
        <x:v>HELD — COVERAGE</x:v>
      </x:c>
      <x:c r="Z572" s="13" t="str">
        <x:f>IF(L572&lt;&gt;"COVERED","HELD — COVERAGE",IF(OR(R572="PAIRED SYNCHRONIZED",R572="TRILATERAL SYNCHRONIZED"),"E ACTIONABLE","INDEPENDENT"))</x:f>
        <x:v>HELD — COVERAGE</x:v>
      </x:c>
      <x:c r="AA572" s="13" t="str">
        <x:f>IF(L572&lt;&gt;"COVERED","HELD — COVERAGE","WAIT FOR UPSTREAM COMPLETION")</x:f>
        <x:v>HELD — COVERAGE</x:v>
      </x:c>
      <x:c r="AB572" s="13" t="str">
        <x:f>IF(L572&lt;&gt;"COVERED","HELD — COVERAGE",IF(T572="UNRESOLVED","G DECISION REQUIRED",IF(T572="NOT APPLICABLE","G N/A","G ACTIONABLE")))</x:f>
        <x:v>HELD — COVERAGE</x:v>
      </x:c>
      <x:c r="AC572" s="13" t="str">
        <x:f>IF(L572="UNRESOLVED","COVERAGE FIRST",IF(OR(L572="EXCLUDED",L572="OUT OF SCOPE"),"CLOSED BY COVERAGE",IF(AND(L572="COVERED",T572&lt;&gt;"UNRESOLVED"),"PARTIALLY ADOPTED","DECISIONS REMAIN")))</x:f>
        <x:v>COVERAGE FIRST</x:v>
      </x:c>
    </x:row>
    <x:row r="573">
      <x:c r="A573" s="13" t="str">
        <x:v>NAAFTC-HS6-100111</x:v>
      </x:c>
      <x:c r="B573" s="13" t="str">
        <x:v>100111</x:v>
      </x:c>
      <x:c r="C573" s="13" t="str">
        <x:v>10</x:v>
      </x:c>
      <x:c r="D573" s="13" t="str">
        <x:v>TRILATERAL_SPLIT_MERGE</x:v>
      </x:c>
      <x:c r="E573" s="13" t="str">
        <x:v>Pending</x:v>
      </x:c>
      <x:c r="F573" s="13" t="n">
        <x:v>1</x:v>
      </x:c>
      <x:c r="G573" s="13" t="n">
        <x:v>1</x:v>
      </x:c>
      <x:c r="H573" s="13" t="n">
        <x:v>2</x:v>
      </x:c>
      <x:c r="I573" s="13" t="str">
        <x:v>1001110000</x:v>
      </x:c>
      <x:c r="J573" s="13" t="str">
        <x:v>1001110100</x:v>
      </x:c>
      <x:c r="K573" s="13" t="str">
        <x:v>1001111000; 1001112000</x:v>
      </x:c>
      <x:c r="L573" s="13" t="str">
        <x:v>UNRESOLVED</x:v>
      </x:c>
      <x:c r="M573" s="13" t="str"/>
      <x:c r="N573" s="13" t="str">
        <x:v>NO / DEFAULT</x:v>
      </x:c>
      <x:c r="O573" s="13" t="str"/>
      <x:c r="P573" s="13" t="str">
        <x:v>NO / DEFAULT</x:v>
      </x:c>
      <x:c r="Q573" s="13" t="str"/>
      <x:c r="R573" s="13" t="str">
        <x:v>INDEPENDENT / DEFAULT</x:v>
      </x:c>
      <x:c r="S573" s="13" t="str"/>
      <x:c r="T573" s="13" t="str">
        <x:v>UNRESOLVED</x:v>
      </x:c>
      <x:c r="U573" s="13" t="str"/>
      <x:c r="V573" s="13" t="str"/>
      <x:c r="W573" s="13" t="str"/>
      <x:c r="X573" s="13" t="str">
        <x:f>IF(L573&lt;&gt;"COVERED","HELD — COVERAGE",IF(N573="YES — SENSITIVE","C ACTIONABLE","CHAPTER 5 DEFAULT"))</x:f>
        <x:v>HELD — COVERAGE</x:v>
      </x:c>
      <x:c r="Y573" s="13" t="str">
        <x:f>IF(L573&lt;&gt;"COVERED","HELD — COVERAGE",IF(P573="YES — MANAGED ACCESS","D ACTIONABLE","NO D FIELD"))</x:f>
        <x:v>HELD — COVERAGE</x:v>
      </x:c>
      <x:c r="Z573" s="13" t="str">
        <x:f>IF(L573&lt;&gt;"COVERED","HELD — COVERAGE",IF(OR(R573="PAIRED SYNCHRONIZED",R573="TRILATERAL SYNCHRONIZED"),"E ACTIONABLE","INDEPENDENT"))</x:f>
        <x:v>HELD — COVERAGE</x:v>
      </x:c>
      <x:c r="AA573" s="13" t="str">
        <x:f>IF(L573&lt;&gt;"COVERED","HELD — COVERAGE","WAIT FOR UPSTREAM COMPLETION")</x:f>
        <x:v>HELD — COVERAGE</x:v>
      </x:c>
      <x:c r="AB573" s="13" t="str">
        <x:f>IF(L573&lt;&gt;"COVERED","HELD — COVERAGE",IF(T573="UNRESOLVED","G DECISION REQUIRED",IF(T573="NOT APPLICABLE","G N/A","G ACTIONABLE")))</x:f>
        <x:v>HELD — COVERAGE</x:v>
      </x:c>
      <x:c r="AC573" s="13" t="str">
        <x:f>IF(L573="UNRESOLVED","COVERAGE FIRST",IF(OR(L573="EXCLUDED",L573="OUT OF SCOPE"),"CLOSED BY COVERAGE",IF(AND(L573="COVERED",T573&lt;&gt;"UNRESOLVED"),"PARTIALLY ADOPTED","DECISIONS REMAIN")))</x:f>
        <x:v>COVERAGE FIRST</x:v>
      </x:c>
    </x:row>
    <x:row r="574">
      <x:c r="A574" s="13" t="str">
        <x:v>NAAFTC-HS6-100119</x:v>
      </x:c>
      <x:c r="B574" s="13" t="str">
        <x:v>100119</x:v>
      </x:c>
      <x:c r="C574" s="13" t="str">
        <x:v>10</x:v>
      </x:c>
      <x:c r="D574" s="13" t="str">
        <x:v>TRILATERAL_SPLIT_MERGE</x:v>
      </x:c>
      <x:c r="E574" s="13" t="str">
        <x:v>Pending</x:v>
      </x:c>
      <x:c r="F574" s="13" t="n">
        <x:v>4</x:v>
      </x:c>
      <x:c r="G574" s="13" t="n">
        <x:v>1</x:v>
      </x:c>
      <x:c r="H574" s="13" t="n">
        <x:v>2</x:v>
      </x:c>
      <x:c r="I574" s="13" t="str">
        <x:v>1001190025; 1001190051; 1001190053; 1001190069</x:v>
      </x:c>
      <x:c r="J574" s="13" t="str">
        <x:v>1001199900</x:v>
      </x:c>
      <x:c r="K574" s="13" t="str">
        <x:v>1001191000; 1001192000</x:v>
      </x:c>
      <x:c r="L574" s="13" t="str">
        <x:v>UNRESOLVED</x:v>
      </x:c>
      <x:c r="M574" s="13" t="str"/>
      <x:c r="N574" s="13" t="str">
        <x:v>NO / DEFAULT</x:v>
      </x:c>
      <x:c r="O574" s="13" t="str"/>
      <x:c r="P574" s="13" t="str">
        <x:v>NO / DEFAULT</x:v>
      </x:c>
      <x:c r="Q574" s="13" t="str"/>
      <x:c r="R574" s="13" t="str">
        <x:v>INDEPENDENT / DEFAULT</x:v>
      </x:c>
      <x:c r="S574" s="13" t="str"/>
      <x:c r="T574" s="13" t="str">
        <x:v>UNRESOLVED</x:v>
      </x:c>
      <x:c r="U574" s="13" t="str"/>
      <x:c r="V574" s="13" t="str"/>
      <x:c r="W574" s="13" t="str"/>
      <x:c r="X574" s="13" t="str">
        <x:f>IF(L574&lt;&gt;"COVERED","HELD — COVERAGE",IF(N574="YES — SENSITIVE","C ACTIONABLE","CHAPTER 5 DEFAULT"))</x:f>
        <x:v>HELD — COVERAGE</x:v>
      </x:c>
      <x:c r="Y574" s="13" t="str">
        <x:f>IF(L574&lt;&gt;"COVERED","HELD — COVERAGE",IF(P574="YES — MANAGED ACCESS","D ACTIONABLE","NO D FIELD"))</x:f>
        <x:v>HELD — COVERAGE</x:v>
      </x:c>
      <x:c r="Z574" s="13" t="str">
        <x:f>IF(L574&lt;&gt;"COVERED","HELD — COVERAGE",IF(OR(R574="PAIRED SYNCHRONIZED",R574="TRILATERAL SYNCHRONIZED"),"E ACTIONABLE","INDEPENDENT"))</x:f>
        <x:v>HELD — COVERAGE</x:v>
      </x:c>
      <x:c r="AA574" s="13" t="str">
        <x:f>IF(L574&lt;&gt;"COVERED","HELD — COVERAGE","WAIT FOR UPSTREAM COMPLETION")</x:f>
        <x:v>HELD — COVERAGE</x:v>
      </x:c>
      <x:c r="AB574" s="13" t="str">
        <x:f>IF(L574&lt;&gt;"COVERED","HELD — COVERAGE",IF(T574="UNRESOLVED","G DECISION REQUIRED",IF(T574="NOT APPLICABLE","G N/A","G ACTIONABLE")))</x:f>
        <x:v>HELD — COVERAGE</x:v>
      </x:c>
      <x:c r="AC574" s="13" t="str">
        <x:f>IF(L574="UNRESOLVED","COVERAGE FIRST",IF(OR(L574="EXCLUDED",L574="OUT OF SCOPE"),"CLOSED BY COVERAGE",IF(AND(L574="COVERED",T574&lt;&gt;"UNRESOLVED"),"PARTIALLY ADOPTED","DECISIONS REMAIN")))</x:f>
        <x:v>COVERAGE FIRST</x:v>
      </x:c>
    </x:row>
    <x:row r="575">
      <x:c r="A575" s="13" t="str">
        <x:v>NAAFTC-HS6-100191</x:v>
      </x:c>
      <x:c r="B575" s="13" t="str">
        <x:v>100191</x:v>
      </x:c>
      <x:c r="C575" s="13" t="str">
        <x:v>10</x:v>
      </x:c>
      <x:c r="D575" s="13" t="str">
        <x:v>TRILATERAL_SPLIT_MERGE</x:v>
      </x:c>
      <x:c r="E575" s="13" t="str">
        <x:v>Pending</x:v>
      </x:c>
      <x:c r="F575" s="13" t="n">
        <x:v>1</x:v>
      </x:c>
      <x:c r="G575" s="13" t="n">
        <x:v>2</x:v>
      </x:c>
      <x:c r="H575" s="13" t="n">
        <x:v>2</x:v>
      </x:c>
      <x:c r="I575" s="13" t="str">
        <x:v>1001910000</x:v>
      </x:c>
      <x:c r="J575" s="13" t="str">
        <x:v>1001910100; 1001919900</x:v>
      </x:c>
      <x:c r="K575" s="13" t="str">
        <x:v>1001911000; 1001912000</x:v>
      </x:c>
      <x:c r="L575" s="13" t="str">
        <x:v>UNRESOLVED</x:v>
      </x:c>
      <x:c r="M575" s="13" t="str"/>
      <x:c r="N575" s="13" t="str">
        <x:v>NO / DEFAULT</x:v>
      </x:c>
      <x:c r="O575" s="13" t="str"/>
      <x:c r="P575" s="13" t="str">
        <x:v>NO / DEFAULT</x:v>
      </x:c>
      <x:c r="Q575" s="13" t="str"/>
      <x:c r="R575" s="13" t="str">
        <x:v>INDEPENDENT / DEFAULT</x:v>
      </x:c>
      <x:c r="S575" s="13" t="str"/>
      <x:c r="T575" s="13" t="str">
        <x:v>UNRESOLVED</x:v>
      </x:c>
      <x:c r="U575" s="13" t="str"/>
      <x:c r="V575" s="13" t="str"/>
      <x:c r="W575" s="13" t="str"/>
      <x:c r="X575" s="13" t="str">
        <x:f>IF(L575&lt;&gt;"COVERED","HELD — COVERAGE",IF(N575="YES — SENSITIVE","C ACTIONABLE","CHAPTER 5 DEFAULT"))</x:f>
        <x:v>HELD — COVERAGE</x:v>
      </x:c>
      <x:c r="Y575" s="13" t="str">
        <x:f>IF(L575&lt;&gt;"COVERED","HELD — COVERAGE",IF(P575="YES — MANAGED ACCESS","D ACTIONABLE","NO D FIELD"))</x:f>
        <x:v>HELD — COVERAGE</x:v>
      </x:c>
      <x:c r="Z575" s="13" t="str">
        <x:f>IF(L575&lt;&gt;"COVERED","HELD — COVERAGE",IF(OR(R575="PAIRED SYNCHRONIZED",R575="TRILATERAL SYNCHRONIZED"),"E ACTIONABLE","INDEPENDENT"))</x:f>
        <x:v>HELD — COVERAGE</x:v>
      </x:c>
      <x:c r="AA575" s="13" t="str">
        <x:f>IF(L575&lt;&gt;"COVERED","HELD — COVERAGE","WAIT FOR UPSTREAM COMPLETION")</x:f>
        <x:v>HELD — COVERAGE</x:v>
      </x:c>
      <x:c r="AB575" s="13" t="str">
        <x:f>IF(L575&lt;&gt;"COVERED","HELD — COVERAGE",IF(T575="UNRESOLVED","G DECISION REQUIRED",IF(T575="NOT APPLICABLE","G N/A","G ACTIONABLE")))</x:f>
        <x:v>HELD — COVERAGE</x:v>
      </x:c>
      <x:c r="AC575" s="13" t="str">
        <x:f>IF(L575="UNRESOLVED","COVERAGE FIRST",IF(OR(L575="EXCLUDED",L575="OUT OF SCOPE"),"CLOSED BY COVERAGE",IF(AND(L575="COVERED",T575&lt;&gt;"UNRESOLVED"),"PARTIALLY ADOPTED","DECISIONS REMAIN")))</x:f>
        <x:v>COVERAGE FIRST</x:v>
      </x:c>
    </x:row>
    <x:row r="576">
      <x:c r="A576" s="13" t="str">
        <x:v>NAAFTC-HS6-100199</x:v>
      </x:c>
      <x:c r="B576" s="13" t="str">
        <x:v>100199</x:v>
      </x:c>
      <x:c r="C576" s="13" t="str">
        <x:v>10</x:v>
      </x:c>
      <x:c r="D576" s="13" t="str">
        <x:v>TRILATERAL_SPLIT_MERGE</x:v>
      </x:c>
      <x:c r="E576" s="13" t="str">
        <x:v>Pending</x:v>
      </x:c>
      <x:c r="F576" s="13" t="n">
        <x:v>14</x:v>
      </x:c>
      <x:c r="G576" s="13" t="n">
        <x:v>2</x:v>
      </x:c>
      <x:c r="H576" s="13" t="n">
        <x:v>2</x:v>
      </x:c>
      <x:c r="I576" s="13" t="str">
        <x:v>1001990005; 1001990007; 1001990009; 1001990010; 1001990017; 1001990018; +8 more</x:v>
      </x:c>
      <x:c r="J576" s="13" t="str">
        <x:v>1001990100; 1001999900</x:v>
      </x:c>
      <x:c r="K576" s="13" t="str">
        <x:v>1001991000; 1001992000</x:v>
      </x:c>
      <x:c r="L576" s="13" t="str">
        <x:v>UNRESOLVED</x:v>
      </x:c>
      <x:c r="M576" s="13" t="str"/>
      <x:c r="N576" s="13" t="str">
        <x:v>NO / DEFAULT</x:v>
      </x:c>
      <x:c r="O576" s="13" t="str"/>
      <x:c r="P576" s="13" t="str">
        <x:v>NO / DEFAULT</x:v>
      </x:c>
      <x:c r="Q576" s="13" t="str"/>
      <x:c r="R576" s="13" t="str">
        <x:v>INDEPENDENT / DEFAULT</x:v>
      </x:c>
      <x:c r="S576" s="13" t="str"/>
      <x:c r="T576" s="13" t="str">
        <x:v>UNRESOLVED</x:v>
      </x:c>
      <x:c r="U576" s="13" t="str"/>
      <x:c r="V576" s="13" t="str"/>
      <x:c r="W576" s="13" t="str"/>
      <x:c r="X576" s="13" t="str">
        <x:f>IF(L576&lt;&gt;"COVERED","HELD — COVERAGE",IF(N576="YES — SENSITIVE","C ACTIONABLE","CHAPTER 5 DEFAULT"))</x:f>
        <x:v>HELD — COVERAGE</x:v>
      </x:c>
      <x:c r="Y576" s="13" t="str">
        <x:f>IF(L576&lt;&gt;"COVERED","HELD — COVERAGE",IF(P576="YES — MANAGED ACCESS","D ACTIONABLE","NO D FIELD"))</x:f>
        <x:v>HELD — COVERAGE</x:v>
      </x:c>
      <x:c r="Z576" s="13" t="str">
        <x:f>IF(L576&lt;&gt;"COVERED","HELD — COVERAGE",IF(OR(R576="PAIRED SYNCHRONIZED",R576="TRILATERAL SYNCHRONIZED"),"E ACTIONABLE","INDEPENDENT"))</x:f>
        <x:v>HELD — COVERAGE</x:v>
      </x:c>
      <x:c r="AA576" s="13" t="str">
        <x:f>IF(L576&lt;&gt;"COVERED","HELD — COVERAGE","WAIT FOR UPSTREAM COMPLETION")</x:f>
        <x:v>HELD — COVERAGE</x:v>
      </x:c>
      <x:c r="AB576" s="13" t="str">
        <x:f>IF(L576&lt;&gt;"COVERED","HELD — COVERAGE",IF(T576="UNRESOLVED","G DECISION REQUIRED",IF(T576="NOT APPLICABLE","G N/A","G ACTIONABLE")))</x:f>
        <x:v>HELD — COVERAGE</x:v>
      </x:c>
      <x:c r="AC576" s="13" t="str">
        <x:f>IF(L576="UNRESOLVED","COVERAGE FIRST",IF(OR(L576="EXCLUDED",L576="OUT OF SCOPE"),"CLOSED BY COVERAGE",IF(AND(L576="COVERED",T576&lt;&gt;"UNRESOLVED"),"PARTIALLY ADOPTED","DECISIONS REMAIN")))</x:f>
        <x:v>COVERAGE FIRST</x:v>
      </x:c>
    </x:row>
    <x:row r="577">
      <x:c r="A577" s="13" t="str">
        <x:v>NAAFTC-HS6-100210</x:v>
      </x:c>
      <x:c r="B577" s="13" t="str">
        <x:v>100210</x:v>
      </x:c>
      <x:c r="C577" s="13" t="str">
        <x:v>10</x:v>
      </x:c>
      <x:c r="D577" s="13" t="str">
        <x:v>TRILATERAL_SPLIT_MERGE</x:v>
      </x:c>
      <x:c r="E577" s="13" t="str">
        <x:v>Pending</x:v>
      </x:c>
      <x:c r="F577" s="13" t="n">
        <x:v>2</x:v>
      </x:c>
      <x:c r="G577" s="13" t="n">
        <x:v>1</x:v>
      </x:c>
      <x:c r="H577" s="13" t="n">
        <x:v>1</x:v>
      </x:c>
      <x:c r="I577" s="13" t="str">
        <x:v>1002100010; 1002100090</x:v>
      </x:c>
      <x:c r="J577" s="13" t="str">
        <x:v>1002100100</x:v>
      </x:c>
      <x:c r="K577" s="13" t="str">
        <x:v>1002100000</x:v>
      </x:c>
      <x:c r="L577" s="13" t="str">
        <x:v>UNRESOLVED</x:v>
      </x:c>
      <x:c r="M577" s="13" t="str"/>
      <x:c r="N577" s="13" t="str">
        <x:v>NO / DEFAULT</x:v>
      </x:c>
      <x:c r="O577" s="13" t="str"/>
      <x:c r="P577" s="13" t="str">
        <x:v>NO / DEFAULT</x:v>
      </x:c>
      <x:c r="Q577" s="13" t="str"/>
      <x:c r="R577" s="13" t="str">
        <x:v>INDEPENDENT / DEFAULT</x:v>
      </x:c>
      <x:c r="S577" s="13" t="str"/>
      <x:c r="T577" s="13" t="str">
        <x:v>UNRESOLVED</x:v>
      </x:c>
      <x:c r="U577" s="13" t="str"/>
      <x:c r="V577" s="13" t="str"/>
      <x:c r="W577" s="13" t="str"/>
      <x:c r="X577" s="13" t="str">
        <x:f>IF(L577&lt;&gt;"COVERED","HELD — COVERAGE",IF(N577="YES — SENSITIVE","C ACTIONABLE","CHAPTER 5 DEFAULT"))</x:f>
        <x:v>HELD — COVERAGE</x:v>
      </x:c>
      <x:c r="Y577" s="13" t="str">
        <x:f>IF(L577&lt;&gt;"COVERED","HELD — COVERAGE",IF(P577="YES — MANAGED ACCESS","D ACTIONABLE","NO D FIELD"))</x:f>
        <x:v>HELD — COVERAGE</x:v>
      </x:c>
      <x:c r="Z577" s="13" t="str">
        <x:f>IF(L577&lt;&gt;"COVERED","HELD — COVERAGE",IF(OR(R577="PAIRED SYNCHRONIZED",R577="TRILATERAL SYNCHRONIZED"),"E ACTIONABLE","INDEPENDENT"))</x:f>
        <x:v>HELD — COVERAGE</x:v>
      </x:c>
      <x:c r="AA577" s="13" t="str">
        <x:f>IF(L577&lt;&gt;"COVERED","HELD — COVERAGE","WAIT FOR UPSTREAM COMPLETION")</x:f>
        <x:v>HELD — COVERAGE</x:v>
      </x:c>
      <x:c r="AB577" s="13" t="str">
        <x:f>IF(L577&lt;&gt;"COVERED","HELD — COVERAGE",IF(T577="UNRESOLVED","G DECISION REQUIRED",IF(T577="NOT APPLICABLE","G N/A","G ACTIONABLE")))</x:f>
        <x:v>HELD — COVERAGE</x:v>
      </x:c>
      <x:c r="AC577" s="13" t="str">
        <x:f>IF(L577="UNRESOLVED","COVERAGE FIRST",IF(OR(L577="EXCLUDED",L577="OUT OF SCOPE"),"CLOSED BY COVERAGE",IF(AND(L577="COVERED",T577&lt;&gt;"UNRESOLVED"),"PARTIALLY ADOPTED","DECISIONS REMAIN")))</x:f>
        <x:v>COVERAGE FIRST</x:v>
      </x:c>
    </x:row>
    <x:row r="578">
      <x:c r="A578" s="13" t="str">
        <x:v>NAAFTC-HS6-100290</x:v>
      </x:c>
      <x:c r="B578" s="13" t="str">
        <x:v>100290</x:v>
      </x:c>
      <x:c r="C578" s="13" t="str">
        <x:v>10</x:v>
      </x:c>
      <x:c r="D578" s="13" t="str">
        <x:v>TRILATERAL_1_TO_1_TO_1</x:v>
      </x:c>
      <x:c r="E578" s="13" t="str">
        <x:v>Pending</x:v>
      </x:c>
      <x:c r="F578" s="13" t="n">
        <x:v>1</x:v>
      </x:c>
      <x:c r="G578" s="13" t="n">
        <x:v>1</x:v>
      </x:c>
      <x:c r="H578" s="13" t="n">
        <x:v>1</x:v>
      </x:c>
      <x:c r="I578" s="13" t="str">
        <x:v>1002900000</x:v>
      </x:c>
      <x:c r="J578" s="13" t="str">
        <x:v>1002909900</x:v>
      </x:c>
      <x:c r="K578" s="13" t="str">
        <x:v>1002900000</x:v>
      </x:c>
      <x:c r="L578" s="13" t="str">
        <x:v>UNRESOLVED</x:v>
      </x:c>
      <x:c r="M578" s="13" t="str"/>
      <x:c r="N578" s="13" t="str">
        <x:v>NO / DEFAULT</x:v>
      </x:c>
      <x:c r="O578" s="13" t="str"/>
      <x:c r="P578" s="13" t="str">
        <x:v>NO / DEFAULT</x:v>
      </x:c>
      <x:c r="Q578" s="13" t="str"/>
      <x:c r="R578" s="13" t="str">
        <x:v>INDEPENDENT / DEFAULT</x:v>
      </x:c>
      <x:c r="S578" s="13" t="str"/>
      <x:c r="T578" s="13" t="str">
        <x:v>UNRESOLVED</x:v>
      </x:c>
      <x:c r="U578" s="13" t="str"/>
      <x:c r="V578" s="13" t="str"/>
      <x:c r="W578" s="13" t="str"/>
      <x:c r="X578" s="13" t="str">
        <x:f>IF(L578&lt;&gt;"COVERED","HELD — COVERAGE",IF(N578="YES — SENSITIVE","C ACTIONABLE","CHAPTER 5 DEFAULT"))</x:f>
        <x:v>HELD — COVERAGE</x:v>
      </x:c>
      <x:c r="Y578" s="13" t="str">
        <x:f>IF(L578&lt;&gt;"COVERED","HELD — COVERAGE",IF(P578="YES — MANAGED ACCESS","D ACTIONABLE","NO D FIELD"))</x:f>
        <x:v>HELD — COVERAGE</x:v>
      </x:c>
      <x:c r="Z578" s="13" t="str">
        <x:f>IF(L578&lt;&gt;"COVERED","HELD — COVERAGE",IF(OR(R578="PAIRED SYNCHRONIZED",R578="TRILATERAL SYNCHRONIZED"),"E ACTIONABLE","INDEPENDENT"))</x:f>
        <x:v>HELD — COVERAGE</x:v>
      </x:c>
      <x:c r="AA578" s="13" t="str">
        <x:f>IF(L578&lt;&gt;"COVERED","HELD — COVERAGE","WAIT FOR UPSTREAM COMPLETION")</x:f>
        <x:v>HELD — COVERAGE</x:v>
      </x:c>
      <x:c r="AB578" s="13" t="str">
        <x:f>IF(L578&lt;&gt;"COVERED","HELD — COVERAGE",IF(T578="UNRESOLVED","G DECISION REQUIRED",IF(T578="NOT APPLICABLE","G N/A","G ACTIONABLE")))</x:f>
        <x:v>HELD — COVERAGE</x:v>
      </x:c>
      <x:c r="AC578" s="13" t="str">
        <x:f>IF(L578="UNRESOLVED","COVERAGE FIRST",IF(OR(L578="EXCLUDED",L578="OUT OF SCOPE"),"CLOSED BY COVERAGE",IF(AND(L578="COVERED",T578&lt;&gt;"UNRESOLVED"),"PARTIALLY ADOPTED","DECISIONS REMAIN")))</x:f>
        <x:v>COVERAGE FIRST</x:v>
      </x:c>
    </x:row>
    <x:row r="579">
      <x:c r="A579" s="13" t="str">
        <x:v>NAAFTC-HS6-100310</x:v>
      </x:c>
      <x:c r="B579" s="13" t="str">
        <x:v>100310</x:v>
      </x:c>
      <x:c r="C579" s="13" t="str">
        <x:v>10</x:v>
      </x:c>
      <x:c r="D579" s="13" t="str">
        <x:v>TRILATERAL_SPLIT_MERGE</x:v>
      </x:c>
      <x:c r="E579" s="13" t="str">
        <x:v>Pending</x:v>
      </x:c>
      <x:c r="F579" s="13" t="n">
        <x:v>1</x:v>
      </x:c>
      <x:c r="G579" s="13" t="n">
        <x:v>1</x:v>
      </x:c>
      <x:c r="H579" s="13" t="n">
        <x:v>3</x:v>
      </x:c>
      <x:c r="I579" s="13" t="str">
        <x:v>1003100000</x:v>
      </x:c>
      <x:c r="J579" s="13" t="str">
        <x:v>1003100100</x:v>
      </x:c>
      <x:c r="K579" s="13" t="str">
        <x:v>1003101100; 1003101200; 1003109100</x:v>
      </x:c>
      <x:c r="L579" s="13" t="str">
        <x:v>UNRESOLVED</x:v>
      </x:c>
      <x:c r="M579" s="13" t="str"/>
      <x:c r="N579" s="13" t="str">
        <x:v>NO / DEFAULT</x:v>
      </x:c>
      <x:c r="O579" s="13" t="str"/>
      <x:c r="P579" s="13" t="str">
        <x:v>NO / DEFAULT</x:v>
      </x:c>
      <x:c r="Q579" s="13" t="str"/>
      <x:c r="R579" s="13" t="str">
        <x:v>INDEPENDENT / DEFAULT</x:v>
      </x:c>
      <x:c r="S579" s="13" t="str"/>
      <x:c r="T579" s="13" t="str">
        <x:v>UNRESOLVED</x:v>
      </x:c>
      <x:c r="U579" s="13" t="str"/>
      <x:c r="V579" s="13" t="str"/>
      <x:c r="W579" s="13" t="str"/>
      <x:c r="X579" s="13" t="str">
        <x:f>IF(L579&lt;&gt;"COVERED","HELD — COVERAGE",IF(N579="YES — SENSITIVE","C ACTIONABLE","CHAPTER 5 DEFAULT"))</x:f>
        <x:v>HELD — COVERAGE</x:v>
      </x:c>
      <x:c r="Y579" s="13" t="str">
        <x:f>IF(L579&lt;&gt;"COVERED","HELD — COVERAGE",IF(P579="YES — MANAGED ACCESS","D ACTIONABLE","NO D FIELD"))</x:f>
        <x:v>HELD — COVERAGE</x:v>
      </x:c>
      <x:c r="Z579" s="13" t="str">
        <x:f>IF(L579&lt;&gt;"COVERED","HELD — COVERAGE",IF(OR(R579="PAIRED SYNCHRONIZED",R579="TRILATERAL SYNCHRONIZED"),"E ACTIONABLE","INDEPENDENT"))</x:f>
        <x:v>HELD — COVERAGE</x:v>
      </x:c>
      <x:c r="AA579" s="13" t="str">
        <x:f>IF(L579&lt;&gt;"COVERED","HELD — COVERAGE","WAIT FOR UPSTREAM COMPLETION")</x:f>
        <x:v>HELD — COVERAGE</x:v>
      </x:c>
      <x:c r="AB579" s="13" t="str">
        <x:f>IF(L579&lt;&gt;"COVERED","HELD — COVERAGE",IF(T579="UNRESOLVED","G DECISION REQUIRED",IF(T579="NOT APPLICABLE","G N/A","G ACTIONABLE")))</x:f>
        <x:v>HELD — COVERAGE</x:v>
      </x:c>
      <x:c r="AC579" s="13" t="str">
        <x:f>IF(L579="UNRESOLVED","COVERAGE FIRST",IF(OR(L579="EXCLUDED",L579="OUT OF SCOPE"),"CLOSED BY COVERAGE",IF(AND(L579="COVERED",T579&lt;&gt;"UNRESOLVED"),"PARTIALLY ADOPTED","DECISIONS REMAIN")))</x:f>
        <x:v>COVERAGE FIRST</x:v>
      </x:c>
    </x:row>
    <x:row r="580">
      <x:c r="A580" s="13" t="str">
        <x:v>NAAFTC-HS6-100390</x:v>
      </x:c>
      <x:c r="B580" s="13" t="str">
        <x:v>100390</x:v>
      </x:c>
      <x:c r="C580" s="13" t="str">
        <x:v>10</x:v>
      </x:c>
      <x:c r="D580" s="13" t="str">
        <x:v>TRILATERAL_SPLIT_MERGE</x:v>
      </x:c>
      <x:c r="E580" s="13" t="str">
        <x:v>Pending</x:v>
      </x:c>
      <x:c r="F580" s="13" t="n">
        <x:v>3</x:v>
      </x:c>
      <x:c r="G580" s="13" t="n">
        <x:v>2</x:v>
      </x:c>
      <x:c r="H580" s="13" t="n">
        <x:v>4</x:v>
      </x:c>
      <x:c r="I580" s="13" t="str">
        <x:v>1003902000; 1003904020; 1003904030</x:v>
      </x:c>
      <x:c r="J580" s="13" t="str">
        <x:v>1003909901; 1003909999</x:v>
      </x:c>
      <x:c r="K580" s="13" t="str">
        <x:v>1003901100; 1003901200; 1003909100; 1003909200</x:v>
      </x:c>
      <x:c r="L580" s="13" t="str">
        <x:v>UNRESOLVED</x:v>
      </x:c>
      <x:c r="M580" s="13" t="str"/>
      <x:c r="N580" s="13" t="str">
        <x:v>NO / DEFAULT</x:v>
      </x:c>
      <x:c r="O580" s="13" t="str"/>
      <x:c r="P580" s="13" t="str">
        <x:v>NO / DEFAULT</x:v>
      </x:c>
      <x:c r="Q580" s="13" t="str"/>
      <x:c r="R580" s="13" t="str">
        <x:v>INDEPENDENT / DEFAULT</x:v>
      </x:c>
      <x:c r="S580" s="13" t="str"/>
      <x:c r="T580" s="13" t="str">
        <x:v>UNRESOLVED</x:v>
      </x:c>
      <x:c r="U580" s="13" t="str"/>
      <x:c r="V580" s="13" t="str"/>
      <x:c r="W580" s="13" t="str"/>
      <x:c r="X580" s="13" t="str">
        <x:f>IF(L580&lt;&gt;"COVERED","HELD — COVERAGE",IF(N580="YES — SENSITIVE","C ACTIONABLE","CHAPTER 5 DEFAULT"))</x:f>
        <x:v>HELD — COVERAGE</x:v>
      </x:c>
      <x:c r="Y580" s="13" t="str">
        <x:f>IF(L580&lt;&gt;"COVERED","HELD — COVERAGE",IF(P580="YES — MANAGED ACCESS","D ACTIONABLE","NO D FIELD"))</x:f>
        <x:v>HELD — COVERAGE</x:v>
      </x:c>
      <x:c r="Z580" s="13" t="str">
        <x:f>IF(L580&lt;&gt;"COVERED","HELD — COVERAGE",IF(OR(R580="PAIRED SYNCHRONIZED",R580="TRILATERAL SYNCHRONIZED"),"E ACTIONABLE","INDEPENDENT"))</x:f>
        <x:v>HELD — COVERAGE</x:v>
      </x:c>
      <x:c r="AA580" s="13" t="str">
        <x:f>IF(L580&lt;&gt;"COVERED","HELD — COVERAGE","WAIT FOR UPSTREAM COMPLETION")</x:f>
        <x:v>HELD — COVERAGE</x:v>
      </x:c>
      <x:c r="AB580" s="13" t="str">
        <x:f>IF(L580&lt;&gt;"COVERED","HELD — COVERAGE",IF(T580="UNRESOLVED","G DECISION REQUIRED",IF(T580="NOT APPLICABLE","G N/A","G ACTIONABLE")))</x:f>
        <x:v>HELD — COVERAGE</x:v>
      </x:c>
      <x:c r="AC580" s="13" t="str">
        <x:f>IF(L580="UNRESOLVED","COVERAGE FIRST",IF(OR(L580="EXCLUDED",L580="OUT OF SCOPE"),"CLOSED BY COVERAGE",IF(AND(L580="COVERED",T580&lt;&gt;"UNRESOLVED"),"PARTIALLY ADOPTED","DECISIONS REMAIN")))</x:f>
        <x:v>COVERAGE FIRST</x:v>
      </x:c>
    </x:row>
    <x:row r="581">
      <x:c r="A581" s="13" t="str">
        <x:v>NAAFTC-HS6-100410</x:v>
      </x:c>
      <x:c r="B581" s="13" t="str">
        <x:v>100410</x:v>
      </x:c>
      <x:c r="C581" s="13" t="str">
        <x:v>10</x:v>
      </x:c>
      <x:c r="D581" s="13" t="str">
        <x:v>TRILATERAL_1_TO_1_TO_1</x:v>
      </x:c>
      <x:c r="E581" s="13" t="str">
        <x:v>Pending</x:v>
      </x:c>
      <x:c r="F581" s="13" t="n">
        <x:v>1</x:v>
      </x:c>
      <x:c r="G581" s="13" t="n">
        <x:v>1</x:v>
      </x:c>
      <x:c r="H581" s="13" t="n">
        <x:v>1</x:v>
      </x:c>
      <x:c r="I581" s="13" t="str">
        <x:v>1004100000</x:v>
      </x:c>
      <x:c r="J581" s="13" t="str">
        <x:v>1004100100</x:v>
      </x:c>
      <x:c r="K581" s="13" t="str">
        <x:v>1004100000</x:v>
      </x:c>
      <x:c r="L581" s="13" t="str">
        <x:v>UNRESOLVED</x:v>
      </x:c>
      <x:c r="M581" s="13" t="str"/>
      <x:c r="N581" s="13" t="str">
        <x:v>NO / DEFAULT</x:v>
      </x:c>
      <x:c r="O581" s="13" t="str"/>
      <x:c r="P581" s="13" t="str">
        <x:v>NO / DEFAULT</x:v>
      </x:c>
      <x:c r="Q581" s="13" t="str"/>
      <x:c r="R581" s="13" t="str">
        <x:v>INDEPENDENT / DEFAULT</x:v>
      </x:c>
      <x:c r="S581" s="13" t="str"/>
      <x:c r="T581" s="13" t="str">
        <x:v>UNRESOLVED</x:v>
      </x:c>
      <x:c r="U581" s="13" t="str"/>
      <x:c r="V581" s="13" t="str"/>
      <x:c r="W581" s="13" t="str"/>
      <x:c r="X581" s="13" t="str">
        <x:f>IF(L581&lt;&gt;"COVERED","HELD — COVERAGE",IF(N581="YES — SENSITIVE","C ACTIONABLE","CHAPTER 5 DEFAULT"))</x:f>
        <x:v>HELD — COVERAGE</x:v>
      </x:c>
      <x:c r="Y581" s="13" t="str">
        <x:f>IF(L581&lt;&gt;"COVERED","HELD — COVERAGE",IF(P581="YES — MANAGED ACCESS","D ACTIONABLE","NO D FIELD"))</x:f>
        <x:v>HELD — COVERAGE</x:v>
      </x:c>
      <x:c r="Z581" s="13" t="str">
        <x:f>IF(L581&lt;&gt;"COVERED","HELD — COVERAGE",IF(OR(R581="PAIRED SYNCHRONIZED",R581="TRILATERAL SYNCHRONIZED"),"E ACTIONABLE","INDEPENDENT"))</x:f>
        <x:v>HELD — COVERAGE</x:v>
      </x:c>
      <x:c r="AA581" s="13" t="str">
        <x:f>IF(L581&lt;&gt;"COVERED","HELD — COVERAGE","WAIT FOR UPSTREAM COMPLETION")</x:f>
        <x:v>HELD — COVERAGE</x:v>
      </x:c>
      <x:c r="AB581" s="13" t="str">
        <x:f>IF(L581&lt;&gt;"COVERED","HELD — COVERAGE",IF(T581="UNRESOLVED","G DECISION REQUIRED",IF(T581="NOT APPLICABLE","G N/A","G ACTIONABLE")))</x:f>
        <x:v>HELD — COVERAGE</x:v>
      </x:c>
      <x:c r="AC581" s="13" t="str">
        <x:f>IF(L581="UNRESOLVED","COVERAGE FIRST",IF(OR(L581="EXCLUDED",L581="OUT OF SCOPE"),"CLOSED BY COVERAGE",IF(AND(L581="COVERED",T581&lt;&gt;"UNRESOLVED"),"PARTIALLY ADOPTED","DECISIONS REMAIN")))</x:f>
        <x:v>COVERAGE FIRST</x:v>
      </x:c>
    </x:row>
    <x:row r="582">
      <x:c r="A582" s="13" t="str">
        <x:v>NAAFTC-HS6-100490</x:v>
      </x:c>
      <x:c r="B582" s="13" t="str">
        <x:v>100490</x:v>
      </x:c>
      <x:c r="C582" s="13" t="str">
        <x:v>10</x:v>
      </x:c>
      <x:c r="D582" s="13" t="str">
        <x:v>TRILATERAL_SPLIT_MERGE</x:v>
      </x:c>
      <x:c r="E582" s="13" t="str">
        <x:v>Pending</x:v>
      </x:c>
      <x:c r="F582" s="13" t="n">
        <x:v>2</x:v>
      </x:c>
      <x:c r="G582" s="13" t="n">
        <x:v>1</x:v>
      </x:c>
      <x:c r="H582" s="13" t="n">
        <x:v>1</x:v>
      </x:c>
      <x:c r="I582" s="13" t="str">
        <x:v>1004900010; 1004900090</x:v>
      </x:c>
      <x:c r="J582" s="13" t="str">
        <x:v>1004909900</x:v>
      </x:c>
      <x:c r="K582" s="13" t="str">
        <x:v>1004900000</x:v>
      </x:c>
      <x:c r="L582" s="13" t="str">
        <x:v>UNRESOLVED</x:v>
      </x:c>
      <x:c r="M582" s="13" t="str"/>
      <x:c r="N582" s="13" t="str">
        <x:v>NO / DEFAULT</x:v>
      </x:c>
      <x:c r="O582" s="13" t="str"/>
      <x:c r="P582" s="13" t="str">
        <x:v>NO / DEFAULT</x:v>
      </x:c>
      <x:c r="Q582" s="13" t="str"/>
      <x:c r="R582" s="13" t="str">
        <x:v>INDEPENDENT / DEFAULT</x:v>
      </x:c>
      <x:c r="S582" s="13" t="str"/>
      <x:c r="T582" s="13" t="str">
        <x:v>UNRESOLVED</x:v>
      </x:c>
      <x:c r="U582" s="13" t="str"/>
      <x:c r="V582" s="13" t="str"/>
      <x:c r="W582" s="13" t="str"/>
      <x:c r="X582" s="13" t="str">
        <x:f>IF(L582&lt;&gt;"COVERED","HELD — COVERAGE",IF(N582="YES — SENSITIVE","C ACTIONABLE","CHAPTER 5 DEFAULT"))</x:f>
        <x:v>HELD — COVERAGE</x:v>
      </x:c>
      <x:c r="Y582" s="13" t="str">
        <x:f>IF(L582&lt;&gt;"COVERED","HELD — COVERAGE",IF(P582="YES — MANAGED ACCESS","D ACTIONABLE","NO D FIELD"))</x:f>
        <x:v>HELD — COVERAGE</x:v>
      </x:c>
      <x:c r="Z582" s="13" t="str">
        <x:f>IF(L582&lt;&gt;"COVERED","HELD — COVERAGE",IF(OR(R582="PAIRED SYNCHRONIZED",R582="TRILATERAL SYNCHRONIZED"),"E ACTIONABLE","INDEPENDENT"))</x:f>
        <x:v>HELD — COVERAGE</x:v>
      </x:c>
      <x:c r="AA582" s="13" t="str">
        <x:f>IF(L582&lt;&gt;"COVERED","HELD — COVERAGE","WAIT FOR UPSTREAM COMPLETION")</x:f>
        <x:v>HELD — COVERAGE</x:v>
      </x:c>
      <x:c r="AB582" s="13" t="str">
        <x:f>IF(L582&lt;&gt;"COVERED","HELD — COVERAGE",IF(T582="UNRESOLVED","G DECISION REQUIRED",IF(T582="NOT APPLICABLE","G N/A","G ACTIONABLE")))</x:f>
        <x:v>HELD — COVERAGE</x:v>
      </x:c>
      <x:c r="AC582" s="13" t="str">
        <x:f>IF(L582="UNRESOLVED","COVERAGE FIRST",IF(OR(L582="EXCLUDED",L582="OUT OF SCOPE"),"CLOSED BY COVERAGE",IF(AND(L582="COVERED",T582&lt;&gt;"UNRESOLVED"),"PARTIALLY ADOPTED","DECISIONS REMAIN")))</x:f>
        <x:v>COVERAGE FIRST</x:v>
      </x:c>
    </x:row>
    <x:row r="583">
      <x:c r="A583" s="13" t="str">
        <x:v>NAAFTC-HS6-100510</x:v>
      </x:c>
      <x:c r="B583" s="13" t="str">
        <x:v>100510</x:v>
      </x:c>
      <x:c r="C583" s="13" t="str">
        <x:v>10</x:v>
      </x:c>
      <x:c r="D583" s="13" t="str">
        <x:v>TRILATERAL_SPLIT_MERGE</x:v>
      </x:c>
      <x:c r="E583" s="13" t="str">
        <x:v>Pending</x:v>
      </x:c>
      <x:c r="F583" s="13" t="n">
        <x:v>2</x:v>
      </x:c>
      <x:c r="G583" s="13" t="n">
        <x:v>1</x:v>
      </x:c>
      <x:c r="H583" s="13" t="n">
        <x:v>1</x:v>
      </x:c>
      <x:c r="I583" s="13" t="str">
        <x:v>1005100010; 1005100090</x:v>
      </x:c>
      <x:c r="J583" s="13" t="str">
        <x:v>1005100100</x:v>
      </x:c>
      <x:c r="K583" s="13" t="str">
        <x:v>10051000</x:v>
      </x:c>
      <x:c r="L583" s="13" t="str">
        <x:v>UNRESOLVED</x:v>
      </x:c>
      <x:c r="M583" s="13" t="str"/>
      <x:c r="N583" s="13" t="str">
        <x:v>NO / DEFAULT</x:v>
      </x:c>
      <x:c r="O583" s="13" t="str"/>
      <x:c r="P583" s="13" t="str">
        <x:v>NO / DEFAULT</x:v>
      </x:c>
      <x:c r="Q583" s="13" t="str"/>
      <x:c r="R583" s="13" t="str">
        <x:v>INDEPENDENT / DEFAULT</x:v>
      </x:c>
      <x:c r="S583" s="13" t="str"/>
      <x:c r="T583" s="13" t="str">
        <x:v>UNRESOLVED</x:v>
      </x:c>
      <x:c r="U583" s="13" t="str"/>
      <x:c r="V583" s="13" t="str"/>
      <x:c r="W583" s="13" t="str"/>
      <x:c r="X583" s="13" t="str">
        <x:f>IF(L583&lt;&gt;"COVERED","HELD — COVERAGE",IF(N583="YES — SENSITIVE","C ACTIONABLE","CHAPTER 5 DEFAULT"))</x:f>
        <x:v>HELD — COVERAGE</x:v>
      </x:c>
      <x:c r="Y583" s="13" t="str">
        <x:f>IF(L583&lt;&gt;"COVERED","HELD — COVERAGE",IF(P583="YES — MANAGED ACCESS","D ACTIONABLE","NO D FIELD"))</x:f>
        <x:v>HELD — COVERAGE</x:v>
      </x:c>
      <x:c r="Z583" s="13" t="str">
        <x:f>IF(L583&lt;&gt;"COVERED","HELD — COVERAGE",IF(OR(R583="PAIRED SYNCHRONIZED",R583="TRILATERAL SYNCHRONIZED"),"E ACTIONABLE","INDEPENDENT"))</x:f>
        <x:v>HELD — COVERAGE</x:v>
      </x:c>
      <x:c r="AA583" s="13" t="str">
        <x:f>IF(L583&lt;&gt;"COVERED","HELD — COVERAGE","WAIT FOR UPSTREAM COMPLETION")</x:f>
        <x:v>HELD — COVERAGE</x:v>
      </x:c>
      <x:c r="AB583" s="13" t="str">
        <x:f>IF(L583&lt;&gt;"COVERED","HELD — COVERAGE",IF(T583="UNRESOLVED","G DECISION REQUIRED",IF(T583="NOT APPLICABLE","G N/A","G ACTIONABLE")))</x:f>
        <x:v>HELD — COVERAGE</x:v>
      </x:c>
      <x:c r="AC583" s="13" t="str">
        <x:f>IF(L583="UNRESOLVED","COVERAGE FIRST",IF(OR(L583="EXCLUDED",L583="OUT OF SCOPE"),"CLOSED BY COVERAGE",IF(AND(L583="COVERED",T583&lt;&gt;"UNRESOLVED"),"PARTIALLY ADOPTED","DECISIONS REMAIN")))</x:f>
        <x:v>COVERAGE FIRST</x:v>
      </x:c>
    </x:row>
    <x:row r="584">
      <x:c r="A584" s="13" t="str">
        <x:v>NAAFTC-HS6-100590</x:v>
      </x:c>
      <x:c r="B584" s="13" t="str">
        <x:v>100590</x:v>
      </x:c>
      <x:c r="C584" s="13" t="str">
        <x:v>10</x:v>
      </x:c>
      <x:c r="D584" s="13" t="str">
        <x:v>TRILATERAL_SPLIT_MERGE</x:v>
      </x:c>
      <x:c r="E584" s="13" t="str">
        <x:v>Pending</x:v>
      </x:c>
      <x:c r="F584" s="13" t="n">
        <x:v>4</x:v>
      </x:c>
      <x:c r="G584" s="13" t="n">
        <x:v>4</x:v>
      </x:c>
      <x:c r="H584" s="13" t="n">
        <x:v>1</x:v>
      </x:c>
      <x:c r="I584" s="13" t="str">
        <x:v>1005902015; 1005902025; 1005904040; 1005904060</x:v>
      </x:c>
      <x:c r="J584" s="13" t="str">
        <x:v>1005900400; 1005909901; 1005909902; 1005909999</x:v>
      </x:c>
      <x:c r="K584" s="13" t="str">
        <x:v>10059000</x:v>
      </x:c>
      <x:c r="L584" s="13" t="str">
        <x:v>UNRESOLVED</x:v>
      </x:c>
      <x:c r="M584" s="13" t="str"/>
      <x:c r="N584" s="13" t="str">
        <x:v>NO / DEFAULT</x:v>
      </x:c>
      <x:c r="O584" s="13" t="str"/>
      <x:c r="P584" s="13" t="str">
        <x:v>NO / DEFAULT</x:v>
      </x:c>
      <x:c r="Q584" s="13" t="str"/>
      <x:c r="R584" s="13" t="str">
        <x:v>INDEPENDENT / DEFAULT</x:v>
      </x:c>
      <x:c r="S584" s="13" t="str"/>
      <x:c r="T584" s="13" t="str">
        <x:v>UNRESOLVED</x:v>
      </x:c>
      <x:c r="U584" s="13" t="str"/>
      <x:c r="V584" s="13" t="str"/>
      <x:c r="W584" s="13" t="str"/>
      <x:c r="X584" s="13" t="str">
        <x:f>IF(L584&lt;&gt;"COVERED","HELD — COVERAGE",IF(N584="YES — SENSITIVE","C ACTIONABLE","CHAPTER 5 DEFAULT"))</x:f>
        <x:v>HELD — COVERAGE</x:v>
      </x:c>
      <x:c r="Y584" s="13" t="str">
        <x:f>IF(L584&lt;&gt;"COVERED","HELD — COVERAGE",IF(P584="YES — MANAGED ACCESS","D ACTIONABLE","NO D FIELD"))</x:f>
        <x:v>HELD — COVERAGE</x:v>
      </x:c>
      <x:c r="Z584" s="13" t="str">
        <x:f>IF(L584&lt;&gt;"COVERED","HELD — COVERAGE",IF(OR(R584="PAIRED SYNCHRONIZED",R584="TRILATERAL SYNCHRONIZED"),"E ACTIONABLE","INDEPENDENT"))</x:f>
        <x:v>HELD — COVERAGE</x:v>
      </x:c>
      <x:c r="AA584" s="13" t="str">
        <x:f>IF(L584&lt;&gt;"COVERED","HELD — COVERAGE","WAIT FOR UPSTREAM COMPLETION")</x:f>
        <x:v>HELD — COVERAGE</x:v>
      </x:c>
      <x:c r="AB584" s="13" t="str">
        <x:f>IF(L584&lt;&gt;"COVERED","HELD — COVERAGE",IF(T584="UNRESOLVED","G DECISION REQUIRED",IF(T584="NOT APPLICABLE","G N/A","G ACTIONABLE")))</x:f>
        <x:v>HELD — COVERAGE</x:v>
      </x:c>
      <x:c r="AC584" s="13" t="str">
        <x:f>IF(L584="UNRESOLVED","COVERAGE FIRST",IF(OR(L584="EXCLUDED",L584="OUT OF SCOPE"),"CLOSED BY COVERAGE",IF(AND(L584="COVERED",T584&lt;&gt;"UNRESOLVED"),"PARTIALLY ADOPTED","DECISIONS REMAIN")))</x:f>
        <x:v>COVERAGE FIRST</x:v>
      </x:c>
    </x:row>
    <x:row r="585">
      <x:c r="A585" s="13" t="str">
        <x:v>NAAFTC-HS6-100610</x:v>
      </x:c>
      <x:c r="B585" s="13" t="str">
        <x:v>100610</x:v>
      </x:c>
      <x:c r="C585" s="13" t="str">
        <x:v>10</x:v>
      </x:c>
      <x:c r="D585" s="13" t="str">
        <x:v>TRILATERAL_SPLIT_MERGE</x:v>
      </x:c>
      <x:c r="E585" s="13" t="str">
        <x:v>Pending</x:v>
      </x:c>
      <x:c r="F585" s="13" t="n">
        <x:v>1</x:v>
      </x:c>
      <x:c r="G585" s="13" t="n">
        <x:v>2</x:v>
      </x:c>
      <x:c r="H585" s="13" t="n">
        <x:v>1</x:v>
      </x:c>
      <x:c r="I585" s="13" t="str">
        <x:v>1006100000</x:v>
      </x:c>
      <x:c r="J585" s="13" t="str">
        <x:v>1006100200; 1006109900</x:v>
      </x:c>
      <x:c r="K585" s="13" t="str">
        <x:v>1006100000</x:v>
      </x:c>
      <x:c r="L585" s="13" t="str">
        <x:v>UNRESOLVED</x:v>
      </x:c>
      <x:c r="M585" s="13" t="str"/>
      <x:c r="N585" s="13" t="str">
        <x:v>NO / DEFAULT</x:v>
      </x:c>
      <x:c r="O585" s="13" t="str"/>
      <x:c r="P585" s="13" t="str">
        <x:v>NO / DEFAULT</x:v>
      </x:c>
      <x:c r="Q585" s="13" t="str"/>
      <x:c r="R585" s="13" t="str">
        <x:v>INDEPENDENT / DEFAULT</x:v>
      </x:c>
      <x:c r="S585" s="13" t="str"/>
      <x:c r="T585" s="13" t="str">
        <x:v>UNRESOLVED</x:v>
      </x:c>
      <x:c r="U585" s="13" t="str"/>
      <x:c r="V585" s="13" t="str"/>
      <x:c r="W585" s="13" t="str"/>
      <x:c r="X585" s="13" t="str">
        <x:f>IF(L585&lt;&gt;"COVERED","HELD — COVERAGE",IF(N585="YES — SENSITIVE","C ACTIONABLE","CHAPTER 5 DEFAULT"))</x:f>
        <x:v>HELD — COVERAGE</x:v>
      </x:c>
      <x:c r="Y585" s="13" t="str">
        <x:f>IF(L585&lt;&gt;"COVERED","HELD — COVERAGE",IF(P585="YES — MANAGED ACCESS","D ACTIONABLE","NO D FIELD"))</x:f>
        <x:v>HELD — COVERAGE</x:v>
      </x:c>
      <x:c r="Z585" s="13" t="str">
        <x:f>IF(L585&lt;&gt;"COVERED","HELD — COVERAGE",IF(OR(R585="PAIRED SYNCHRONIZED",R585="TRILATERAL SYNCHRONIZED"),"E ACTIONABLE","INDEPENDENT"))</x:f>
        <x:v>HELD — COVERAGE</x:v>
      </x:c>
      <x:c r="AA585" s="13" t="str">
        <x:f>IF(L585&lt;&gt;"COVERED","HELD — COVERAGE","WAIT FOR UPSTREAM COMPLETION")</x:f>
        <x:v>HELD — COVERAGE</x:v>
      </x:c>
      <x:c r="AB585" s="13" t="str">
        <x:f>IF(L585&lt;&gt;"COVERED","HELD — COVERAGE",IF(T585="UNRESOLVED","G DECISION REQUIRED",IF(T585="NOT APPLICABLE","G N/A","G ACTIONABLE")))</x:f>
        <x:v>HELD — COVERAGE</x:v>
      </x:c>
      <x:c r="AC585" s="13" t="str">
        <x:f>IF(L585="UNRESOLVED","COVERAGE FIRST",IF(OR(L585="EXCLUDED",L585="OUT OF SCOPE"),"CLOSED BY COVERAGE",IF(AND(L585="COVERED",T585&lt;&gt;"UNRESOLVED"),"PARTIALLY ADOPTED","DECISIONS REMAIN")))</x:f>
        <x:v>COVERAGE FIRST</x:v>
      </x:c>
    </x:row>
    <x:row r="586">
      <x:c r="A586" s="13" t="str">
        <x:v>NAAFTC-HS6-100620</x:v>
      </x:c>
      <x:c r="B586" s="13" t="str">
        <x:v>100620</x:v>
      </x:c>
      <x:c r="C586" s="13" t="str">
        <x:v>10</x:v>
      </x:c>
      <x:c r="D586" s="13" t="str">
        <x:v>TRILATERAL_SPLIT_MERGE</x:v>
      </x:c>
      <x:c r="E586" s="13" t="str">
        <x:v>Pending</x:v>
      </x:c>
      <x:c r="F586" s="13" t="n">
        <x:v>7</x:v>
      </x:c>
      <x:c r="G586" s="13" t="n">
        <x:v>2</x:v>
      </x:c>
      <x:c r="H586" s="13" t="n">
        <x:v>1</x:v>
      </x:c>
      <x:c r="I586" s="13" t="str">
        <x:v>1006202010; 1006202090; 1006204025; 1006204035; 1006204040; 1006204060; +1 more</x:v>
      </x:c>
      <x:c r="J586" s="13" t="str">
        <x:v>1006200200; 1006209900</x:v>
      </x:c>
      <x:c r="K586" s="13" t="str">
        <x:v>10062000</x:v>
      </x:c>
      <x:c r="L586" s="13" t="str">
        <x:v>UNRESOLVED</x:v>
      </x:c>
      <x:c r="M586" s="13" t="str"/>
      <x:c r="N586" s="13" t="str">
        <x:v>NO / DEFAULT</x:v>
      </x:c>
      <x:c r="O586" s="13" t="str"/>
      <x:c r="P586" s="13" t="str">
        <x:v>NO / DEFAULT</x:v>
      </x:c>
      <x:c r="Q586" s="13" t="str"/>
      <x:c r="R586" s="13" t="str">
        <x:v>INDEPENDENT / DEFAULT</x:v>
      </x:c>
      <x:c r="S586" s="13" t="str"/>
      <x:c r="T586" s="13" t="str">
        <x:v>UNRESOLVED</x:v>
      </x:c>
      <x:c r="U586" s="13" t="str"/>
      <x:c r="V586" s="13" t="str"/>
      <x:c r="W586" s="13" t="str"/>
      <x:c r="X586" s="13" t="str">
        <x:f>IF(L586&lt;&gt;"COVERED","HELD — COVERAGE",IF(N586="YES — SENSITIVE","C ACTIONABLE","CHAPTER 5 DEFAULT"))</x:f>
        <x:v>HELD — COVERAGE</x:v>
      </x:c>
      <x:c r="Y586" s="13" t="str">
        <x:f>IF(L586&lt;&gt;"COVERED","HELD — COVERAGE",IF(P586="YES — MANAGED ACCESS","D ACTIONABLE","NO D FIELD"))</x:f>
        <x:v>HELD — COVERAGE</x:v>
      </x:c>
      <x:c r="Z586" s="13" t="str">
        <x:f>IF(L586&lt;&gt;"COVERED","HELD — COVERAGE",IF(OR(R586="PAIRED SYNCHRONIZED",R586="TRILATERAL SYNCHRONIZED"),"E ACTIONABLE","INDEPENDENT"))</x:f>
        <x:v>HELD — COVERAGE</x:v>
      </x:c>
      <x:c r="AA586" s="13" t="str">
        <x:f>IF(L586&lt;&gt;"COVERED","HELD — COVERAGE","WAIT FOR UPSTREAM COMPLETION")</x:f>
        <x:v>HELD — COVERAGE</x:v>
      </x:c>
      <x:c r="AB586" s="13" t="str">
        <x:f>IF(L586&lt;&gt;"COVERED","HELD — COVERAGE",IF(T586="UNRESOLVED","G DECISION REQUIRED",IF(T586="NOT APPLICABLE","G N/A","G ACTIONABLE")))</x:f>
        <x:v>HELD — COVERAGE</x:v>
      </x:c>
      <x:c r="AC586" s="13" t="str">
        <x:f>IF(L586="UNRESOLVED","COVERAGE FIRST",IF(OR(L586="EXCLUDED",L586="OUT OF SCOPE"),"CLOSED BY COVERAGE",IF(AND(L586="COVERED",T586&lt;&gt;"UNRESOLVED"),"PARTIALLY ADOPTED","DECISIONS REMAIN")))</x:f>
        <x:v>COVERAGE FIRST</x:v>
      </x:c>
    </x:row>
    <x:row r="587">
      <x:c r="A587" s="13" t="str">
        <x:v>NAAFTC-HS6-100630</x:v>
      </x:c>
      <x:c r="B587" s="13" t="str">
        <x:v>100630</x:v>
      </x:c>
      <x:c r="C587" s="13" t="str">
        <x:v>10</x:v>
      </x:c>
      <x:c r="D587" s="13" t="str">
        <x:v>TRILATERAL_SPLIT_MERGE</x:v>
      </x:c>
      <x:c r="E587" s="13" t="str">
        <x:v>Pending</x:v>
      </x:c>
      <x:c r="F587" s="13" t="n">
        <x:v>9</x:v>
      </x:c>
      <x:c r="G587" s="13" t="n">
        <x:v>3</x:v>
      </x:c>
      <x:c r="H587" s="13" t="n">
        <x:v>1</x:v>
      </x:c>
      <x:c r="I587" s="13" t="str">
        <x:v>1006301020; 1006301040; 1006309015; 1006309057; 1006309059; 1006309061; +3 more</x:v>
      </x:c>
      <x:c r="J587" s="13" t="str">
        <x:v>1006300300; 1006309901; 1006309999</x:v>
      </x:c>
      <x:c r="K587" s="13" t="str">
        <x:v>10063000</x:v>
      </x:c>
      <x:c r="L587" s="13" t="str">
        <x:v>UNRESOLVED</x:v>
      </x:c>
      <x:c r="M587" s="13" t="str"/>
      <x:c r="N587" s="13" t="str">
        <x:v>NO / DEFAULT</x:v>
      </x:c>
      <x:c r="O587" s="13" t="str"/>
      <x:c r="P587" s="13" t="str">
        <x:v>NO / DEFAULT</x:v>
      </x:c>
      <x:c r="Q587" s="13" t="str"/>
      <x:c r="R587" s="13" t="str">
        <x:v>INDEPENDENT / DEFAULT</x:v>
      </x:c>
      <x:c r="S587" s="13" t="str"/>
      <x:c r="T587" s="13" t="str">
        <x:v>UNRESOLVED</x:v>
      </x:c>
      <x:c r="U587" s="13" t="str"/>
      <x:c r="V587" s="13" t="str"/>
      <x:c r="W587" s="13" t="str"/>
      <x:c r="X587" s="13" t="str">
        <x:f>IF(L587&lt;&gt;"COVERED","HELD — COVERAGE",IF(N587="YES — SENSITIVE","C ACTIONABLE","CHAPTER 5 DEFAULT"))</x:f>
        <x:v>HELD — COVERAGE</x:v>
      </x:c>
      <x:c r="Y587" s="13" t="str">
        <x:f>IF(L587&lt;&gt;"COVERED","HELD — COVERAGE",IF(P587="YES — MANAGED ACCESS","D ACTIONABLE","NO D FIELD"))</x:f>
        <x:v>HELD — COVERAGE</x:v>
      </x:c>
      <x:c r="Z587" s="13" t="str">
        <x:f>IF(L587&lt;&gt;"COVERED","HELD — COVERAGE",IF(OR(R587="PAIRED SYNCHRONIZED",R587="TRILATERAL SYNCHRONIZED"),"E ACTIONABLE","INDEPENDENT"))</x:f>
        <x:v>HELD — COVERAGE</x:v>
      </x:c>
      <x:c r="AA587" s="13" t="str">
        <x:f>IF(L587&lt;&gt;"COVERED","HELD — COVERAGE","WAIT FOR UPSTREAM COMPLETION")</x:f>
        <x:v>HELD — COVERAGE</x:v>
      </x:c>
      <x:c r="AB587" s="13" t="str">
        <x:f>IF(L587&lt;&gt;"COVERED","HELD — COVERAGE",IF(T587="UNRESOLVED","G DECISION REQUIRED",IF(T587="NOT APPLICABLE","G N/A","G ACTIONABLE")))</x:f>
        <x:v>HELD — COVERAGE</x:v>
      </x:c>
      <x:c r="AC587" s="13" t="str">
        <x:f>IF(L587="UNRESOLVED","COVERAGE FIRST",IF(OR(L587="EXCLUDED",L587="OUT OF SCOPE"),"CLOSED BY COVERAGE",IF(AND(L587="COVERED",T587&lt;&gt;"UNRESOLVED"),"PARTIALLY ADOPTED","DECISIONS REMAIN")))</x:f>
        <x:v>COVERAGE FIRST</x:v>
      </x:c>
    </x:row>
    <x:row r="588">
      <x:c r="A588" s="13" t="str">
        <x:v>NAAFTC-HS6-100640</x:v>
      </x:c>
      <x:c r="B588" s="13" t="str">
        <x:v>100640</x:v>
      </x:c>
      <x:c r="C588" s="13" t="str">
        <x:v>10</x:v>
      </x:c>
      <x:c r="D588" s="13" t="str">
        <x:v>TRILATERAL_SPLIT_MERGE</x:v>
      </x:c>
      <x:c r="E588" s="13" t="str">
        <x:v>Pending</x:v>
      </x:c>
      <x:c r="F588" s="13" t="n">
        <x:v>1</x:v>
      </x:c>
      <x:c r="G588" s="13" t="n">
        <x:v>2</x:v>
      </x:c>
      <x:c r="H588" s="13" t="n">
        <x:v>1</x:v>
      </x:c>
      <x:c r="I588" s="13" t="str">
        <x:v>1006400000</x:v>
      </x:c>
      <x:c r="J588" s="13" t="str">
        <x:v>1006400200; 1006409900</x:v>
      </x:c>
      <x:c r="K588" s="13" t="str">
        <x:v>1006400000</x:v>
      </x:c>
      <x:c r="L588" s="13" t="str">
        <x:v>UNRESOLVED</x:v>
      </x:c>
      <x:c r="M588" s="13" t="str"/>
      <x:c r="N588" s="13" t="str">
        <x:v>NO / DEFAULT</x:v>
      </x:c>
      <x:c r="O588" s="13" t="str"/>
      <x:c r="P588" s="13" t="str">
        <x:v>NO / DEFAULT</x:v>
      </x:c>
      <x:c r="Q588" s="13" t="str"/>
      <x:c r="R588" s="13" t="str">
        <x:v>INDEPENDENT / DEFAULT</x:v>
      </x:c>
      <x:c r="S588" s="13" t="str"/>
      <x:c r="T588" s="13" t="str">
        <x:v>UNRESOLVED</x:v>
      </x:c>
      <x:c r="U588" s="13" t="str"/>
      <x:c r="V588" s="13" t="str"/>
      <x:c r="W588" s="13" t="str"/>
      <x:c r="X588" s="13" t="str">
        <x:f>IF(L588&lt;&gt;"COVERED","HELD — COVERAGE",IF(N588="YES — SENSITIVE","C ACTIONABLE","CHAPTER 5 DEFAULT"))</x:f>
        <x:v>HELD — COVERAGE</x:v>
      </x:c>
      <x:c r="Y588" s="13" t="str">
        <x:f>IF(L588&lt;&gt;"COVERED","HELD — COVERAGE",IF(P588="YES — MANAGED ACCESS","D ACTIONABLE","NO D FIELD"))</x:f>
        <x:v>HELD — COVERAGE</x:v>
      </x:c>
      <x:c r="Z588" s="13" t="str">
        <x:f>IF(L588&lt;&gt;"COVERED","HELD — COVERAGE",IF(OR(R588="PAIRED SYNCHRONIZED",R588="TRILATERAL SYNCHRONIZED"),"E ACTIONABLE","INDEPENDENT"))</x:f>
        <x:v>HELD — COVERAGE</x:v>
      </x:c>
      <x:c r="AA588" s="13" t="str">
        <x:f>IF(L588&lt;&gt;"COVERED","HELD — COVERAGE","WAIT FOR UPSTREAM COMPLETION")</x:f>
        <x:v>HELD — COVERAGE</x:v>
      </x:c>
      <x:c r="AB588" s="13" t="str">
        <x:f>IF(L588&lt;&gt;"COVERED","HELD — COVERAGE",IF(T588="UNRESOLVED","G DECISION REQUIRED",IF(T588="NOT APPLICABLE","G N/A","G ACTIONABLE")))</x:f>
        <x:v>HELD — COVERAGE</x:v>
      </x:c>
      <x:c r="AC588" s="13" t="str">
        <x:f>IF(L588="UNRESOLVED","COVERAGE FIRST",IF(OR(L588="EXCLUDED",L588="OUT OF SCOPE"),"CLOSED BY COVERAGE",IF(AND(L588="COVERED",T588&lt;&gt;"UNRESOLVED"),"PARTIALLY ADOPTED","DECISIONS REMAIN")))</x:f>
        <x:v>COVERAGE FIRST</x:v>
      </x:c>
    </x:row>
    <x:row r="589">
      <x:c r="A589" s="13" t="str">
        <x:v>NAAFTC-HS6-100710</x:v>
      </x:c>
      <x:c r="B589" s="13" t="str">
        <x:v>100710</x:v>
      </x:c>
      <x:c r="C589" s="13" t="str">
        <x:v>10</x:v>
      </x:c>
      <x:c r="D589" s="13" t="str">
        <x:v>TRILATERAL_1_TO_1_TO_1</x:v>
      </x:c>
      <x:c r="E589" s="13" t="str">
        <x:v>Pending</x:v>
      </x:c>
      <x:c r="F589" s="13" t="n">
        <x:v>1</x:v>
      </x:c>
      <x:c r="G589" s="13" t="n">
        <x:v>1</x:v>
      </x:c>
      <x:c r="H589" s="13" t="n">
        <x:v>1</x:v>
      </x:c>
      <x:c r="I589" s="13" t="str">
        <x:v>1007100000</x:v>
      </x:c>
      <x:c r="J589" s="13" t="str">
        <x:v>1007100100</x:v>
      </x:c>
      <x:c r="K589" s="13" t="str">
        <x:v>1007100000</x:v>
      </x:c>
      <x:c r="L589" s="13" t="str">
        <x:v>UNRESOLVED</x:v>
      </x:c>
      <x:c r="M589" s="13" t="str"/>
      <x:c r="N589" s="13" t="str">
        <x:v>NO / DEFAULT</x:v>
      </x:c>
      <x:c r="O589" s="13" t="str"/>
      <x:c r="P589" s="13" t="str">
        <x:v>NO / DEFAULT</x:v>
      </x:c>
      <x:c r="Q589" s="13" t="str"/>
      <x:c r="R589" s="13" t="str">
        <x:v>INDEPENDENT / DEFAULT</x:v>
      </x:c>
      <x:c r="S589" s="13" t="str"/>
      <x:c r="T589" s="13" t="str">
        <x:v>UNRESOLVED</x:v>
      </x:c>
      <x:c r="U589" s="13" t="str"/>
      <x:c r="V589" s="13" t="str"/>
      <x:c r="W589" s="13" t="str"/>
      <x:c r="X589" s="13" t="str">
        <x:f>IF(L589&lt;&gt;"COVERED","HELD — COVERAGE",IF(N589="YES — SENSITIVE","C ACTIONABLE","CHAPTER 5 DEFAULT"))</x:f>
        <x:v>HELD — COVERAGE</x:v>
      </x:c>
      <x:c r="Y589" s="13" t="str">
        <x:f>IF(L589&lt;&gt;"COVERED","HELD — COVERAGE",IF(P589="YES — MANAGED ACCESS","D ACTIONABLE","NO D FIELD"))</x:f>
        <x:v>HELD — COVERAGE</x:v>
      </x:c>
      <x:c r="Z589" s="13" t="str">
        <x:f>IF(L589&lt;&gt;"COVERED","HELD — COVERAGE",IF(OR(R589="PAIRED SYNCHRONIZED",R589="TRILATERAL SYNCHRONIZED"),"E ACTIONABLE","INDEPENDENT"))</x:f>
        <x:v>HELD — COVERAGE</x:v>
      </x:c>
      <x:c r="AA589" s="13" t="str">
        <x:f>IF(L589&lt;&gt;"COVERED","HELD — COVERAGE","WAIT FOR UPSTREAM COMPLETION")</x:f>
        <x:v>HELD — COVERAGE</x:v>
      </x:c>
      <x:c r="AB589" s="13" t="str">
        <x:f>IF(L589&lt;&gt;"COVERED","HELD — COVERAGE",IF(T589="UNRESOLVED","G DECISION REQUIRED",IF(T589="NOT APPLICABLE","G N/A","G ACTIONABLE")))</x:f>
        <x:v>HELD — COVERAGE</x:v>
      </x:c>
      <x:c r="AC589" s="13" t="str">
        <x:f>IF(L589="UNRESOLVED","COVERAGE FIRST",IF(OR(L589="EXCLUDED",L589="OUT OF SCOPE"),"CLOSED BY COVERAGE",IF(AND(L589="COVERED",T589&lt;&gt;"UNRESOLVED"),"PARTIALLY ADOPTED","DECISIONS REMAIN")))</x:f>
        <x:v>COVERAGE FIRST</x:v>
      </x:c>
    </x:row>
    <x:row r="590">
      <x:c r="A590" s="13" t="str">
        <x:v>NAAFTC-HS6-100790</x:v>
      </x:c>
      <x:c r="B590" s="13" t="str">
        <x:v>100790</x:v>
      </x:c>
      <x:c r="C590" s="13" t="str">
        <x:v>10</x:v>
      </x:c>
      <x:c r="D590" s="13" t="str">
        <x:v>TRILATERAL_SPLIT_MERGE</x:v>
      </x:c>
      <x:c r="E590" s="13" t="str">
        <x:v>Pending</x:v>
      </x:c>
      <x:c r="F590" s="13" t="n">
        <x:v>1</x:v>
      </x:c>
      <x:c r="G590" s="13" t="n">
        <x:v>2</x:v>
      </x:c>
      <x:c r="H590" s="13" t="n">
        <x:v>1</x:v>
      </x:c>
      <x:c r="I590" s="13" t="str">
        <x:v>1007900000</x:v>
      </x:c>
      <x:c r="J590" s="13" t="str">
        <x:v>1007900100; 1007900200</x:v>
      </x:c>
      <x:c r="K590" s="13" t="str">
        <x:v>1007900000</x:v>
      </x:c>
      <x:c r="L590" s="13" t="str">
        <x:v>UNRESOLVED</x:v>
      </x:c>
      <x:c r="M590" s="13" t="str"/>
      <x:c r="N590" s="13" t="str">
        <x:v>NO / DEFAULT</x:v>
      </x:c>
      <x:c r="O590" s="13" t="str"/>
      <x:c r="P590" s="13" t="str">
        <x:v>NO / DEFAULT</x:v>
      </x:c>
      <x:c r="Q590" s="13" t="str"/>
      <x:c r="R590" s="13" t="str">
        <x:v>INDEPENDENT / DEFAULT</x:v>
      </x:c>
      <x:c r="S590" s="13" t="str"/>
      <x:c r="T590" s="13" t="str">
        <x:v>UNRESOLVED</x:v>
      </x:c>
      <x:c r="U590" s="13" t="str"/>
      <x:c r="V590" s="13" t="str"/>
      <x:c r="W590" s="13" t="str"/>
      <x:c r="X590" s="13" t="str">
        <x:f>IF(L590&lt;&gt;"COVERED","HELD — COVERAGE",IF(N590="YES — SENSITIVE","C ACTIONABLE","CHAPTER 5 DEFAULT"))</x:f>
        <x:v>HELD — COVERAGE</x:v>
      </x:c>
      <x:c r="Y590" s="13" t="str">
        <x:f>IF(L590&lt;&gt;"COVERED","HELD — COVERAGE",IF(P590="YES — MANAGED ACCESS","D ACTIONABLE","NO D FIELD"))</x:f>
        <x:v>HELD — COVERAGE</x:v>
      </x:c>
      <x:c r="Z590" s="13" t="str">
        <x:f>IF(L590&lt;&gt;"COVERED","HELD — COVERAGE",IF(OR(R590="PAIRED SYNCHRONIZED",R590="TRILATERAL SYNCHRONIZED"),"E ACTIONABLE","INDEPENDENT"))</x:f>
        <x:v>HELD — COVERAGE</x:v>
      </x:c>
      <x:c r="AA590" s="13" t="str">
        <x:f>IF(L590&lt;&gt;"COVERED","HELD — COVERAGE","WAIT FOR UPSTREAM COMPLETION")</x:f>
        <x:v>HELD — COVERAGE</x:v>
      </x:c>
      <x:c r="AB590" s="13" t="str">
        <x:f>IF(L590&lt;&gt;"COVERED","HELD — COVERAGE",IF(T590="UNRESOLVED","G DECISION REQUIRED",IF(T590="NOT APPLICABLE","G N/A","G ACTIONABLE")))</x:f>
        <x:v>HELD — COVERAGE</x:v>
      </x:c>
      <x:c r="AC590" s="13" t="str">
        <x:f>IF(L590="UNRESOLVED","COVERAGE FIRST",IF(OR(L590="EXCLUDED",L590="OUT OF SCOPE"),"CLOSED BY COVERAGE",IF(AND(L590="COVERED",T590&lt;&gt;"UNRESOLVED"),"PARTIALLY ADOPTED","DECISIONS REMAIN")))</x:f>
        <x:v>COVERAGE FIRST</x:v>
      </x:c>
    </x:row>
    <x:row r="591">
      <x:c r="A591" s="13" t="str">
        <x:v>NAAFTC-HS6-100810</x:v>
      </x:c>
      <x:c r="B591" s="13" t="str">
        <x:v>100810</x:v>
      </x:c>
      <x:c r="C591" s="13" t="str">
        <x:v>10</x:v>
      </x:c>
      <x:c r="D591" s="13" t="str">
        <x:v>TRILATERAL_1_TO_1_TO_1</x:v>
      </x:c>
      <x:c r="E591" s="13" t="str">
        <x:v>Pending</x:v>
      </x:c>
      <x:c r="F591" s="13" t="n">
        <x:v>1</x:v>
      </x:c>
      <x:c r="G591" s="13" t="n">
        <x:v>1</x:v>
      </x:c>
      <x:c r="H591" s="13" t="n">
        <x:v>1</x:v>
      </x:c>
      <x:c r="I591" s="13" t="str">
        <x:v>1008100000</x:v>
      </x:c>
      <x:c r="J591" s="13" t="str">
        <x:v>1008100100</x:v>
      </x:c>
      <x:c r="K591" s="13" t="str">
        <x:v>1008100000</x:v>
      </x:c>
      <x:c r="L591" s="13" t="str">
        <x:v>UNRESOLVED</x:v>
      </x:c>
      <x:c r="M591" s="13" t="str"/>
      <x:c r="N591" s="13" t="str">
        <x:v>NO / DEFAULT</x:v>
      </x:c>
      <x:c r="O591" s="13" t="str"/>
      <x:c r="P591" s="13" t="str">
        <x:v>NO / DEFAULT</x:v>
      </x:c>
      <x:c r="Q591" s="13" t="str"/>
      <x:c r="R591" s="13" t="str">
        <x:v>INDEPENDENT / DEFAULT</x:v>
      </x:c>
      <x:c r="S591" s="13" t="str"/>
      <x:c r="T591" s="13" t="str">
        <x:v>UNRESOLVED</x:v>
      </x:c>
      <x:c r="U591" s="13" t="str"/>
      <x:c r="V591" s="13" t="str"/>
      <x:c r="W591" s="13" t="str"/>
      <x:c r="X591" s="13" t="str">
        <x:f>IF(L591&lt;&gt;"COVERED","HELD — COVERAGE",IF(N591="YES — SENSITIVE","C ACTIONABLE","CHAPTER 5 DEFAULT"))</x:f>
        <x:v>HELD — COVERAGE</x:v>
      </x:c>
      <x:c r="Y591" s="13" t="str">
        <x:f>IF(L591&lt;&gt;"COVERED","HELD — COVERAGE",IF(P591="YES — MANAGED ACCESS","D ACTIONABLE","NO D FIELD"))</x:f>
        <x:v>HELD — COVERAGE</x:v>
      </x:c>
      <x:c r="Z591" s="13" t="str">
        <x:f>IF(L591&lt;&gt;"COVERED","HELD — COVERAGE",IF(OR(R591="PAIRED SYNCHRONIZED",R591="TRILATERAL SYNCHRONIZED"),"E ACTIONABLE","INDEPENDENT"))</x:f>
        <x:v>HELD — COVERAGE</x:v>
      </x:c>
      <x:c r="AA591" s="13" t="str">
        <x:f>IF(L591&lt;&gt;"COVERED","HELD — COVERAGE","WAIT FOR UPSTREAM COMPLETION")</x:f>
        <x:v>HELD — COVERAGE</x:v>
      </x:c>
      <x:c r="AB591" s="13" t="str">
        <x:f>IF(L591&lt;&gt;"COVERED","HELD — COVERAGE",IF(T591="UNRESOLVED","G DECISION REQUIRED",IF(T591="NOT APPLICABLE","G N/A","G ACTIONABLE")))</x:f>
        <x:v>HELD — COVERAGE</x:v>
      </x:c>
      <x:c r="AC591" s="13" t="str">
        <x:f>IF(L591="UNRESOLVED","COVERAGE FIRST",IF(OR(L591="EXCLUDED",L591="OUT OF SCOPE"),"CLOSED BY COVERAGE",IF(AND(L591="COVERED",T591&lt;&gt;"UNRESOLVED"),"PARTIALLY ADOPTED","DECISIONS REMAIN")))</x:f>
        <x:v>COVERAGE FIRST</x:v>
      </x:c>
    </x:row>
    <x:row r="592">
      <x:c r="A592" s="13" t="str">
        <x:v>NAAFTC-HS6-100821</x:v>
      </x:c>
      <x:c r="B592" s="13" t="str">
        <x:v>100821</x:v>
      </x:c>
      <x:c r="C592" s="13" t="str">
        <x:v>10</x:v>
      </x:c>
      <x:c r="D592" s="13" t="str">
        <x:v>TRILATERAL_1_TO_1_TO_1</x:v>
      </x:c>
      <x:c r="E592" s="13" t="str">
        <x:v>Pending</x:v>
      </x:c>
      <x:c r="F592" s="13" t="n">
        <x:v>1</x:v>
      </x:c>
      <x:c r="G592" s="13" t="n">
        <x:v>1</x:v>
      </x:c>
      <x:c r="H592" s="13" t="n">
        <x:v>1</x:v>
      </x:c>
      <x:c r="I592" s="13" t="str">
        <x:v>1008210000</x:v>
      </x:c>
      <x:c r="J592" s="13" t="str">
        <x:v>1008210100</x:v>
      </x:c>
      <x:c r="K592" s="13" t="str">
        <x:v>1008210000</x:v>
      </x:c>
      <x:c r="L592" s="13" t="str">
        <x:v>UNRESOLVED</x:v>
      </x:c>
      <x:c r="M592" s="13" t="str"/>
      <x:c r="N592" s="13" t="str">
        <x:v>NO / DEFAULT</x:v>
      </x:c>
      <x:c r="O592" s="13" t="str"/>
      <x:c r="P592" s="13" t="str">
        <x:v>NO / DEFAULT</x:v>
      </x:c>
      <x:c r="Q592" s="13" t="str"/>
      <x:c r="R592" s="13" t="str">
        <x:v>INDEPENDENT / DEFAULT</x:v>
      </x:c>
      <x:c r="S592" s="13" t="str"/>
      <x:c r="T592" s="13" t="str">
        <x:v>UNRESOLVED</x:v>
      </x:c>
      <x:c r="U592" s="13" t="str"/>
      <x:c r="V592" s="13" t="str"/>
      <x:c r="W592" s="13" t="str"/>
      <x:c r="X592" s="13" t="str">
        <x:f>IF(L592&lt;&gt;"COVERED","HELD — COVERAGE",IF(N592="YES — SENSITIVE","C ACTIONABLE","CHAPTER 5 DEFAULT"))</x:f>
        <x:v>HELD — COVERAGE</x:v>
      </x:c>
      <x:c r="Y592" s="13" t="str">
        <x:f>IF(L592&lt;&gt;"COVERED","HELD — COVERAGE",IF(P592="YES — MANAGED ACCESS","D ACTIONABLE","NO D FIELD"))</x:f>
        <x:v>HELD — COVERAGE</x:v>
      </x:c>
      <x:c r="Z592" s="13" t="str">
        <x:f>IF(L592&lt;&gt;"COVERED","HELD — COVERAGE",IF(OR(R592="PAIRED SYNCHRONIZED",R592="TRILATERAL SYNCHRONIZED"),"E ACTIONABLE","INDEPENDENT"))</x:f>
        <x:v>HELD — COVERAGE</x:v>
      </x:c>
      <x:c r="AA592" s="13" t="str">
        <x:f>IF(L592&lt;&gt;"COVERED","HELD — COVERAGE","WAIT FOR UPSTREAM COMPLETION")</x:f>
        <x:v>HELD — COVERAGE</x:v>
      </x:c>
      <x:c r="AB592" s="13" t="str">
        <x:f>IF(L592&lt;&gt;"COVERED","HELD — COVERAGE",IF(T592="UNRESOLVED","G DECISION REQUIRED",IF(T592="NOT APPLICABLE","G N/A","G ACTIONABLE")))</x:f>
        <x:v>HELD — COVERAGE</x:v>
      </x:c>
      <x:c r="AC592" s="13" t="str">
        <x:f>IF(L592="UNRESOLVED","COVERAGE FIRST",IF(OR(L592="EXCLUDED",L592="OUT OF SCOPE"),"CLOSED BY COVERAGE",IF(AND(L592="COVERED",T592&lt;&gt;"UNRESOLVED"),"PARTIALLY ADOPTED","DECISIONS REMAIN")))</x:f>
        <x:v>COVERAGE FIRST</x:v>
      </x:c>
    </x:row>
    <x:row r="593">
      <x:c r="A593" s="13" t="str">
        <x:v>NAAFTC-HS6-100829</x:v>
      </x:c>
      <x:c r="B593" s="13" t="str">
        <x:v>100829</x:v>
      </x:c>
      <x:c r="C593" s="13" t="str">
        <x:v>10</x:v>
      </x:c>
      <x:c r="D593" s="13" t="str">
        <x:v>TRILATERAL_1_TO_1_TO_1</x:v>
      </x:c>
      <x:c r="E593" s="13" t="str">
        <x:v>Pending</x:v>
      </x:c>
      <x:c r="F593" s="13" t="n">
        <x:v>1</x:v>
      </x:c>
      <x:c r="G593" s="13" t="n">
        <x:v>1</x:v>
      </x:c>
      <x:c r="H593" s="13" t="n">
        <x:v>1</x:v>
      </x:c>
      <x:c r="I593" s="13" t="str">
        <x:v>1008290000</x:v>
      </x:c>
      <x:c r="J593" s="13" t="str">
        <x:v>1008299900</x:v>
      </x:c>
      <x:c r="K593" s="13" t="str">
        <x:v>1008290000</x:v>
      </x:c>
      <x:c r="L593" s="13" t="str">
        <x:v>UNRESOLVED</x:v>
      </x:c>
      <x:c r="M593" s="13" t="str"/>
      <x:c r="N593" s="13" t="str">
        <x:v>NO / DEFAULT</x:v>
      </x:c>
      <x:c r="O593" s="13" t="str"/>
      <x:c r="P593" s="13" t="str">
        <x:v>NO / DEFAULT</x:v>
      </x:c>
      <x:c r="Q593" s="13" t="str"/>
      <x:c r="R593" s="13" t="str">
        <x:v>INDEPENDENT / DEFAULT</x:v>
      </x:c>
      <x:c r="S593" s="13" t="str"/>
      <x:c r="T593" s="13" t="str">
        <x:v>UNRESOLVED</x:v>
      </x:c>
      <x:c r="U593" s="13" t="str"/>
      <x:c r="V593" s="13" t="str"/>
      <x:c r="W593" s="13" t="str"/>
      <x:c r="X593" s="13" t="str">
        <x:f>IF(L593&lt;&gt;"COVERED","HELD — COVERAGE",IF(N593="YES — SENSITIVE","C ACTIONABLE","CHAPTER 5 DEFAULT"))</x:f>
        <x:v>HELD — COVERAGE</x:v>
      </x:c>
      <x:c r="Y593" s="13" t="str">
        <x:f>IF(L593&lt;&gt;"COVERED","HELD — COVERAGE",IF(P593="YES — MANAGED ACCESS","D ACTIONABLE","NO D FIELD"))</x:f>
        <x:v>HELD — COVERAGE</x:v>
      </x:c>
      <x:c r="Z593" s="13" t="str">
        <x:f>IF(L593&lt;&gt;"COVERED","HELD — COVERAGE",IF(OR(R593="PAIRED SYNCHRONIZED",R593="TRILATERAL SYNCHRONIZED"),"E ACTIONABLE","INDEPENDENT"))</x:f>
        <x:v>HELD — COVERAGE</x:v>
      </x:c>
      <x:c r="AA593" s="13" t="str">
        <x:f>IF(L593&lt;&gt;"COVERED","HELD — COVERAGE","WAIT FOR UPSTREAM COMPLETION")</x:f>
        <x:v>HELD — COVERAGE</x:v>
      </x:c>
      <x:c r="AB593" s="13" t="str">
        <x:f>IF(L593&lt;&gt;"COVERED","HELD — COVERAGE",IF(T593="UNRESOLVED","G DECISION REQUIRED",IF(T593="NOT APPLICABLE","G N/A","G ACTIONABLE")))</x:f>
        <x:v>HELD — COVERAGE</x:v>
      </x:c>
      <x:c r="AC593" s="13" t="str">
        <x:f>IF(L593="UNRESOLVED","COVERAGE FIRST",IF(OR(L593="EXCLUDED",L593="OUT OF SCOPE"),"CLOSED BY COVERAGE",IF(AND(L593="COVERED",T593&lt;&gt;"UNRESOLVED"),"PARTIALLY ADOPTED","DECISIONS REMAIN")))</x:f>
        <x:v>COVERAGE FIRST</x:v>
      </x:c>
    </x:row>
    <x:row r="594">
      <x:c r="A594" s="13" t="str">
        <x:v>NAAFTC-HS6-100830</x:v>
      </x:c>
      <x:c r="B594" s="13" t="str">
        <x:v>100830</x:v>
      </x:c>
      <x:c r="C594" s="13" t="str">
        <x:v>10</x:v>
      </x:c>
      <x:c r="D594" s="13" t="str">
        <x:v>TRILATERAL_1_TO_1_TO_1</x:v>
      </x:c>
      <x:c r="E594" s="13" t="str">
        <x:v>Pending</x:v>
      </x:c>
      <x:c r="F594" s="13" t="n">
        <x:v>1</x:v>
      </x:c>
      <x:c r="G594" s="13" t="n">
        <x:v>1</x:v>
      </x:c>
      <x:c r="H594" s="13" t="n">
        <x:v>1</x:v>
      </x:c>
      <x:c r="I594" s="13" t="str">
        <x:v>1008300000</x:v>
      </x:c>
      <x:c r="J594" s="13" t="str">
        <x:v>1008300100</x:v>
      </x:c>
      <x:c r="K594" s="13" t="str">
        <x:v>1008300000</x:v>
      </x:c>
      <x:c r="L594" s="13" t="str">
        <x:v>UNRESOLVED</x:v>
      </x:c>
      <x:c r="M594" s="13" t="str"/>
      <x:c r="N594" s="13" t="str">
        <x:v>NO / DEFAULT</x:v>
      </x:c>
      <x:c r="O594" s="13" t="str"/>
      <x:c r="P594" s="13" t="str">
        <x:v>NO / DEFAULT</x:v>
      </x:c>
      <x:c r="Q594" s="13" t="str"/>
      <x:c r="R594" s="13" t="str">
        <x:v>INDEPENDENT / DEFAULT</x:v>
      </x:c>
      <x:c r="S594" s="13" t="str"/>
      <x:c r="T594" s="13" t="str">
        <x:v>UNRESOLVED</x:v>
      </x:c>
      <x:c r="U594" s="13" t="str"/>
      <x:c r="V594" s="13" t="str"/>
      <x:c r="W594" s="13" t="str"/>
      <x:c r="X594" s="13" t="str">
        <x:f>IF(L594&lt;&gt;"COVERED","HELD — COVERAGE",IF(N594="YES — SENSITIVE","C ACTIONABLE","CHAPTER 5 DEFAULT"))</x:f>
        <x:v>HELD — COVERAGE</x:v>
      </x:c>
      <x:c r="Y594" s="13" t="str">
        <x:f>IF(L594&lt;&gt;"COVERED","HELD — COVERAGE",IF(P594="YES — MANAGED ACCESS","D ACTIONABLE","NO D FIELD"))</x:f>
        <x:v>HELD — COVERAGE</x:v>
      </x:c>
      <x:c r="Z594" s="13" t="str">
        <x:f>IF(L594&lt;&gt;"COVERED","HELD — COVERAGE",IF(OR(R594="PAIRED SYNCHRONIZED",R594="TRILATERAL SYNCHRONIZED"),"E ACTIONABLE","INDEPENDENT"))</x:f>
        <x:v>HELD — COVERAGE</x:v>
      </x:c>
      <x:c r="AA594" s="13" t="str">
        <x:f>IF(L594&lt;&gt;"COVERED","HELD — COVERAGE","WAIT FOR UPSTREAM COMPLETION")</x:f>
        <x:v>HELD — COVERAGE</x:v>
      </x:c>
      <x:c r="AB594" s="13" t="str">
        <x:f>IF(L594&lt;&gt;"COVERED","HELD — COVERAGE",IF(T594="UNRESOLVED","G DECISION REQUIRED",IF(T594="NOT APPLICABLE","G N/A","G ACTIONABLE")))</x:f>
        <x:v>HELD — COVERAGE</x:v>
      </x:c>
      <x:c r="AC594" s="13" t="str">
        <x:f>IF(L594="UNRESOLVED","COVERAGE FIRST",IF(OR(L594="EXCLUDED",L594="OUT OF SCOPE"),"CLOSED BY COVERAGE",IF(AND(L594="COVERED",T594&lt;&gt;"UNRESOLVED"),"PARTIALLY ADOPTED","DECISIONS REMAIN")))</x:f>
        <x:v>COVERAGE FIRST</x:v>
      </x:c>
    </x:row>
    <x:row r="595">
      <x:c r="A595" s="13" t="str">
        <x:v>NAAFTC-HS6-100840</x:v>
      </x:c>
      <x:c r="B595" s="13" t="str">
        <x:v>100840</x:v>
      </x:c>
      <x:c r="C595" s="13" t="str">
        <x:v>10</x:v>
      </x:c>
      <x:c r="D595" s="13" t="str">
        <x:v>TRILATERAL_1_TO_1_TO_1</x:v>
      </x:c>
      <x:c r="E595" s="13" t="str">
        <x:v>Pending</x:v>
      </x:c>
      <x:c r="F595" s="13" t="n">
        <x:v>1</x:v>
      </x:c>
      <x:c r="G595" s="13" t="n">
        <x:v>1</x:v>
      </x:c>
      <x:c r="H595" s="13" t="n">
        <x:v>1</x:v>
      </x:c>
      <x:c r="I595" s="13" t="str">
        <x:v>1008400000</x:v>
      </x:c>
      <x:c r="J595" s="13" t="str">
        <x:v>1008400100</x:v>
      </x:c>
      <x:c r="K595" s="13" t="str">
        <x:v>1008400000</x:v>
      </x:c>
      <x:c r="L595" s="13" t="str">
        <x:v>UNRESOLVED</x:v>
      </x:c>
      <x:c r="M595" s="13" t="str"/>
      <x:c r="N595" s="13" t="str">
        <x:v>NO / DEFAULT</x:v>
      </x:c>
      <x:c r="O595" s="13" t="str"/>
      <x:c r="P595" s="13" t="str">
        <x:v>NO / DEFAULT</x:v>
      </x:c>
      <x:c r="Q595" s="13" t="str"/>
      <x:c r="R595" s="13" t="str">
        <x:v>INDEPENDENT / DEFAULT</x:v>
      </x:c>
      <x:c r="S595" s="13" t="str"/>
      <x:c r="T595" s="13" t="str">
        <x:v>UNRESOLVED</x:v>
      </x:c>
      <x:c r="U595" s="13" t="str"/>
      <x:c r="V595" s="13" t="str"/>
      <x:c r="W595" s="13" t="str"/>
      <x:c r="X595" s="13" t="str">
        <x:f>IF(L595&lt;&gt;"COVERED","HELD — COVERAGE",IF(N595="YES — SENSITIVE","C ACTIONABLE","CHAPTER 5 DEFAULT"))</x:f>
        <x:v>HELD — COVERAGE</x:v>
      </x:c>
      <x:c r="Y595" s="13" t="str">
        <x:f>IF(L595&lt;&gt;"COVERED","HELD — COVERAGE",IF(P595="YES — MANAGED ACCESS","D ACTIONABLE","NO D FIELD"))</x:f>
        <x:v>HELD — COVERAGE</x:v>
      </x:c>
      <x:c r="Z595" s="13" t="str">
        <x:f>IF(L595&lt;&gt;"COVERED","HELD — COVERAGE",IF(OR(R595="PAIRED SYNCHRONIZED",R595="TRILATERAL SYNCHRONIZED"),"E ACTIONABLE","INDEPENDENT"))</x:f>
        <x:v>HELD — COVERAGE</x:v>
      </x:c>
      <x:c r="AA595" s="13" t="str">
        <x:f>IF(L595&lt;&gt;"COVERED","HELD — COVERAGE","WAIT FOR UPSTREAM COMPLETION")</x:f>
        <x:v>HELD — COVERAGE</x:v>
      </x:c>
      <x:c r="AB595" s="13" t="str">
        <x:f>IF(L595&lt;&gt;"COVERED","HELD — COVERAGE",IF(T595="UNRESOLVED","G DECISION REQUIRED",IF(T595="NOT APPLICABLE","G N/A","G ACTIONABLE")))</x:f>
        <x:v>HELD — COVERAGE</x:v>
      </x:c>
      <x:c r="AC595" s="13" t="str">
        <x:f>IF(L595="UNRESOLVED","COVERAGE FIRST",IF(OR(L595="EXCLUDED",L595="OUT OF SCOPE"),"CLOSED BY COVERAGE",IF(AND(L595="COVERED",T595&lt;&gt;"UNRESOLVED"),"PARTIALLY ADOPTED","DECISIONS REMAIN")))</x:f>
        <x:v>COVERAGE FIRST</x:v>
      </x:c>
    </x:row>
    <x:row r="596">
      <x:c r="A596" s="13" t="str">
        <x:v>NAAFTC-HS6-100850</x:v>
      </x:c>
      <x:c r="B596" s="13" t="str">
        <x:v>100850</x:v>
      </x:c>
      <x:c r="C596" s="13" t="str">
        <x:v>10</x:v>
      </x:c>
      <x:c r="D596" s="13" t="str">
        <x:v>TRILATERAL_SPLIT_MERGE</x:v>
      </x:c>
      <x:c r="E596" s="13" t="str">
        <x:v>Pending</x:v>
      </x:c>
      <x:c r="F596" s="13" t="n">
        <x:v>2</x:v>
      </x:c>
      <x:c r="G596" s="13" t="n">
        <x:v>1</x:v>
      </x:c>
      <x:c r="H596" s="13" t="n">
        <x:v>1</x:v>
      </x:c>
      <x:c r="I596" s="13" t="str">
        <x:v>1008500010; 1008500090</x:v>
      </x:c>
      <x:c r="J596" s="13" t="str">
        <x:v>1008500100</x:v>
      </x:c>
      <x:c r="K596" s="13" t="str">
        <x:v>1008500000</x:v>
      </x:c>
      <x:c r="L596" s="13" t="str">
        <x:v>UNRESOLVED</x:v>
      </x:c>
      <x:c r="M596" s="13" t="str"/>
      <x:c r="N596" s="13" t="str">
        <x:v>NO / DEFAULT</x:v>
      </x:c>
      <x:c r="O596" s="13" t="str"/>
      <x:c r="P596" s="13" t="str">
        <x:v>NO / DEFAULT</x:v>
      </x:c>
      <x:c r="Q596" s="13" t="str"/>
      <x:c r="R596" s="13" t="str">
        <x:v>INDEPENDENT / DEFAULT</x:v>
      </x:c>
      <x:c r="S596" s="13" t="str"/>
      <x:c r="T596" s="13" t="str">
        <x:v>UNRESOLVED</x:v>
      </x:c>
      <x:c r="U596" s="13" t="str"/>
      <x:c r="V596" s="13" t="str"/>
      <x:c r="W596" s="13" t="str"/>
      <x:c r="X596" s="13" t="str">
        <x:f>IF(L596&lt;&gt;"COVERED","HELD — COVERAGE",IF(N596="YES — SENSITIVE","C ACTIONABLE","CHAPTER 5 DEFAULT"))</x:f>
        <x:v>HELD — COVERAGE</x:v>
      </x:c>
      <x:c r="Y596" s="13" t="str">
        <x:f>IF(L596&lt;&gt;"COVERED","HELD — COVERAGE",IF(P596="YES — MANAGED ACCESS","D ACTIONABLE","NO D FIELD"))</x:f>
        <x:v>HELD — COVERAGE</x:v>
      </x:c>
      <x:c r="Z596" s="13" t="str">
        <x:f>IF(L596&lt;&gt;"COVERED","HELD — COVERAGE",IF(OR(R596="PAIRED SYNCHRONIZED",R596="TRILATERAL SYNCHRONIZED"),"E ACTIONABLE","INDEPENDENT"))</x:f>
        <x:v>HELD — COVERAGE</x:v>
      </x:c>
      <x:c r="AA596" s="13" t="str">
        <x:f>IF(L596&lt;&gt;"COVERED","HELD — COVERAGE","WAIT FOR UPSTREAM COMPLETION")</x:f>
        <x:v>HELD — COVERAGE</x:v>
      </x:c>
      <x:c r="AB596" s="13" t="str">
        <x:f>IF(L596&lt;&gt;"COVERED","HELD — COVERAGE",IF(T596="UNRESOLVED","G DECISION REQUIRED",IF(T596="NOT APPLICABLE","G N/A","G ACTIONABLE")))</x:f>
        <x:v>HELD — COVERAGE</x:v>
      </x:c>
      <x:c r="AC596" s="13" t="str">
        <x:f>IF(L596="UNRESOLVED","COVERAGE FIRST",IF(OR(L596="EXCLUDED",L596="OUT OF SCOPE"),"CLOSED BY COVERAGE",IF(AND(L596="COVERED",T596&lt;&gt;"UNRESOLVED"),"PARTIALLY ADOPTED","DECISIONS REMAIN")))</x:f>
        <x:v>COVERAGE FIRST</x:v>
      </x:c>
    </x:row>
    <x:row r="597">
      <x:c r="A597" s="13" t="str">
        <x:v>NAAFTC-HS6-100860</x:v>
      </x:c>
      <x:c r="B597" s="13" t="str">
        <x:v>100860</x:v>
      </x:c>
      <x:c r="C597" s="13" t="str">
        <x:v>10</x:v>
      </x:c>
      <x:c r="D597" s="13" t="str">
        <x:v>TRILATERAL_1_TO_1_TO_1</x:v>
      </x:c>
      <x:c r="E597" s="13" t="str">
        <x:v>Pending</x:v>
      </x:c>
      <x:c r="F597" s="13" t="n">
        <x:v>1</x:v>
      </x:c>
      <x:c r="G597" s="13" t="n">
        <x:v>1</x:v>
      </x:c>
      <x:c r="H597" s="13" t="n">
        <x:v>1</x:v>
      </x:c>
      <x:c r="I597" s="13" t="str">
        <x:v>1008600000</x:v>
      </x:c>
      <x:c r="J597" s="13" t="str">
        <x:v>1008600100</x:v>
      </x:c>
      <x:c r="K597" s="13" t="str">
        <x:v>1008600000</x:v>
      </x:c>
      <x:c r="L597" s="13" t="str">
        <x:v>UNRESOLVED</x:v>
      </x:c>
      <x:c r="M597" s="13" t="str"/>
      <x:c r="N597" s="13" t="str">
        <x:v>NO / DEFAULT</x:v>
      </x:c>
      <x:c r="O597" s="13" t="str"/>
      <x:c r="P597" s="13" t="str">
        <x:v>NO / DEFAULT</x:v>
      </x:c>
      <x:c r="Q597" s="13" t="str"/>
      <x:c r="R597" s="13" t="str">
        <x:v>INDEPENDENT / DEFAULT</x:v>
      </x:c>
      <x:c r="S597" s="13" t="str"/>
      <x:c r="T597" s="13" t="str">
        <x:v>UNRESOLVED</x:v>
      </x:c>
      <x:c r="U597" s="13" t="str"/>
      <x:c r="V597" s="13" t="str"/>
      <x:c r="W597" s="13" t="str"/>
      <x:c r="X597" s="13" t="str">
        <x:f>IF(L597&lt;&gt;"COVERED","HELD — COVERAGE",IF(N597="YES — SENSITIVE","C ACTIONABLE","CHAPTER 5 DEFAULT"))</x:f>
        <x:v>HELD — COVERAGE</x:v>
      </x:c>
      <x:c r="Y597" s="13" t="str">
        <x:f>IF(L597&lt;&gt;"COVERED","HELD — COVERAGE",IF(P597="YES — MANAGED ACCESS","D ACTIONABLE","NO D FIELD"))</x:f>
        <x:v>HELD — COVERAGE</x:v>
      </x:c>
      <x:c r="Z597" s="13" t="str">
        <x:f>IF(L597&lt;&gt;"COVERED","HELD — COVERAGE",IF(OR(R597="PAIRED SYNCHRONIZED",R597="TRILATERAL SYNCHRONIZED"),"E ACTIONABLE","INDEPENDENT"))</x:f>
        <x:v>HELD — COVERAGE</x:v>
      </x:c>
      <x:c r="AA597" s="13" t="str">
        <x:f>IF(L597&lt;&gt;"COVERED","HELD — COVERAGE","WAIT FOR UPSTREAM COMPLETION")</x:f>
        <x:v>HELD — COVERAGE</x:v>
      </x:c>
      <x:c r="AB597" s="13" t="str">
        <x:f>IF(L597&lt;&gt;"COVERED","HELD — COVERAGE",IF(T597="UNRESOLVED","G DECISION REQUIRED",IF(T597="NOT APPLICABLE","G N/A","G ACTIONABLE")))</x:f>
        <x:v>HELD — COVERAGE</x:v>
      </x:c>
      <x:c r="AC597" s="13" t="str">
        <x:f>IF(L597="UNRESOLVED","COVERAGE FIRST",IF(OR(L597="EXCLUDED",L597="OUT OF SCOPE"),"CLOSED BY COVERAGE",IF(AND(L597="COVERED",T597&lt;&gt;"UNRESOLVED"),"PARTIALLY ADOPTED","DECISIONS REMAIN")))</x:f>
        <x:v>COVERAGE FIRST</x:v>
      </x:c>
    </x:row>
    <x:row r="598">
      <x:c r="A598" s="13" t="str">
        <x:v>NAAFTC-HS6-100890</x:v>
      </x:c>
      <x:c r="B598" s="13" t="str">
        <x:v>100890</x:v>
      </x:c>
      <x:c r="C598" s="13" t="str">
        <x:v>10</x:v>
      </x:c>
      <x:c r="D598" s="13" t="str">
        <x:v>TRILATERAL_SPLIT_MERGE</x:v>
      </x:c>
      <x:c r="E598" s="13" t="str">
        <x:v>Pending</x:v>
      </x:c>
      <x:c r="F598" s="13" t="n">
        <x:v>2</x:v>
      </x:c>
      <x:c r="G598" s="13" t="n">
        <x:v>1</x:v>
      </x:c>
      <x:c r="H598" s="13" t="n">
        <x:v>1</x:v>
      </x:c>
      <x:c r="I598" s="13" t="str">
        <x:v>1008900120; 1008900140</x:v>
      </x:c>
      <x:c r="J598" s="13" t="str">
        <x:v>1008909100</x:v>
      </x:c>
      <x:c r="K598" s="13" t="str">
        <x:v>10089000</x:v>
      </x:c>
      <x:c r="L598" s="13" t="str">
        <x:v>UNRESOLVED</x:v>
      </x:c>
      <x:c r="M598" s="13" t="str"/>
      <x:c r="N598" s="13" t="str">
        <x:v>NO / DEFAULT</x:v>
      </x:c>
      <x:c r="O598" s="13" t="str"/>
      <x:c r="P598" s="13" t="str">
        <x:v>NO / DEFAULT</x:v>
      </x:c>
      <x:c r="Q598" s="13" t="str"/>
      <x:c r="R598" s="13" t="str">
        <x:v>INDEPENDENT / DEFAULT</x:v>
      </x:c>
      <x:c r="S598" s="13" t="str"/>
      <x:c r="T598" s="13" t="str">
        <x:v>UNRESOLVED</x:v>
      </x:c>
      <x:c r="U598" s="13" t="str"/>
      <x:c r="V598" s="13" t="str"/>
      <x:c r="W598" s="13" t="str"/>
      <x:c r="X598" s="13" t="str">
        <x:f>IF(L598&lt;&gt;"COVERED","HELD — COVERAGE",IF(N598="YES — SENSITIVE","C ACTIONABLE","CHAPTER 5 DEFAULT"))</x:f>
        <x:v>HELD — COVERAGE</x:v>
      </x:c>
      <x:c r="Y598" s="13" t="str">
        <x:f>IF(L598&lt;&gt;"COVERED","HELD — COVERAGE",IF(P598="YES — MANAGED ACCESS","D ACTIONABLE","NO D FIELD"))</x:f>
        <x:v>HELD — COVERAGE</x:v>
      </x:c>
      <x:c r="Z598" s="13" t="str">
        <x:f>IF(L598&lt;&gt;"COVERED","HELD — COVERAGE",IF(OR(R598="PAIRED SYNCHRONIZED",R598="TRILATERAL SYNCHRONIZED"),"E ACTIONABLE","INDEPENDENT"))</x:f>
        <x:v>HELD — COVERAGE</x:v>
      </x:c>
      <x:c r="AA598" s="13" t="str">
        <x:f>IF(L598&lt;&gt;"COVERED","HELD — COVERAGE","WAIT FOR UPSTREAM COMPLETION")</x:f>
        <x:v>HELD — COVERAGE</x:v>
      </x:c>
      <x:c r="AB598" s="13" t="str">
        <x:f>IF(L598&lt;&gt;"COVERED","HELD — COVERAGE",IF(T598="UNRESOLVED","G DECISION REQUIRED",IF(T598="NOT APPLICABLE","G N/A","G ACTIONABLE")))</x:f>
        <x:v>HELD — COVERAGE</x:v>
      </x:c>
      <x:c r="AC598" s="13" t="str">
        <x:f>IF(L598="UNRESOLVED","COVERAGE FIRST",IF(OR(L598="EXCLUDED",L598="OUT OF SCOPE"),"CLOSED BY COVERAGE",IF(AND(L598="COVERED",T598&lt;&gt;"UNRESOLVED"),"PARTIALLY ADOPTED","DECISIONS REMAIN")))</x:f>
        <x:v>COVERAGE FIRST</x:v>
      </x:c>
    </x:row>
    <x:row r="599">
      <x:c r="A599" s="13" t="str">
        <x:v>NAAFTC-HS6-110100</x:v>
      </x:c>
      <x:c r="B599" s="13" t="str">
        <x:v>110100</x:v>
      </x:c>
      <x:c r="C599" s="13" t="str">
        <x:v>11</x:v>
      </x:c>
      <x:c r="D599" s="13" t="str">
        <x:v>TRILATERAL_SPLIT_MERGE</x:v>
      </x:c>
      <x:c r="E599" s="13" t="str">
        <x:v>Pending</x:v>
      </x:c>
      <x:c r="F599" s="13" t="n">
        <x:v>5</x:v>
      </x:c>
      <x:c r="G599" s="13" t="n">
        <x:v>1</x:v>
      </x:c>
      <x:c r="H599" s="13" t="n">
        <x:v>2</x:v>
      </x:c>
      <x:c r="I599" s="13" t="str">
        <x:v>1101000010; 1101000020; 1101000030; 1101000050; 1101000060</x:v>
      </x:c>
      <x:c r="J599" s="13" t="str">
        <x:v>1101000100</x:v>
      </x:c>
      <x:c r="K599" s="13" t="str">
        <x:v>1101001000; 1101002000</x:v>
      </x:c>
      <x:c r="L599" s="13" t="str">
        <x:v>UNRESOLVED</x:v>
      </x:c>
      <x:c r="M599" s="13" t="str"/>
      <x:c r="N599" s="13" t="str">
        <x:v>NO / DEFAULT</x:v>
      </x:c>
      <x:c r="O599" s="13" t="str"/>
      <x:c r="P599" s="13" t="str">
        <x:v>NO / DEFAULT</x:v>
      </x:c>
      <x:c r="Q599" s="13" t="str"/>
      <x:c r="R599" s="13" t="str">
        <x:v>INDEPENDENT / DEFAULT</x:v>
      </x:c>
      <x:c r="S599" s="13" t="str"/>
      <x:c r="T599" s="13" t="str">
        <x:v>UNRESOLVED</x:v>
      </x:c>
      <x:c r="U599" s="13" t="str"/>
      <x:c r="V599" s="13" t="str"/>
      <x:c r="W599" s="13" t="str"/>
      <x:c r="X599" s="13" t="str">
        <x:f>IF(L599&lt;&gt;"COVERED","HELD — COVERAGE",IF(N599="YES — SENSITIVE","C ACTIONABLE","CHAPTER 5 DEFAULT"))</x:f>
        <x:v>HELD — COVERAGE</x:v>
      </x:c>
      <x:c r="Y599" s="13" t="str">
        <x:f>IF(L599&lt;&gt;"COVERED","HELD — COVERAGE",IF(P599="YES — MANAGED ACCESS","D ACTIONABLE","NO D FIELD"))</x:f>
        <x:v>HELD — COVERAGE</x:v>
      </x:c>
      <x:c r="Z599" s="13" t="str">
        <x:f>IF(L599&lt;&gt;"COVERED","HELD — COVERAGE",IF(OR(R599="PAIRED SYNCHRONIZED",R599="TRILATERAL SYNCHRONIZED"),"E ACTIONABLE","INDEPENDENT"))</x:f>
        <x:v>HELD — COVERAGE</x:v>
      </x:c>
      <x:c r="AA599" s="13" t="str">
        <x:f>IF(L599&lt;&gt;"COVERED","HELD — COVERAGE","WAIT FOR UPSTREAM COMPLETION")</x:f>
        <x:v>HELD — COVERAGE</x:v>
      </x:c>
      <x:c r="AB599" s="13" t="str">
        <x:f>IF(L599&lt;&gt;"COVERED","HELD — COVERAGE",IF(T599="UNRESOLVED","G DECISION REQUIRED",IF(T599="NOT APPLICABLE","G N/A","G ACTIONABLE")))</x:f>
        <x:v>HELD — COVERAGE</x:v>
      </x:c>
      <x:c r="AC599" s="13" t="str">
        <x:f>IF(L599="UNRESOLVED","COVERAGE FIRST",IF(OR(L599="EXCLUDED",L599="OUT OF SCOPE"),"CLOSED BY COVERAGE",IF(AND(L599="COVERED",T599&lt;&gt;"UNRESOLVED"),"PARTIALLY ADOPTED","DECISIONS REMAIN")))</x:f>
        <x:v>COVERAGE FIRST</x:v>
      </x:c>
    </x:row>
    <x:row r="600">
      <x:c r="A600" s="13" t="str">
        <x:v>NAAFTC-HS6-110220</x:v>
      </x:c>
      <x:c r="B600" s="13" t="str">
        <x:v>110220</x:v>
      </x:c>
      <x:c r="C600" s="13" t="str">
        <x:v>11</x:v>
      </x:c>
      <x:c r="D600" s="13" t="str">
        <x:v>TRILATERAL_1_TO_1_TO_1</x:v>
      </x:c>
      <x:c r="E600" s="13" t="str">
        <x:v>Pending</x:v>
      </x:c>
      <x:c r="F600" s="13" t="n">
        <x:v>1</x:v>
      </x:c>
      <x:c r="G600" s="13" t="n">
        <x:v>1</x:v>
      </x:c>
      <x:c r="H600" s="13" t="n">
        <x:v>1</x:v>
      </x:c>
      <x:c r="I600" s="13" t="str">
        <x:v>1102200000</x:v>
      </x:c>
      <x:c r="J600" s="13" t="str">
        <x:v>1102200100</x:v>
      </x:c>
      <x:c r="K600" s="13" t="str">
        <x:v>1102200000</x:v>
      </x:c>
      <x:c r="L600" s="13" t="str">
        <x:v>UNRESOLVED</x:v>
      </x:c>
      <x:c r="M600" s="13" t="str"/>
      <x:c r="N600" s="13" t="str">
        <x:v>NO / DEFAULT</x:v>
      </x:c>
      <x:c r="O600" s="13" t="str"/>
      <x:c r="P600" s="13" t="str">
        <x:v>NO / DEFAULT</x:v>
      </x:c>
      <x:c r="Q600" s="13" t="str"/>
      <x:c r="R600" s="13" t="str">
        <x:v>INDEPENDENT / DEFAULT</x:v>
      </x:c>
      <x:c r="S600" s="13" t="str"/>
      <x:c r="T600" s="13" t="str">
        <x:v>UNRESOLVED</x:v>
      </x:c>
      <x:c r="U600" s="13" t="str"/>
      <x:c r="V600" s="13" t="str"/>
      <x:c r="W600" s="13" t="str"/>
      <x:c r="X600" s="13" t="str">
        <x:f>IF(L600&lt;&gt;"COVERED","HELD — COVERAGE",IF(N600="YES — SENSITIVE","C ACTIONABLE","CHAPTER 5 DEFAULT"))</x:f>
        <x:v>HELD — COVERAGE</x:v>
      </x:c>
      <x:c r="Y600" s="13" t="str">
        <x:f>IF(L600&lt;&gt;"COVERED","HELD — COVERAGE",IF(P600="YES — MANAGED ACCESS","D ACTIONABLE","NO D FIELD"))</x:f>
        <x:v>HELD — COVERAGE</x:v>
      </x:c>
      <x:c r="Z600" s="13" t="str">
        <x:f>IF(L600&lt;&gt;"COVERED","HELD — COVERAGE",IF(OR(R600="PAIRED SYNCHRONIZED",R600="TRILATERAL SYNCHRONIZED"),"E ACTIONABLE","INDEPENDENT"))</x:f>
        <x:v>HELD — COVERAGE</x:v>
      </x:c>
      <x:c r="AA600" s="13" t="str">
        <x:f>IF(L600&lt;&gt;"COVERED","HELD — COVERAGE","WAIT FOR UPSTREAM COMPLETION")</x:f>
        <x:v>HELD — COVERAGE</x:v>
      </x:c>
      <x:c r="AB600" s="13" t="str">
        <x:f>IF(L600&lt;&gt;"COVERED","HELD — COVERAGE",IF(T600="UNRESOLVED","G DECISION REQUIRED",IF(T600="NOT APPLICABLE","G N/A","G ACTIONABLE")))</x:f>
        <x:v>HELD — COVERAGE</x:v>
      </x:c>
      <x:c r="AC600" s="13" t="str">
        <x:f>IF(L600="UNRESOLVED","COVERAGE FIRST",IF(OR(L600="EXCLUDED",L600="OUT OF SCOPE"),"CLOSED BY COVERAGE",IF(AND(L600="COVERED",T600&lt;&gt;"UNRESOLVED"),"PARTIALLY ADOPTED","DECISIONS REMAIN")))</x:f>
        <x:v>COVERAGE FIRST</x:v>
      </x:c>
    </x:row>
    <x:row r="601">
      <x:c r="A601" s="13" t="str">
        <x:v>NAAFTC-HS6-110290</x:v>
      </x:c>
      <x:c r="B601" s="13" t="str">
        <x:v>110290</x:v>
      </x:c>
      <x:c r="C601" s="13" t="str">
        <x:v>11</x:v>
      </x:c>
      <x:c r="D601" s="13" t="str">
        <x:v>TRILATERAL_SPLIT_MERGE</x:v>
      </x:c>
      <x:c r="E601" s="13" t="str">
        <x:v>Pending</x:v>
      </x:c>
      <x:c r="F601" s="13" t="n">
        <x:v>5</x:v>
      </x:c>
      <x:c r="G601" s="13" t="n">
        <x:v>2</x:v>
      </x:c>
      <x:c r="H601" s="13" t="n">
        <x:v>5</x:v>
      </x:c>
      <x:c r="I601" s="13" t="str">
        <x:v>1102902000; 1102902500; 1102902700; 1102903000; 1102906000</x:v>
      </x:c>
      <x:c r="J601" s="13" t="str">
        <x:v>1102909901; 1102909999</x:v>
      </x:c>
      <x:c r="K601" s="13" t="str">
        <x:v>1102901100; 1102901200; 1102902000; 1102903000; 1102909000</x:v>
      </x:c>
      <x:c r="L601" s="13" t="str">
        <x:v>UNRESOLVED</x:v>
      </x:c>
      <x:c r="M601" s="13" t="str"/>
      <x:c r="N601" s="13" t="str">
        <x:v>NO / DEFAULT</x:v>
      </x:c>
      <x:c r="O601" s="13" t="str"/>
      <x:c r="P601" s="13" t="str">
        <x:v>NO / DEFAULT</x:v>
      </x:c>
      <x:c r="Q601" s="13" t="str"/>
      <x:c r="R601" s="13" t="str">
        <x:v>INDEPENDENT / DEFAULT</x:v>
      </x:c>
      <x:c r="S601" s="13" t="str"/>
      <x:c r="T601" s="13" t="str">
        <x:v>UNRESOLVED</x:v>
      </x:c>
      <x:c r="U601" s="13" t="str"/>
      <x:c r="V601" s="13" t="str"/>
      <x:c r="W601" s="13" t="str"/>
      <x:c r="X601" s="13" t="str">
        <x:f>IF(L601&lt;&gt;"COVERED","HELD — COVERAGE",IF(N601="YES — SENSITIVE","C ACTIONABLE","CHAPTER 5 DEFAULT"))</x:f>
        <x:v>HELD — COVERAGE</x:v>
      </x:c>
      <x:c r="Y601" s="13" t="str">
        <x:f>IF(L601&lt;&gt;"COVERED","HELD — COVERAGE",IF(P601="YES — MANAGED ACCESS","D ACTIONABLE","NO D FIELD"))</x:f>
        <x:v>HELD — COVERAGE</x:v>
      </x:c>
      <x:c r="Z601" s="13" t="str">
        <x:f>IF(L601&lt;&gt;"COVERED","HELD — COVERAGE",IF(OR(R601="PAIRED SYNCHRONIZED",R601="TRILATERAL SYNCHRONIZED"),"E ACTIONABLE","INDEPENDENT"))</x:f>
        <x:v>HELD — COVERAGE</x:v>
      </x:c>
      <x:c r="AA601" s="13" t="str">
        <x:f>IF(L601&lt;&gt;"COVERED","HELD — COVERAGE","WAIT FOR UPSTREAM COMPLETION")</x:f>
        <x:v>HELD — COVERAGE</x:v>
      </x:c>
      <x:c r="AB601" s="13" t="str">
        <x:f>IF(L601&lt;&gt;"COVERED","HELD — COVERAGE",IF(T601="UNRESOLVED","G DECISION REQUIRED",IF(T601="NOT APPLICABLE","G N/A","G ACTIONABLE")))</x:f>
        <x:v>HELD — COVERAGE</x:v>
      </x:c>
      <x:c r="AC601" s="13" t="str">
        <x:f>IF(L601="UNRESOLVED","COVERAGE FIRST",IF(OR(L601="EXCLUDED",L601="OUT OF SCOPE"),"CLOSED BY COVERAGE",IF(AND(L601="COVERED",T601&lt;&gt;"UNRESOLVED"),"PARTIALLY ADOPTED","DECISIONS REMAIN")))</x:f>
        <x:v>COVERAGE FIRST</x:v>
      </x:c>
    </x:row>
    <x:row r="602">
      <x:c r="A602" s="13" t="str">
        <x:v>NAAFTC-HS6-110311</x:v>
      </x:c>
      <x:c r="B602" s="13" t="str">
        <x:v>110311</x:v>
      </x:c>
      <x:c r="C602" s="13" t="str">
        <x:v>11</x:v>
      </x:c>
      <x:c r="D602" s="13" t="str">
        <x:v>TRILATERAL_SPLIT_MERGE</x:v>
      </x:c>
      <x:c r="E602" s="13" t="str">
        <x:v>Pending</x:v>
      </x:c>
      <x:c r="F602" s="13" t="n">
        <x:v>2</x:v>
      </x:c>
      <x:c r="G602" s="13" t="n">
        <x:v>1</x:v>
      </x:c>
      <x:c r="H602" s="13" t="n">
        <x:v>2</x:v>
      </x:c>
      <x:c r="I602" s="13" t="str">
        <x:v>1103110020; 1103110040</x:v>
      </x:c>
      <x:c r="J602" s="13" t="str">
        <x:v>1103110100</x:v>
      </x:c>
      <x:c r="K602" s="13" t="str">
        <x:v>1103111000; 1103112000</x:v>
      </x:c>
      <x:c r="L602" s="13" t="str">
        <x:v>UNRESOLVED</x:v>
      </x:c>
      <x:c r="M602" s="13" t="str"/>
      <x:c r="N602" s="13" t="str">
        <x:v>NO / DEFAULT</x:v>
      </x:c>
      <x:c r="O602" s="13" t="str"/>
      <x:c r="P602" s="13" t="str">
        <x:v>NO / DEFAULT</x:v>
      </x:c>
      <x:c r="Q602" s="13" t="str"/>
      <x:c r="R602" s="13" t="str">
        <x:v>INDEPENDENT / DEFAULT</x:v>
      </x:c>
      <x:c r="S602" s="13" t="str"/>
      <x:c r="T602" s="13" t="str">
        <x:v>UNRESOLVED</x:v>
      </x:c>
      <x:c r="U602" s="13" t="str"/>
      <x:c r="V602" s="13" t="str"/>
      <x:c r="W602" s="13" t="str"/>
      <x:c r="X602" s="13" t="str">
        <x:f>IF(L602&lt;&gt;"COVERED","HELD — COVERAGE",IF(N602="YES — SENSITIVE","C ACTIONABLE","CHAPTER 5 DEFAULT"))</x:f>
        <x:v>HELD — COVERAGE</x:v>
      </x:c>
      <x:c r="Y602" s="13" t="str">
        <x:f>IF(L602&lt;&gt;"COVERED","HELD — COVERAGE",IF(P602="YES — MANAGED ACCESS","D ACTIONABLE","NO D FIELD"))</x:f>
        <x:v>HELD — COVERAGE</x:v>
      </x:c>
      <x:c r="Z602" s="13" t="str">
        <x:f>IF(L602&lt;&gt;"COVERED","HELD — COVERAGE",IF(OR(R602="PAIRED SYNCHRONIZED",R602="TRILATERAL SYNCHRONIZED"),"E ACTIONABLE","INDEPENDENT"))</x:f>
        <x:v>HELD — COVERAGE</x:v>
      </x:c>
      <x:c r="AA602" s="13" t="str">
        <x:f>IF(L602&lt;&gt;"COVERED","HELD — COVERAGE","WAIT FOR UPSTREAM COMPLETION")</x:f>
        <x:v>HELD — COVERAGE</x:v>
      </x:c>
      <x:c r="AB602" s="13" t="str">
        <x:f>IF(L602&lt;&gt;"COVERED","HELD — COVERAGE",IF(T602="UNRESOLVED","G DECISION REQUIRED",IF(T602="NOT APPLICABLE","G N/A","G ACTIONABLE")))</x:f>
        <x:v>HELD — COVERAGE</x:v>
      </x:c>
      <x:c r="AC602" s="13" t="str">
        <x:f>IF(L602="UNRESOLVED","COVERAGE FIRST",IF(OR(L602="EXCLUDED",L602="OUT OF SCOPE"),"CLOSED BY COVERAGE",IF(AND(L602="COVERED",T602&lt;&gt;"UNRESOLVED"),"PARTIALLY ADOPTED","DECISIONS REMAIN")))</x:f>
        <x:v>COVERAGE FIRST</x:v>
      </x:c>
    </x:row>
    <x:row r="603">
      <x:c r="A603" s="13" t="str">
        <x:v>NAAFTC-HS6-110313</x:v>
      </x:c>
      <x:c r="B603" s="13" t="str">
        <x:v>110313</x:v>
      </x:c>
      <x:c r="C603" s="13" t="str">
        <x:v>11</x:v>
      </x:c>
      <x:c r="D603" s="13" t="str">
        <x:v>TRILATERAL_SPLIT_MERGE</x:v>
      </x:c>
      <x:c r="E603" s="13" t="str">
        <x:v>Pending</x:v>
      </x:c>
      <x:c r="F603" s="13" t="n">
        <x:v>2</x:v>
      </x:c>
      <x:c r="G603" s="13" t="n">
        <x:v>1</x:v>
      </x:c>
      <x:c r="H603" s="13" t="n">
        <x:v>1</x:v>
      </x:c>
      <x:c r="I603" s="13" t="str">
        <x:v>1103130020; 1103130060</x:v>
      </x:c>
      <x:c r="J603" s="13" t="str">
        <x:v>1103130100</x:v>
      </x:c>
      <x:c r="K603" s="13" t="str">
        <x:v>11031300</x:v>
      </x:c>
      <x:c r="L603" s="13" t="str">
        <x:v>UNRESOLVED</x:v>
      </x:c>
      <x:c r="M603" s="13" t="str"/>
      <x:c r="N603" s="13" t="str">
        <x:v>NO / DEFAULT</x:v>
      </x:c>
      <x:c r="O603" s="13" t="str"/>
      <x:c r="P603" s="13" t="str">
        <x:v>NO / DEFAULT</x:v>
      </x:c>
      <x:c r="Q603" s="13" t="str"/>
      <x:c r="R603" s="13" t="str">
        <x:v>INDEPENDENT / DEFAULT</x:v>
      </x:c>
      <x:c r="S603" s="13" t="str"/>
      <x:c r="T603" s="13" t="str">
        <x:v>UNRESOLVED</x:v>
      </x:c>
      <x:c r="U603" s="13" t="str"/>
      <x:c r="V603" s="13" t="str"/>
      <x:c r="W603" s="13" t="str"/>
      <x:c r="X603" s="13" t="str">
        <x:f>IF(L603&lt;&gt;"COVERED","HELD — COVERAGE",IF(N603="YES — SENSITIVE","C ACTIONABLE","CHAPTER 5 DEFAULT"))</x:f>
        <x:v>HELD — COVERAGE</x:v>
      </x:c>
      <x:c r="Y603" s="13" t="str">
        <x:f>IF(L603&lt;&gt;"COVERED","HELD — COVERAGE",IF(P603="YES — MANAGED ACCESS","D ACTIONABLE","NO D FIELD"))</x:f>
        <x:v>HELD — COVERAGE</x:v>
      </x:c>
      <x:c r="Z603" s="13" t="str">
        <x:f>IF(L603&lt;&gt;"COVERED","HELD — COVERAGE",IF(OR(R603="PAIRED SYNCHRONIZED",R603="TRILATERAL SYNCHRONIZED"),"E ACTIONABLE","INDEPENDENT"))</x:f>
        <x:v>HELD — COVERAGE</x:v>
      </x:c>
      <x:c r="AA603" s="13" t="str">
        <x:f>IF(L603&lt;&gt;"COVERED","HELD — COVERAGE","WAIT FOR UPSTREAM COMPLETION")</x:f>
        <x:v>HELD — COVERAGE</x:v>
      </x:c>
      <x:c r="AB603" s="13" t="str">
        <x:f>IF(L603&lt;&gt;"COVERED","HELD — COVERAGE",IF(T603="UNRESOLVED","G DECISION REQUIRED",IF(T603="NOT APPLICABLE","G N/A","G ACTIONABLE")))</x:f>
        <x:v>HELD — COVERAGE</x:v>
      </x:c>
      <x:c r="AC603" s="13" t="str">
        <x:f>IF(L603="UNRESOLVED","COVERAGE FIRST",IF(OR(L603="EXCLUDED",L603="OUT OF SCOPE"),"CLOSED BY COVERAGE",IF(AND(L603="COVERED",T603&lt;&gt;"UNRESOLVED"),"PARTIALLY ADOPTED","DECISIONS REMAIN")))</x:f>
        <x:v>COVERAGE FIRST</x:v>
      </x:c>
    </x:row>
    <x:row r="604">
      <x:c r="A604" s="13" t="str">
        <x:v>NAAFTC-HS6-110319</x:v>
      </x:c>
      <x:c r="B604" s="13" t="str">
        <x:v>110319</x:v>
      </x:c>
      <x:c r="C604" s="13" t="str">
        <x:v>11</x:v>
      </x:c>
      <x:c r="D604" s="13" t="str">
        <x:v>TRILATERAL_SPLIT_MERGE</x:v>
      </x:c>
      <x:c r="E604" s="13" t="str">
        <x:v>Pending</x:v>
      </x:c>
      <x:c r="F604" s="13" t="n">
        <x:v>3</x:v>
      </x:c>
      <x:c r="G604" s="13" t="n">
        <x:v>2</x:v>
      </x:c>
      <x:c r="H604" s="13" t="n">
        <x:v>1</x:v>
      </x:c>
      <x:c r="I604" s="13" t="str">
        <x:v>1103191200; 1103191400; 1103199000</x:v>
      </x:c>
      <x:c r="J604" s="13" t="str">
        <x:v>1103199101; 1103199199</x:v>
      </x:c>
      <x:c r="K604" s="13" t="str">
        <x:v>1103191100</x:v>
      </x:c>
      <x:c r="L604" s="13" t="str">
        <x:v>UNRESOLVED</x:v>
      </x:c>
      <x:c r="M604" s="13" t="str"/>
      <x:c r="N604" s="13" t="str">
        <x:v>NO / DEFAULT</x:v>
      </x:c>
      <x:c r="O604" s="13" t="str"/>
      <x:c r="P604" s="13" t="str">
        <x:v>NO / DEFAULT</x:v>
      </x:c>
      <x:c r="Q604" s="13" t="str"/>
      <x:c r="R604" s="13" t="str">
        <x:v>INDEPENDENT / DEFAULT</x:v>
      </x:c>
      <x:c r="S604" s="13" t="str"/>
      <x:c r="T604" s="13" t="str">
        <x:v>UNRESOLVED</x:v>
      </x:c>
      <x:c r="U604" s="13" t="str"/>
      <x:c r="V604" s="13" t="str"/>
      <x:c r="W604" s="13" t="str"/>
      <x:c r="X604" s="13" t="str">
        <x:f>IF(L604&lt;&gt;"COVERED","HELD — COVERAGE",IF(N604="YES — SENSITIVE","C ACTIONABLE","CHAPTER 5 DEFAULT"))</x:f>
        <x:v>HELD — COVERAGE</x:v>
      </x:c>
      <x:c r="Y604" s="13" t="str">
        <x:f>IF(L604&lt;&gt;"COVERED","HELD — COVERAGE",IF(P604="YES — MANAGED ACCESS","D ACTIONABLE","NO D FIELD"))</x:f>
        <x:v>HELD — COVERAGE</x:v>
      </x:c>
      <x:c r="Z604" s="13" t="str">
        <x:f>IF(L604&lt;&gt;"COVERED","HELD — COVERAGE",IF(OR(R604="PAIRED SYNCHRONIZED",R604="TRILATERAL SYNCHRONIZED"),"E ACTIONABLE","INDEPENDENT"))</x:f>
        <x:v>HELD — COVERAGE</x:v>
      </x:c>
      <x:c r="AA604" s="13" t="str">
        <x:f>IF(L604&lt;&gt;"COVERED","HELD — COVERAGE","WAIT FOR UPSTREAM COMPLETION")</x:f>
        <x:v>HELD — COVERAGE</x:v>
      </x:c>
      <x:c r="AB604" s="13" t="str">
        <x:f>IF(L604&lt;&gt;"COVERED","HELD — COVERAGE",IF(T604="UNRESOLVED","G DECISION REQUIRED",IF(T604="NOT APPLICABLE","G N/A","G ACTIONABLE")))</x:f>
        <x:v>HELD — COVERAGE</x:v>
      </x:c>
      <x:c r="AC604" s="13" t="str">
        <x:f>IF(L604="UNRESOLVED","COVERAGE FIRST",IF(OR(L604="EXCLUDED",L604="OUT OF SCOPE"),"CLOSED BY COVERAGE",IF(AND(L604="COVERED",T604&lt;&gt;"UNRESOLVED"),"PARTIALLY ADOPTED","DECISIONS REMAIN")))</x:f>
        <x:v>COVERAGE FIRST</x:v>
      </x:c>
    </x:row>
    <x:row r="605">
      <x:c r="A605" s="13" t="str">
        <x:v>NAAFTC-HS6-110320</x:v>
      </x:c>
      <x:c r="B605" s="13" t="str">
        <x:v>110320</x:v>
      </x:c>
      <x:c r="C605" s="13" t="str">
        <x:v>11</x:v>
      </x:c>
      <x:c r="D605" s="13" t="str">
        <x:v>TRILATERAL_SPLIT_MERGE</x:v>
      </x:c>
      <x:c r="E605" s="13" t="str">
        <x:v>Pending</x:v>
      </x:c>
      <x:c r="F605" s="13" t="n">
        <x:v>2</x:v>
      </x:c>
      <x:c r="G605" s="13" t="n">
        <x:v>2</x:v>
      </x:c>
      <x:c r="H605" s="13" t="n">
        <x:v>5</x:v>
      </x:c>
      <x:c r="I605" s="13" t="str">
        <x:v>1103200010; 1103200090</x:v>
      </x:c>
      <x:c r="J605" s="13" t="str">
        <x:v>1103200201; 1103200299</x:v>
      </x:c>
      <x:c r="K605" s="13" t="str">
        <x:v>1103201100; 1103201200; 1103202100; 1103202200; 1103209000</x:v>
      </x:c>
      <x:c r="L605" s="13" t="str">
        <x:v>UNRESOLVED</x:v>
      </x:c>
      <x:c r="M605" s="13" t="str"/>
      <x:c r="N605" s="13" t="str">
        <x:v>NO / DEFAULT</x:v>
      </x:c>
      <x:c r="O605" s="13" t="str"/>
      <x:c r="P605" s="13" t="str">
        <x:v>NO / DEFAULT</x:v>
      </x:c>
      <x:c r="Q605" s="13" t="str"/>
      <x:c r="R605" s="13" t="str">
        <x:v>INDEPENDENT / DEFAULT</x:v>
      </x:c>
      <x:c r="S605" s="13" t="str"/>
      <x:c r="T605" s="13" t="str">
        <x:v>UNRESOLVED</x:v>
      </x:c>
      <x:c r="U605" s="13" t="str"/>
      <x:c r="V605" s="13" t="str"/>
      <x:c r="W605" s="13" t="str"/>
      <x:c r="X605" s="13" t="str">
        <x:f>IF(L605&lt;&gt;"COVERED","HELD — COVERAGE",IF(N605="YES — SENSITIVE","C ACTIONABLE","CHAPTER 5 DEFAULT"))</x:f>
        <x:v>HELD — COVERAGE</x:v>
      </x:c>
      <x:c r="Y605" s="13" t="str">
        <x:f>IF(L605&lt;&gt;"COVERED","HELD — COVERAGE",IF(P605="YES — MANAGED ACCESS","D ACTIONABLE","NO D FIELD"))</x:f>
        <x:v>HELD — COVERAGE</x:v>
      </x:c>
      <x:c r="Z605" s="13" t="str">
        <x:f>IF(L605&lt;&gt;"COVERED","HELD — COVERAGE",IF(OR(R605="PAIRED SYNCHRONIZED",R605="TRILATERAL SYNCHRONIZED"),"E ACTIONABLE","INDEPENDENT"))</x:f>
        <x:v>HELD — COVERAGE</x:v>
      </x:c>
      <x:c r="AA605" s="13" t="str">
        <x:f>IF(L605&lt;&gt;"COVERED","HELD — COVERAGE","WAIT FOR UPSTREAM COMPLETION")</x:f>
        <x:v>HELD — COVERAGE</x:v>
      </x:c>
      <x:c r="AB605" s="13" t="str">
        <x:f>IF(L605&lt;&gt;"COVERED","HELD — COVERAGE",IF(T605="UNRESOLVED","G DECISION REQUIRED",IF(T605="NOT APPLICABLE","G N/A","G ACTIONABLE")))</x:f>
        <x:v>HELD — COVERAGE</x:v>
      </x:c>
      <x:c r="AC605" s="13" t="str">
        <x:f>IF(L605="UNRESOLVED","COVERAGE FIRST",IF(OR(L605="EXCLUDED",L605="OUT OF SCOPE"),"CLOSED BY COVERAGE",IF(AND(L605="COVERED",T605&lt;&gt;"UNRESOLVED"),"PARTIALLY ADOPTED","DECISIONS REMAIN")))</x:f>
        <x:v>COVERAGE FIRST</x:v>
      </x:c>
    </x:row>
    <x:row r="606">
      <x:c r="A606" s="13" t="str">
        <x:v>NAAFTC-HS6-110412</x:v>
      </x:c>
      <x:c r="B606" s="13" t="str">
        <x:v>110412</x:v>
      </x:c>
      <x:c r="C606" s="13" t="str">
        <x:v>11</x:v>
      </x:c>
      <x:c r="D606" s="13" t="str">
        <x:v>TRILATERAL_SPLIT_MERGE</x:v>
      </x:c>
      <x:c r="E606" s="13" t="str">
        <x:v>Pending</x:v>
      </x:c>
      <x:c r="F606" s="13" t="n">
        <x:v>2</x:v>
      </x:c>
      <x:c r="G606" s="13" t="n">
        <x:v>1</x:v>
      </x:c>
      <x:c r="H606" s="13" t="n">
        <x:v>1</x:v>
      </x:c>
      <x:c r="I606" s="13" t="str">
        <x:v>1104120010; 1104120090</x:v>
      </x:c>
      <x:c r="J606" s="13" t="str">
        <x:v>1104120100</x:v>
      </x:c>
      <x:c r="K606" s="13" t="str">
        <x:v>1104120000</x:v>
      </x:c>
      <x:c r="L606" s="13" t="str">
        <x:v>UNRESOLVED</x:v>
      </x:c>
      <x:c r="M606" s="13" t="str"/>
      <x:c r="N606" s="13" t="str">
        <x:v>NO / DEFAULT</x:v>
      </x:c>
      <x:c r="O606" s="13" t="str"/>
      <x:c r="P606" s="13" t="str">
        <x:v>NO / DEFAULT</x:v>
      </x:c>
      <x:c r="Q606" s="13" t="str"/>
      <x:c r="R606" s="13" t="str">
        <x:v>INDEPENDENT / DEFAULT</x:v>
      </x:c>
      <x:c r="S606" s="13" t="str"/>
      <x:c r="T606" s="13" t="str">
        <x:v>UNRESOLVED</x:v>
      </x:c>
      <x:c r="U606" s="13" t="str"/>
      <x:c r="V606" s="13" t="str"/>
      <x:c r="W606" s="13" t="str"/>
      <x:c r="X606" s="13" t="str">
        <x:f>IF(L606&lt;&gt;"COVERED","HELD — COVERAGE",IF(N606="YES — SENSITIVE","C ACTIONABLE","CHAPTER 5 DEFAULT"))</x:f>
        <x:v>HELD — COVERAGE</x:v>
      </x:c>
      <x:c r="Y606" s="13" t="str">
        <x:f>IF(L606&lt;&gt;"COVERED","HELD — COVERAGE",IF(P606="YES — MANAGED ACCESS","D ACTIONABLE","NO D FIELD"))</x:f>
        <x:v>HELD — COVERAGE</x:v>
      </x:c>
      <x:c r="Z606" s="13" t="str">
        <x:f>IF(L606&lt;&gt;"COVERED","HELD — COVERAGE",IF(OR(R606="PAIRED SYNCHRONIZED",R606="TRILATERAL SYNCHRONIZED"),"E ACTIONABLE","INDEPENDENT"))</x:f>
        <x:v>HELD — COVERAGE</x:v>
      </x:c>
      <x:c r="AA606" s="13" t="str">
        <x:f>IF(L606&lt;&gt;"COVERED","HELD — COVERAGE","WAIT FOR UPSTREAM COMPLETION")</x:f>
        <x:v>HELD — COVERAGE</x:v>
      </x:c>
      <x:c r="AB606" s="13" t="str">
        <x:f>IF(L606&lt;&gt;"COVERED","HELD — COVERAGE",IF(T606="UNRESOLVED","G DECISION REQUIRED",IF(T606="NOT APPLICABLE","G N/A","G ACTIONABLE")))</x:f>
        <x:v>HELD — COVERAGE</x:v>
      </x:c>
      <x:c r="AC606" s="13" t="str">
        <x:f>IF(L606="UNRESOLVED","COVERAGE FIRST",IF(OR(L606="EXCLUDED",L606="OUT OF SCOPE"),"CLOSED BY COVERAGE",IF(AND(L606="COVERED",T606&lt;&gt;"UNRESOLVED"),"PARTIALLY ADOPTED","DECISIONS REMAIN")))</x:f>
        <x:v>COVERAGE FIRST</x:v>
      </x:c>
    </x:row>
    <x:row r="607">
      <x:c r="A607" s="13" t="str">
        <x:v>NAAFTC-HS6-110419</x:v>
      </x:c>
      <x:c r="B607" s="13" t="str">
        <x:v>110419</x:v>
      </x:c>
      <x:c r="C607" s="13" t="str">
        <x:v>11</x:v>
      </x:c>
      <x:c r="D607" s="13" t="str">
        <x:v>TRILATERAL_SPLIT_MERGE</x:v>
      </x:c>
      <x:c r="E607" s="13" t="str">
        <x:v>Pending</x:v>
      </x:c>
      <x:c r="F607" s="13" t="n">
        <x:v>2</x:v>
      </x:c>
      <x:c r="G607" s="13" t="n">
        <x:v>1</x:v>
      </x:c>
      <x:c r="H607" s="13" t="n">
        <x:v>5</x:v>
      </x:c>
      <x:c r="I607" s="13" t="str">
        <x:v>1104191000; 1104199000</x:v>
      </x:c>
      <x:c r="J607" s="13" t="str">
        <x:v>1104199100</x:v>
      </x:c>
      <x:c r="K607" s="13" t="str">
        <x:v>1104191100; 1104191200; 1104192100; 1104192200; 1104199000</x:v>
      </x:c>
      <x:c r="L607" s="13" t="str">
        <x:v>UNRESOLVED</x:v>
      </x:c>
      <x:c r="M607" s="13" t="str"/>
      <x:c r="N607" s="13" t="str">
        <x:v>NO / DEFAULT</x:v>
      </x:c>
      <x:c r="O607" s="13" t="str"/>
      <x:c r="P607" s="13" t="str">
        <x:v>NO / DEFAULT</x:v>
      </x:c>
      <x:c r="Q607" s="13" t="str"/>
      <x:c r="R607" s="13" t="str">
        <x:v>INDEPENDENT / DEFAULT</x:v>
      </x:c>
      <x:c r="S607" s="13" t="str"/>
      <x:c r="T607" s="13" t="str">
        <x:v>UNRESOLVED</x:v>
      </x:c>
      <x:c r="U607" s="13" t="str"/>
      <x:c r="V607" s="13" t="str"/>
      <x:c r="W607" s="13" t="str"/>
      <x:c r="X607" s="13" t="str">
        <x:f>IF(L607&lt;&gt;"COVERED","HELD — COVERAGE",IF(N607="YES — SENSITIVE","C ACTIONABLE","CHAPTER 5 DEFAULT"))</x:f>
        <x:v>HELD — COVERAGE</x:v>
      </x:c>
      <x:c r="Y607" s="13" t="str">
        <x:f>IF(L607&lt;&gt;"COVERED","HELD — COVERAGE",IF(P607="YES — MANAGED ACCESS","D ACTIONABLE","NO D FIELD"))</x:f>
        <x:v>HELD — COVERAGE</x:v>
      </x:c>
      <x:c r="Z607" s="13" t="str">
        <x:f>IF(L607&lt;&gt;"COVERED","HELD — COVERAGE",IF(OR(R607="PAIRED SYNCHRONIZED",R607="TRILATERAL SYNCHRONIZED"),"E ACTIONABLE","INDEPENDENT"))</x:f>
        <x:v>HELD — COVERAGE</x:v>
      </x:c>
      <x:c r="AA607" s="13" t="str">
        <x:f>IF(L607&lt;&gt;"COVERED","HELD — COVERAGE","WAIT FOR UPSTREAM COMPLETION")</x:f>
        <x:v>HELD — COVERAGE</x:v>
      </x:c>
      <x:c r="AB607" s="13" t="str">
        <x:f>IF(L607&lt;&gt;"COVERED","HELD — COVERAGE",IF(T607="UNRESOLVED","G DECISION REQUIRED",IF(T607="NOT APPLICABLE","G N/A","G ACTIONABLE")))</x:f>
        <x:v>HELD — COVERAGE</x:v>
      </x:c>
      <x:c r="AC607" s="13" t="str">
        <x:f>IF(L607="UNRESOLVED","COVERAGE FIRST",IF(OR(L607="EXCLUDED",L607="OUT OF SCOPE"),"CLOSED BY COVERAGE",IF(AND(L607="COVERED",T607&lt;&gt;"UNRESOLVED"),"PARTIALLY ADOPTED","DECISIONS REMAIN")))</x:f>
        <x:v>COVERAGE FIRST</x:v>
      </x:c>
    </x:row>
    <x:row r="608">
      <x:c r="A608" s="13" t="str">
        <x:v>NAAFTC-HS6-110422</x:v>
      </x:c>
      <x:c r="B608" s="13" t="str">
        <x:v>110422</x:v>
      </x:c>
      <x:c r="C608" s="13" t="str">
        <x:v>11</x:v>
      </x:c>
      <x:c r="D608" s="13" t="str">
        <x:v>TRILATERAL_1_TO_1_TO_1</x:v>
      </x:c>
      <x:c r="E608" s="13" t="str">
        <x:v>Pending</x:v>
      </x:c>
      <x:c r="F608" s="13" t="n">
        <x:v>1</x:v>
      </x:c>
      <x:c r="G608" s="13" t="n">
        <x:v>1</x:v>
      </x:c>
      <x:c r="H608" s="13" t="n">
        <x:v>1</x:v>
      </x:c>
      <x:c r="I608" s="13" t="str">
        <x:v>1104220000</x:v>
      </x:c>
      <x:c r="J608" s="13" t="str">
        <x:v>1104220100</x:v>
      </x:c>
      <x:c r="K608" s="13" t="str">
        <x:v>1104220000</x:v>
      </x:c>
      <x:c r="L608" s="13" t="str">
        <x:v>UNRESOLVED</x:v>
      </x:c>
      <x:c r="M608" s="13" t="str"/>
      <x:c r="N608" s="13" t="str">
        <x:v>NO / DEFAULT</x:v>
      </x:c>
      <x:c r="O608" s="13" t="str"/>
      <x:c r="P608" s="13" t="str">
        <x:v>NO / DEFAULT</x:v>
      </x:c>
      <x:c r="Q608" s="13" t="str"/>
      <x:c r="R608" s="13" t="str">
        <x:v>INDEPENDENT / DEFAULT</x:v>
      </x:c>
      <x:c r="S608" s="13" t="str"/>
      <x:c r="T608" s="13" t="str">
        <x:v>UNRESOLVED</x:v>
      </x:c>
      <x:c r="U608" s="13" t="str"/>
      <x:c r="V608" s="13" t="str"/>
      <x:c r="W608" s="13" t="str"/>
      <x:c r="X608" s="13" t="str">
        <x:f>IF(L608&lt;&gt;"COVERED","HELD — COVERAGE",IF(N608="YES — SENSITIVE","C ACTIONABLE","CHAPTER 5 DEFAULT"))</x:f>
        <x:v>HELD — COVERAGE</x:v>
      </x:c>
      <x:c r="Y608" s="13" t="str">
        <x:f>IF(L608&lt;&gt;"COVERED","HELD — COVERAGE",IF(P608="YES — MANAGED ACCESS","D ACTIONABLE","NO D FIELD"))</x:f>
        <x:v>HELD — COVERAGE</x:v>
      </x:c>
      <x:c r="Z608" s="13" t="str">
        <x:f>IF(L608&lt;&gt;"COVERED","HELD — COVERAGE",IF(OR(R608="PAIRED SYNCHRONIZED",R608="TRILATERAL SYNCHRONIZED"),"E ACTIONABLE","INDEPENDENT"))</x:f>
        <x:v>HELD — COVERAGE</x:v>
      </x:c>
      <x:c r="AA608" s="13" t="str">
        <x:f>IF(L608&lt;&gt;"COVERED","HELD — COVERAGE","WAIT FOR UPSTREAM COMPLETION")</x:f>
        <x:v>HELD — COVERAGE</x:v>
      </x:c>
      <x:c r="AB608" s="13" t="str">
        <x:f>IF(L608&lt;&gt;"COVERED","HELD — COVERAGE",IF(T608="UNRESOLVED","G DECISION REQUIRED",IF(T608="NOT APPLICABLE","G N/A","G ACTIONABLE")))</x:f>
        <x:v>HELD — COVERAGE</x:v>
      </x:c>
      <x:c r="AC608" s="13" t="str">
        <x:f>IF(L608="UNRESOLVED","COVERAGE FIRST",IF(OR(L608="EXCLUDED",L608="OUT OF SCOPE"),"CLOSED BY COVERAGE",IF(AND(L608="COVERED",T608&lt;&gt;"UNRESOLVED"),"PARTIALLY ADOPTED","DECISIONS REMAIN")))</x:f>
        <x:v>COVERAGE FIRST</x:v>
      </x:c>
    </x:row>
    <x:row r="609">
      <x:c r="A609" s="13" t="str">
        <x:v>NAAFTC-HS6-110423</x:v>
      </x:c>
      <x:c r="B609" s="13" t="str">
        <x:v>110423</x:v>
      </x:c>
      <x:c r="C609" s="13" t="str">
        <x:v>11</x:v>
      </x:c>
      <x:c r="D609" s="13" t="str">
        <x:v>TRILATERAL_1_TO_1_TO_1</x:v>
      </x:c>
      <x:c r="E609" s="13" t="str">
        <x:v>Pending</x:v>
      </x:c>
      <x:c r="F609" s="13" t="n">
        <x:v>1</x:v>
      </x:c>
      <x:c r="G609" s="13" t="n">
        <x:v>1</x:v>
      </x:c>
      <x:c r="H609" s="13" t="n">
        <x:v>1</x:v>
      </x:c>
      <x:c r="I609" s="13" t="str">
        <x:v>1104230000</x:v>
      </x:c>
      <x:c r="J609" s="13" t="str">
        <x:v>1104230100</x:v>
      </x:c>
      <x:c r="K609" s="13" t="str">
        <x:v>1104230000</x:v>
      </x:c>
      <x:c r="L609" s="13" t="str">
        <x:v>UNRESOLVED</x:v>
      </x:c>
      <x:c r="M609" s="13" t="str"/>
      <x:c r="N609" s="13" t="str">
        <x:v>NO / DEFAULT</x:v>
      </x:c>
      <x:c r="O609" s="13" t="str"/>
      <x:c r="P609" s="13" t="str">
        <x:v>NO / DEFAULT</x:v>
      </x:c>
      <x:c r="Q609" s="13" t="str"/>
      <x:c r="R609" s="13" t="str">
        <x:v>INDEPENDENT / DEFAULT</x:v>
      </x:c>
      <x:c r="S609" s="13" t="str"/>
      <x:c r="T609" s="13" t="str">
        <x:v>UNRESOLVED</x:v>
      </x:c>
      <x:c r="U609" s="13" t="str"/>
      <x:c r="V609" s="13" t="str"/>
      <x:c r="W609" s="13" t="str"/>
      <x:c r="X609" s="13" t="str">
        <x:f>IF(L609&lt;&gt;"COVERED","HELD — COVERAGE",IF(N609="YES — SENSITIVE","C ACTIONABLE","CHAPTER 5 DEFAULT"))</x:f>
        <x:v>HELD — COVERAGE</x:v>
      </x:c>
      <x:c r="Y609" s="13" t="str">
        <x:f>IF(L609&lt;&gt;"COVERED","HELD — COVERAGE",IF(P609="YES — MANAGED ACCESS","D ACTIONABLE","NO D FIELD"))</x:f>
        <x:v>HELD — COVERAGE</x:v>
      </x:c>
      <x:c r="Z609" s="13" t="str">
        <x:f>IF(L609&lt;&gt;"COVERED","HELD — COVERAGE",IF(OR(R609="PAIRED SYNCHRONIZED",R609="TRILATERAL SYNCHRONIZED"),"E ACTIONABLE","INDEPENDENT"))</x:f>
        <x:v>HELD — COVERAGE</x:v>
      </x:c>
      <x:c r="AA609" s="13" t="str">
        <x:f>IF(L609&lt;&gt;"COVERED","HELD — COVERAGE","WAIT FOR UPSTREAM COMPLETION")</x:f>
        <x:v>HELD — COVERAGE</x:v>
      </x:c>
      <x:c r="AB609" s="13" t="str">
        <x:f>IF(L609&lt;&gt;"COVERED","HELD — COVERAGE",IF(T609="UNRESOLVED","G DECISION REQUIRED",IF(T609="NOT APPLICABLE","G N/A","G ACTIONABLE")))</x:f>
        <x:v>HELD — COVERAGE</x:v>
      </x:c>
      <x:c r="AC609" s="13" t="str">
        <x:f>IF(L609="UNRESOLVED","COVERAGE FIRST",IF(OR(L609="EXCLUDED",L609="OUT OF SCOPE"),"CLOSED BY COVERAGE",IF(AND(L609="COVERED",T609&lt;&gt;"UNRESOLVED"),"PARTIALLY ADOPTED","DECISIONS REMAIN")))</x:f>
        <x:v>COVERAGE FIRST</x:v>
      </x:c>
    </x:row>
    <x:row r="610">
      <x:c r="A610" s="13" t="str">
        <x:v>NAAFTC-HS6-110429</x:v>
      </x:c>
      <x:c r="B610" s="13" t="str">
        <x:v>110429</x:v>
      </x:c>
      <x:c r="C610" s="13" t="str">
        <x:v>11</x:v>
      </x:c>
      <x:c r="D610" s="13" t="str">
        <x:v>TRILATERAL_SPLIT_MERGE</x:v>
      </x:c>
      <x:c r="E610" s="13" t="str">
        <x:v>Pending</x:v>
      </x:c>
      <x:c r="F610" s="13" t="n">
        <x:v>2</x:v>
      </x:c>
      <x:c r="G610" s="13" t="n">
        <x:v>1</x:v>
      </x:c>
      <x:c r="H610" s="13" t="n">
        <x:v>5</x:v>
      </x:c>
      <x:c r="I610" s="13" t="str">
        <x:v>1104291000; 1104299000</x:v>
      </x:c>
      <x:c r="J610" s="13" t="str">
        <x:v>1104299100</x:v>
      </x:c>
      <x:c r="K610" s="13" t="str">
        <x:v>1104291100; 1104291200; 1104292100; 1104292200; 1104299000</x:v>
      </x:c>
      <x:c r="L610" s="13" t="str">
        <x:v>UNRESOLVED</x:v>
      </x:c>
      <x:c r="M610" s="13" t="str"/>
      <x:c r="N610" s="13" t="str">
        <x:v>NO / DEFAULT</x:v>
      </x:c>
      <x:c r="O610" s="13" t="str"/>
      <x:c r="P610" s="13" t="str">
        <x:v>NO / DEFAULT</x:v>
      </x:c>
      <x:c r="Q610" s="13" t="str"/>
      <x:c r="R610" s="13" t="str">
        <x:v>INDEPENDENT / DEFAULT</x:v>
      </x:c>
      <x:c r="S610" s="13" t="str"/>
      <x:c r="T610" s="13" t="str">
        <x:v>UNRESOLVED</x:v>
      </x:c>
      <x:c r="U610" s="13" t="str"/>
      <x:c r="V610" s="13" t="str"/>
      <x:c r="W610" s="13" t="str"/>
      <x:c r="X610" s="13" t="str">
        <x:f>IF(L610&lt;&gt;"COVERED","HELD — COVERAGE",IF(N610="YES — SENSITIVE","C ACTIONABLE","CHAPTER 5 DEFAULT"))</x:f>
        <x:v>HELD — COVERAGE</x:v>
      </x:c>
      <x:c r="Y610" s="13" t="str">
        <x:f>IF(L610&lt;&gt;"COVERED","HELD — COVERAGE",IF(P610="YES — MANAGED ACCESS","D ACTIONABLE","NO D FIELD"))</x:f>
        <x:v>HELD — COVERAGE</x:v>
      </x:c>
      <x:c r="Z610" s="13" t="str">
        <x:f>IF(L610&lt;&gt;"COVERED","HELD — COVERAGE",IF(OR(R610="PAIRED SYNCHRONIZED",R610="TRILATERAL SYNCHRONIZED"),"E ACTIONABLE","INDEPENDENT"))</x:f>
        <x:v>HELD — COVERAGE</x:v>
      </x:c>
      <x:c r="AA610" s="13" t="str">
        <x:f>IF(L610&lt;&gt;"COVERED","HELD — COVERAGE","WAIT FOR UPSTREAM COMPLETION")</x:f>
        <x:v>HELD — COVERAGE</x:v>
      </x:c>
      <x:c r="AB610" s="13" t="str">
        <x:f>IF(L610&lt;&gt;"COVERED","HELD — COVERAGE",IF(T610="UNRESOLVED","G DECISION REQUIRED",IF(T610="NOT APPLICABLE","G N/A","G ACTIONABLE")))</x:f>
        <x:v>HELD — COVERAGE</x:v>
      </x:c>
      <x:c r="AC610" s="13" t="str">
        <x:f>IF(L610="UNRESOLVED","COVERAGE FIRST",IF(OR(L610="EXCLUDED",L610="OUT OF SCOPE"),"CLOSED BY COVERAGE",IF(AND(L610="COVERED",T610&lt;&gt;"UNRESOLVED"),"PARTIALLY ADOPTED","DECISIONS REMAIN")))</x:f>
        <x:v>COVERAGE FIRST</x:v>
      </x:c>
    </x:row>
    <x:row r="611">
      <x:c r="A611" s="13" t="str">
        <x:v>NAAFTC-HS6-110430</x:v>
      </x:c>
      <x:c r="B611" s="13" t="str">
        <x:v>110430</x:v>
      </x:c>
      <x:c r="C611" s="13" t="str">
        <x:v>11</x:v>
      </x:c>
      <x:c r="D611" s="13" t="str">
        <x:v>TRILATERAL_SPLIT_MERGE</x:v>
      </x:c>
      <x:c r="E611" s="13" t="str">
        <x:v>Pending</x:v>
      </x:c>
      <x:c r="F611" s="13" t="n">
        <x:v>1</x:v>
      </x:c>
      <x:c r="G611" s="13" t="n">
        <x:v>1</x:v>
      </x:c>
      <x:c r="H611" s="13" t="n">
        <x:v>3</x:v>
      </x:c>
      <x:c r="I611" s="13" t="str">
        <x:v>1104300000</x:v>
      </x:c>
      <x:c r="J611" s="13" t="str">
        <x:v>1104300100</x:v>
      </x:c>
      <x:c r="K611" s="13" t="str">
        <x:v>1104301100; 1104301200; 1104309000</x:v>
      </x:c>
      <x:c r="L611" s="13" t="str">
        <x:v>UNRESOLVED</x:v>
      </x:c>
      <x:c r="M611" s="13" t="str"/>
      <x:c r="N611" s="13" t="str">
        <x:v>NO / DEFAULT</x:v>
      </x:c>
      <x:c r="O611" s="13" t="str"/>
      <x:c r="P611" s="13" t="str">
        <x:v>NO / DEFAULT</x:v>
      </x:c>
      <x:c r="Q611" s="13" t="str"/>
      <x:c r="R611" s="13" t="str">
        <x:v>INDEPENDENT / DEFAULT</x:v>
      </x:c>
      <x:c r="S611" s="13" t="str"/>
      <x:c r="T611" s="13" t="str">
        <x:v>UNRESOLVED</x:v>
      </x:c>
      <x:c r="U611" s="13" t="str"/>
      <x:c r="V611" s="13" t="str"/>
      <x:c r="W611" s="13" t="str"/>
      <x:c r="X611" s="13" t="str">
        <x:f>IF(L611&lt;&gt;"COVERED","HELD — COVERAGE",IF(N611="YES — SENSITIVE","C ACTIONABLE","CHAPTER 5 DEFAULT"))</x:f>
        <x:v>HELD — COVERAGE</x:v>
      </x:c>
      <x:c r="Y611" s="13" t="str">
        <x:f>IF(L611&lt;&gt;"COVERED","HELD — COVERAGE",IF(P611="YES — MANAGED ACCESS","D ACTIONABLE","NO D FIELD"))</x:f>
        <x:v>HELD — COVERAGE</x:v>
      </x:c>
      <x:c r="Z611" s="13" t="str">
        <x:f>IF(L611&lt;&gt;"COVERED","HELD — COVERAGE",IF(OR(R611="PAIRED SYNCHRONIZED",R611="TRILATERAL SYNCHRONIZED"),"E ACTIONABLE","INDEPENDENT"))</x:f>
        <x:v>HELD — COVERAGE</x:v>
      </x:c>
      <x:c r="AA611" s="13" t="str">
        <x:f>IF(L611&lt;&gt;"COVERED","HELD — COVERAGE","WAIT FOR UPSTREAM COMPLETION")</x:f>
        <x:v>HELD — COVERAGE</x:v>
      </x:c>
      <x:c r="AB611" s="13" t="str">
        <x:f>IF(L611&lt;&gt;"COVERED","HELD — COVERAGE",IF(T611="UNRESOLVED","G DECISION REQUIRED",IF(T611="NOT APPLICABLE","G N/A","G ACTIONABLE")))</x:f>
        <x:v>HELD — COVERAGE</x:v>
      </x:c>
      <x:c r="AC611" s="13" t="str">
        <x:f>IF(L611="UNRESOLVED","COVERAGE FIRST",IF(OR(L611="EXCLUDED",L611="OUT OF SCOPE"),"CLOSED BY COVERAGE",IF(AND(L611="COVERED",T611&lt;&gt;"UNRESOLVED"),"PARTIALLY ADOPTED","DECISIONS REMAIN")))</x:f>
        <x:v>COVERAGE FIRST</x:v>
      </x:c>
    </x:row>
    <x:row r="612">
      <x:c r="A612" s="13" t="str">
        <x:v>NAAFTC-HS6-110510</x:v>
      </x:c>
      <x:c r="B612" s="13" t="str">
        <x:v>110510</x:v>
      </x:c>
      <x:c r="C612" s="13" t="str">
        <x:v>11</x:v>
      </x:c>
      <x:c r="D612" s="13" t="str">
        <x:v>TRILATERAL_1_TO_1_TO_1</x:v>
      </x:c>
      <x:c r="E612" s="13" t="str">
        <x:v>Pending</x:v>
      </x:c>
      <x:c r="F612" s="13" t="n">
        <x:v>1</x:v>
      </x:c>
      <x:c r="G612" s="13" t="n">
        <x:v>1</x:v>
      </x:c>
      <x:c r="H612" s="13" t="n">
        <x:v>1</x:v>
      </x:c>
      <x:c r="I612" s="13" t="str">
        <x:v>1105100000</x:v>
      </x:c>
      <x:c r="J612" s="13" t="str">
        <x:v>1105100100</x:v>
      </x:c>
      <x:c r="K612" s="13" t="str">
        <x:v>1105100000</x:v>
      </x:c>
      <x:c r="L612" s="13" t="str">
        <x:v>UNRESOLVED</x:v>
      </x:c>
      <x:c r="M612" s="13" t="str"/>
      <x:c r="N612" s="13" t="str">
        <x:v>NO / DEFAULT</x:v>
      </x:c>
      <x:c r="O612" s="13" t="str"/>
      <x:c r="P612" s="13" t="str">
        <x:v>NO / DEFAULT</x:v>
      </x:c>
      <x:c r="Q612" s="13" t="str"/>
      <x:c r="R612" s="13" t="str">
        <x:v>INDEPENDENT / DEFAULT</x:v>
      </x:c>
      <x:c r="S612" s="13" t="str"/>
      <x:c r="T612" s="13" t="str">
        <x:v>UNRESOLVED</x:v>
      </x:c>
      <x:c r="U612" s="13" t="str"/>
      <x:c r="V612" s="13" t="str"/>
      <x:c r="W612" s="13" t="str"/>
      <x:c r="X612" s="13" t="str">
        <x:f>IF(L612&lt;&gt;"COVERED","HELD — COVERAGE",IF(N612="YES — SENSITIVE","C ACTIONABLE","CHAPTER 5 DEFAULT"))</x:f>
        <x:v>HELD — COVERAGE</x:v>
      </x:c>
      <x:c r="Y612" s="13" t="str">
        <x:f>IF(L612&lt;&gt;"COVERED","HELD — COVERAGE",IF(P612="YES — MANAGED ACCESS","D ACTIONABLE","NO D FIELD"))</x:f>
        <x:v>HELD — COVERAGE</x:v>
      </x:c>
      <x:c r="Z612" s="13" t="str">
        <x:f>IF(L612&lt;&gt;"COVERED","HELD — COVERAGE",IF(OR(R612="PAIRED SYNCHRONIZED",R612="TRILATERAL SYNCHRONIZED"),"E ACTIONABLE","INDEPENDENT"))</x:f>
        <x:v>HELD — COVERAGE</x:v>
      </x:c>
      <x:c r="AA612" s="13" t="str">
        <x:f>IF(L612&lt;&gt;"COVERED","HELD — COVERAGE","WAIT FOR UPSTREAM COMPLETION")</x:f>
        <x:v>HELD — COVERAGE</x:v>
      </x:c>
      <x:c r="AB612" s="13" t="str">
        <x:f>IF(L612&lt;&gt;"COVERED","HELD — COVERAGE",IF(T612="UNRESOLVED","G DECISION REQUIRED",IF(T612="NOT APPLICABLE","G N/A","G ACTIONABLE")))</x:f>
        <x:v>HELD — COVERAGE</x:v>
      </x:c>
      <x:c r="AC612" s="13" t="str">
        <x:f>IF(L612="UNRESOLVED","COVERAGE FIRST",IF(OR(L612="EXCLUDED",L612="OUT OF SCOPE"),"CLOSED BY COVERAGE",IF(AND(L612="COVERED",T612&lt;&gt;"UNRESOLVED"),"PARTIALLY ADOPTED","DECISIONS REMAIN")))</x:f>
        <x:v>COVERAGE FIRST</x:v>
      </x:c>
    </x:row>
    <x:row r="613">
      <x:c r="A613" s="13" t="str">
        <x:v>NAAFTC-HS6-110520</x:v>
      </x:c>
      <x:c r="B613" s="13" t="str">
        <x:v>110520</x:v>
      </x:c>
      <x:c r="C613" s="13" t="str">
        <x:v>11</x:v>
      </x:c>
      <x:c r="D613" s="13" t="str">
        <x:v>TRILATERAL_1_TO_1_TO_1</x:v>
      </x:c>
      <x:c r="E613" s="13" t="str">
        <x:v>Pending</x:v>
      </x:c>
      <x:c r="F613" s="13" t="n">
        <x:v>1</x:v>
      </x:c>
      <x:c r="G613" s="13" t="n">
        <x:v>1</x:v>
      </x:c>
      <x:c r="H613" s="13" t="n">
        <x:v>1</x:v>
      </x:c>
      <x:c r="I613" s="13" t="str">
        <x:v>1105200000</x:v>
      </x:c>
      <x:c r="J613" s="13" t="str">
        <x:v>1105200100</x:v>
      </x:c>
      <x:c r="K613" s="13" t="str">
        <x:v>1105200000</x:v>
      </x:c>
      <x:c r="L613" s="13" t="str">
        <x:v>UNRESOLVED</x:v>
      </x:c>
      <x:c r="M613" s="13" t="str"/>
      <x:c r="N613" s="13" t="str">
        <x:v>NO / DEFAULT</x:v>
      </x:c>
      <x:c r="O613" s="13" t="str"/>
      <x:c r="P613" s="13" t="str">
        <x:v>NO / DEFAULT</x:v>
      </x:c>
      <x:c r="Q613" s="13" t="str"/>
      <x:c r="R613" s="13" t="str">
        <x:v>INDEPENDENT / DEFAULT</x:v>
      </x:c>
      <x:c r="S613" s="13" t="str"/>
      <x:c r="T613" s="13" t="str">
        <x:v>UNRESOLVED</x:v>
      </x:c>
      <x:c r="U613" s="13" t="str"/>
      <x:c r="V613" s="13" t="str"/>
      <x:c r="W613" s="13" t="str"/>
      <x:c r="X613" s="13" t="str">
        <x:f>IF(L613&lt;&gt;"COVERED","HELD — COVERAGE",IF(N613="YES — SENSITIVE","C ACTIONABLE","CHAPTER 5 DEFAULT"))</x:f>
        <x:v>HELD — COVERAGE</x:v>
      </x:c>
      <x:c r="Y613" s="13" t="str">
        <x:f>IF(L613&lt;&gt;"COVERED","HELD — COVERAGE",IF(P613="YES — MANAGED ACCESS","D ACTIONABLE","NO D FIELD"))</x:f>
        <x:v>HELD — COVERAGE</x:v>
      </x:c>
      <x:c r="Z613" s="13" t="str">
        <x:f>IF(L613&lt;&gt;"COVERED","HELD — COVERAGE",IF(OR(R613="PAIRED SYNCHRONIZED",R613="TRILATERAL SYNCHRONIZED"),"E ACTIONABLE","INDEPENDENT"))</x:f>
        <x:v>HELD — COVERAGE</x:v>
      </x:c>
      <x:c r="AA613" s="13" t="str">
        <x:f>IF(L613&lt;&gt;"COVERED","HELD — COVERAGE","WAIT FOR UPSTREAM COMPLETION")</x:f>
        <x:v>HELD — COVERAGE</x:v>
      </x:c>
      <x:c r="AB613" s="13" t="str">
        <x:f>IF(L613&lt;&gt;"COVERED","HELD — COVERAGE",IF(T613="UNRESOLVED","G DECISION REQUIRED",IF(T613="NOT APPLICABLE","G N/A","G ACTIONABLE")))</x:f>
        <x:v>HELD — COVERAGE</x:v>
      </x:c>
      <x:c r="AC613" s="13" t="str">
        <x:f>IF(L613="UNRESOLVED","COVERAGE FIRST",IF(OR(L613="EXCLUDED",L613="OUT OF SCOPE"),"CLOSED BY COVERAGE",IF(AND(L613="COVERED",T613&lt;&gt;"UNRESOLVED"),"PARTIALLY ADOPTED","DECISIONS REMAIN")))</x:f>
        <x:v>COVERAGE FIRST</x:v>
      </x:c>
    </x:row>
    <x:row r="614">
      <x:c r="A614" s="13" t="str">
        <x:v>NAAFTC-HS6-110610</x:v>
      </x:c>
      <x:c r="B614" s="13" t="str">
        <x:v>110610</x:v>
      </x:c>
      <x:c r="C614" s="13" t="str">
        <x:v>11</x:v>
      </x:c>
      <x:c r="D614" s="13" t="str">
        <x:v>TRILATERAL_1_TO_1_TO_1</x:v>
      </x:c>
      <x:c r="E614" s="13" t="str">
        <x:v>Pending</x:v>
      </x:c>
      <x:c r="F614" s="13" t="n">
        <x:v>1</x:v>
      </x:c>
      <x:c r="G614" s="13" t="n">
        <x:v>1</x:v>
      </x:c>
      <x:c r="H614" s="13" t="n">
        <x:v>1</x:v>
      </x:c>
      <x:c r="I614" s="13" t="str">
        <x:v>1106100000</x:v>
      </x:c>
      <x:c r="J614" s="13" t="str">
        <x:v>1106100100</x:v>
      </x:c>
      <x:c r="K614" s="13" t="str">
        <x:v>1106100000</x:v>
      </x:c>
      <x:c r="L614" s="13" t="str">
        <x:v>UNRESOLVED</x:v>
      </x:c>
      <x:c r="M614" s="13" t="str"/>
      <x:c r="N614" s="13" t="str">
        <x:v>NO / DEFAULT</x:v>
      </x:c>
      <x:c r="O614" s="13" t="str"/>
      <x:c r="P614" s="13" t="str">
        <x:v>NO / DEFAULT</x:v>
      </x:c>
      <x:c r="Q614" s="13" t="str"/>
      <x:c r="R614" s="13" t="str">
        <x:v>INDEPENDENT / DEFAULT</x:v>
      </x:c>
      <x:c r="S614" s="13" t="str"/>
      <x:c r="T614" s="13" t="str">
        <x:v>UNRESOLVED</x:v>
      </x:c>
      <x:c r="U614" s="13" t="str"/>
      <x:c r="V614" s="13" t="str"/>
      <x:c r="W614" s="13" t="str"/>
      <x:c r="X614" s="13" t="str">
        <x:f>IF(L614&lt;&gt;"COVERED","HELD — COVERAGE",IF(N614="YES — SENSITIVE","C ACTIONABLE","CHAPTER 5 DEFAULT"))</x:f>
        <x:v>HELD — COVERAGE</x:v>
      </x:c>
      <x:c r="Y614" s="13" t="str">
        <x:f>IF(L614&lt;&gt;"COVERED","HELD — COVERAGE",IF(P614="YES — MANAGED ACCESS","D ACTIONABLE","NO D FIELD"))</x:f>
        <x:v>HELD — COVERAGE</x:v>
      </x:c>
      <x:c r="Z614" s="13" t="str">
        <x:f>IF(L614&lt;&gt;"COVERED","HELD — COVERAGE",IF(OR(R614="PAIRED SYNCHRONIZED",R614="TRILATERAL SYNCHRONIZED"),"E ACTIONABLE","INDEPENDENT"))</x:f>
        <x:v>HELD — COVERAGE</x:v>
      </x:c>
      <x:c r="AA614" s="13" t="str">
        <x:f>IF(L614&lt;&gt;"COVERED","HELD — COVERAGE","WAIT FOR UPSTREAM COMPLETION")</x:f>
        <x:v>HELD — COVERAGE</x:v>
      </x:c>
      <x:c r="AB614" s="13" t="str">
        <x:f>IF(L614&lt;&gt;"COVERED","HELD — COVERAGE",IF(T614="UNRESOLVED","G DECISION REQUIRED",IF(T614="NOT APPLICABLE","G N/A","G ACTIONABLE")))</x:f>
        <x:v>HELD — COVERAGE</x:v>
      </x:c>
      <x:c r="AC614" s="13" t="str">
        <x:f>IF(L614="UNRESOLVED","COVERAGE FIRST",IF(OR(L614="EXCLUDED",L614="OUT OF SCOPE"),"CLOSED BY COVERAGE",IF(AND(L614="COVERED",T614&lt;&gt;"UNRESOLVED"),"PARTIALLY ADOPTED","DECISIONS REMAIN")))</x:f>
        <x:v>COVERAGE FIRST</x:v>
      </x:c>
    </x:row>
    <x:row r="615">
      <x:c r="A615" s="13" t="str">
        <x:v>NAAFTC-HS6-110620</x:v>
      </x:c>
      <x:c r="B615" s="13" t="str">
        <x:v>110620</x:v>
      </x:c>
      <x:c r="C615" s="13" t="str">
        <x:v>11</x:v>
      </x:c>
      <x:c r="D615" s="13" t="str">
        <x:v>TRILATERAL_SPLIT_MERGE</x:v>
      </x:c>
      <x:c r="E615" s="13" t="str">
        <x:v>Pending</x:v>
      </x:c>
      <x:c r="F615" s="13" t="n">
        <x:v>2</x:v>
      </x:c>
      <x:c r="G615" s="13" t="n">
        <x:v>1</x:v>
      </x:c>
      <x:c r="H615" s="13" t="n">
        <x:v>1</x:v>
      </x:c>
      <x:c r="I615" s="13" t="str">
        <x:v>1106201000; 1106209000</x:v>
      </x:c>
      <x:c r="J615" s="13" t="str">
        <x:v>1106200200</x:v>
      </x:c>
      <x:c r="K615" s="13" t="str">
        <x:v>1106200000</x:v>
      </x:c>
      <x:c r="L615" s="13" t="str">
        <x:v>UNRESOLVED</x:v>
      </x:c>
      <x:c r="M615" s="13" t="str"/>
      <x:c r="N615" s="13" t="str">
        <x:v>NO / DEFAULT</x:v>
      </x:c>
      <x:c r="O615" s="13" t="str"/>
      <x:c r="P615" s="13" t="str">
        <x:v>NO / DEFAULT</x:v>
      </x:c>
      <x:c r="Q615" s="13" t="str"/>
      <x:c r="R615" s="13" t="str">
        <x:v>INDEPENDENT / DEFAULT</x:v>
      </x:c>
      <x:c r="S615" s="13" t="str"/>
      <x:c r="T615" s="13" t="str">
        <x:v>UNRESOLVED</x:v>
      </x:c>
      <x:c r="U615" s="13" t="str"/>
      <x:c r="V615" s="13" t="str"/>
      <x:c r="W615" s="13" t="str"/>
      <x:c r="X615" s="13" t="str">
        <x:f>IF(L615&lt;&gt;"COVERED","HELD — COVERAGE",IF(N615="YES — SENSITIVE","C ACTIONABLE","CHAPTER 5 DEFAULT"))</x:f>
        <x:v>HELD — COVERAGE</x:v>
      </x:c>
      <x:c r="Y615" s="13" t="str">
        <x:f>IF(L615&lt;&gt;"COVERED","HELD — COVERAGE",IF(P615="YES — MANAGED ACCESS","D ACTIONABLE","NO D FIELD"))</x:f>
        <x:v>HELD — COVERAGE</x:v>
      </x:c>
      <x:c r="Z615" s="13" t="str">
        <x:f>IF(L615&lt;&gt;"COVERED","HELD — COVERAGE",IF(OR(R615="PAIRED SYNCHRONIZED",R615="TRILATERAL SYNCHRONIZED"),"E ACTIONABLE","INDEPENDENT"))</x:f>
        <x:v>HELD — COVERAGE</x:v>
      </x:c>
      <x:c r="AA615" s="13" t="str">
        <x:f>IF(L615&lt;&gt;"COVERED","HELD — COVERAGE","WAIT FOR UPSTREAM COMPLETION")</x:f>
        <x:v>HELD — COVERAGE</x:v>
      </x:c>
      <x:c r="AB615" s="13" t="str">
        <x:f>IF(L615&lt;&gt;"COVERED","HELD — COVERAGE",IF(T615="UNRESOLVED","G DECISION REQUIRED",IF(T615="NOT APPLICABLE","G N/A","G ACTIONABLE")))</x:f>
        <x:v>HELD — COVERAGE</x:v>
      </x:c>
      <x:c r="AC615" s="13" t="str">
        <x:f>IF(L615="UNRESOLVED","COVERAGE FIRST",IF(OR(L615="EXCLUDED",L615="OUT OF SCOPE"),"CLOSED BY COVERAGE",IF(AND(L615="COVERED",T615&lt;&gt;"UNRESOLVED"),"PARTIALLY ADOPTED","DECISIONS REMAIN")))</x:f>
        <x:v>COVERAGE FIRST</x:v>
      </x:c>
    </x:row>
    <x:row r="616">
      <x:c r="A616" s="13" t="str">
        <x:v>NAAFTC-HS6-110630</x:v>
      </x:c>
      <x:c r="B616" s="13" t="str">
        <x:v>110630</x:v>
      </x:c>
      <x:c r="C616" s="13" t="str">
        <x:v>11</x:v>
      </x:c>
      <x:c r="D616" s="13" t="str">
        <x:v>TRILATERAL_SPLIT_MERGE</x:v>
      </x:c>
      <x:c r="E616" s="13" t="str">
        <x:v>Pending</x:v>
      </x:c>
      <x:c r="F616" s="13" t="n">
        <x:v>2</x:v>
      </x:c>
      <x:c r="G616" s="13" t="n">
        <x:v>1</x:v>
      </x:c>
      <x:c r="H616" s="13" t="n">
        <x:v>1</x:v>
      </x:c>
      <x:c r="I616" s="13" t="str">
        <x:v>1106302000; 1106304000</x:v>
      </x:c>
      <x:c r="J616" s="13" t="str">
        <x:v>1106300200</x:v>
      </x:c>
      <x:c r="K616" s="13" t="str">
        <x:v>1106300000</x:v>
      </x:c>
      <x:c r="L616" s="13" t="str">
        <x:v>UNRESOLVED</x:v>
      </x:c>
      <x:c r="M616" s="13" t="str"/>
      <x:c r="N616" s="13" t="str">
        <x:v>NO / DEFAULT</x:v>
      </x:c>
      <x:c r="O616" s="13" t="str"/>
      <x:c r="P616" s="13" t="str">
        <x:v>NO / DEFAULT</x:v>
      </x:c>
      <x:c r="Q616" s="13" t="str"/>
      <x:c r="R616" s="13" t="str">
        <x:v>INDEPENDENT / DEFAULT</x:v>
      </x:c>
      <x:c r="S616" s="13" t="str"/>
      <x:c r="T616" s="13" t="str">
        <x:v>UNRESOLVED</x:v>
      </x:c>
      <x:c r="U616" s="13" t="str"/>
      <x:c r="V616" s="13" t="str"/>
      <x:c r="W616" s="13" t="str"/>
      <x:c r="X616" s="13" t="str">
        <x:f>IF(L616&lt;&gt;"COVERED","HELD — COVERAGE",IF(N616="YES — SENSITIVE","C ACTIONABLE","CHAPTER 5 DEFAULT"))</x:f>
        <x:v>HELD — COVERAGE</x:v>
      </x:c>
      <x:c r="Y616" s="13" t="str">
        <x:f>IF(L616&lt;&gt;"COVERED","HELD — COVERAGE",IF(P616="YES — MANAGED ACCESS","D ACTIONABLE","NO D FIELD"))</x:f>
        <x:v>HELD — COVERAGE</x:v>
      </x:c>
      <x:c r="Z616" s="13" t="str">
        <x:f>IF(L616&lt;&gt;"COVERED","HELD — COVERAGE",IF(OR(R616="PAIRED SYNCHRONIZED",R616="TRILATERAL SYNCHRONIZED"),"E ACTIONABLE","INDEPENDENT"))</x:f>
        <x:v>HELD — COVERAGE</x:v>
      </x:c>
      <x:c r="AA616" s="13" t="str">
        <x:f>IF(L616&lt;&gt;"COVERED","HELD — COVERAGE","WAIT FOR UPSTREAM COMPLETION")</x:f>
        <x:v>HELD — COVERAGE</x:v>
      </x:c>
      <x:c r="AB616" s="13" t="str">
        <x:f>IF(L616&lt;&gt;"COVERED","HELD — COVERAGE",IF(T616="UNRESOLVED","G DECISION REQUIRED",IF(T616="NOT APPLICABLE","G N/A","G ACTIONABLE")))</x:f>
        <x:v>HELD — COVERAGE</x:v>
      </x:c>
      <x:c r="AC616" s="13" t="str">
        <x:f>IF(L616="UNRESOLVED","COVERAGE FIRST",IF(OR(L616="EXCLUDED",L616="OUT OF SCOPE"),"CLOSED BY COVERAGE",IF(AND(L616="COVERED",T616&lt;&gt;"UNRESOLVED"),"PARTIALLY ADOPTED","DECISIONS REMAIN")))</x:f>
        <x:v>COVERAGE FIRST</x:v>
      </x:c>
    </x:row>
    <x:row r="617">
      <x:c r="A617" s="13" t="str">
        <x:v>NAAFTC-HS6-110710</x:v>
      </x:c>
      <x:c r="B617" s="13" t="str">
        <x:v>110710</x:v>
      </x:c>
      <x:c r="C617" s="13" t="str">
        <x:v>11</x:v>
      </x:c>
      <x:c r="D617" s="13" t="str">
        <x:v>TRILATERAL_SPLIT_MERGE</x:v>
      </x:c>
      <x:c r="E617" s="13" t="str">
        <x:v>Pending</x:v>
      </x:c>
      <x:c r="F617" s="13" t="n">
        <x:v>1</x:v>
      </x:c>
      <x:c r="G617" s="13" t="n">
        <x:v>1</x:v>
      </x:c>
      <x:c r="H617" s="13" t="n">
        <x:v>4</x:v>
      </x:c>
      <x:c r="I617" s="13" t="str">
        <x:v>1107100000</x:v>
      </x:c>
      <x:c r="J617" s="13" t="str">
        <x:v>1107100100</x:v>
      </x:c>
      <x:c r="K617" s="13" t="str">
        <x:v>1107101100; 1107101200; 1107109100; 1107109200</x:v>
      </x:c>
      <x:c r="L617" s="13" t="str">
        <x:v>UNRESOLVED</x:v>
      </x:c>
      <x:c r="M617" s="13" t="str"/>
      <x:c r="N617" s="13" t="str">
        <x:v>NO / DEFAULT</x:v>
      </x:c>
      <x:c r="O617" s="13" t="str"/>
      <x:c r="P617" s="13" t="str">
        <x:v>NO / DEFAULT</x:v>
      </x:c>
      <x:c r="Q617" s="13" t="str"/>
      <x:c r="R617" s="13" t="str">
        <x:v>INDEPENDENT / DEFAULT</x:v>
      </x:c>
      <x:c r="S617" s="13" t="str"/>
      <x:c r="T617" s="13" t="str">
        <x:v>UNRESOLVED</x:v>
      </x:c>
      <x:c r="U617" s="13" t="str"/>
      <x:c r="V617" s="13" t="str"/>
      <x:c r="W617" s="13" t="str"/>
      <x:c r="X617" s="13" t="str">
        <x:f>IF(L617&lt;&gt;"COVERED","HELD — COVERAGE",IF(N617="YES — SENSITIVE","C ACTIONABLE","CHAPTER 5 DEFAULT"))</x:f>
        <x:v>HELD — COVERAGE</x:v>
      </x:c>
      <x:c r="Y617" s="13" t="str">
        <x:f>IF(L617&lt;&gt;"COVERED","HELD — COVERAGE",IF(P617="YES — MANAGED ACCESS","D ACTIONABLE","NO D FIELD"))</x:f>
        <x:v>HELD — COVERAGE</x:v>
      </x:c>
      <x:c r="Z617" s="13" t="str">
        <x:f>IF(L617&lt;&gt;"COVERED","HELD — COVERAGE",IF(OR(R617="PAIRED SYNCHRONIZED",R617="TRILATERAL SYNCHRONIZED"),"E ACTIONABLE","INDEPENDENT"))</x:f>
        <x:v>HELD — COVERAGE</x:v>
      </x:c>
      <x:c r="AA617" s="13" t="str">
        <x:f>IF(L617&lt;&gt;"COVERED","HELD — COVERAGE","WAIT FOR UPSTREAM COMPLETION")</x:f>
        <x:v>HELD — COVERAGE</x:v>
      </x:c>
      <x:c r="AB617" s="13" t="str">
        <x:f>IF(L617&lt;&gt;"COVERED","HELD — COVERAGE",IF(T617="UNRESOLVED","G DECISION REQUIRED",IF(T617="NOT APPLICABLE","G N/A","G ACTIONABLE")))</x:f>
        <x:v>HELD — COVERAGE</x:v>
      </x:c>
      <x:c r="AC617" s="13" t="str">
        <x:f>IF(L617="UNRESOLVED","COVERAGE FIRST",IF(OR(L617="EXCLUDED",L617="OUT OF SCOPE"),"CLOSED BY COVERAGE",IF(AND(L617="COVERED",T617&lt;&gt;"UNRESOLVED"),"PARTIALLY ADOPTED","DECISIONS REMAIN")))</x:f>
        <x:v>COVERAGE FIRST</x:v>
      </x:c>
    </x:row>
    <x:row r="618">
      <x:c r="A618" s="13" t="str">
        <x:v>NAAFTC-HS6-110720</x:v>
      </x:c>
      <x:c r="B618" s="13" t="str">
        <x:v>110720</x:v>
      </x:c>
      <x:c r="C618" s="13" t="str">
        <x:v>11</x:v>
      </x:c>
      <x:c r="D618" s="13" t="str">
        <x:v>TRILATERAL_SPLIT_MERGE</x:v>
      </x:c>
      <x:c r="E618" s="13" t="str">
        <x:v>Pending</x:v>
      </x:c>
      <x:c r="F618" s="13" t="n">
        <x:v>1</x:v>
      </x:c>
      <x:c r="G618" s="13" t="n">
        <x:v>1</x:v>
      </x:c>
      <x:c r="H618" s="13" t="n">
        <x:v>3</x:v>
      </x:c>
      <x:c r="I618" s="13" t="str">
        <x:v>1107200000</x:v>
      </x:c>
      <x:c r="J618" s="13" t="str">
        <x:v>1107200100</x:v>
      </x:c>
      <x:c r="K618" s="13" t="str">
        <x:v>1107201200; 1107209100; 1107209200</x:v>
      </x:c>
      <x:c r="L618" s="13" t="str">
        <x:v>UNRESOLVED</x:v>
      </x:c>
      <x:c r="M618" s="13" t="str"/>
      <x:c r="N618" s="13" t="str">
        <x:v>NO / DEFAULT</x:v>
      </x:c>
      <x:c r="O618" s="13" t="str"/>
      <x:c r="P618" s="13" t="str">
        <x:v>NO / DEFAULT</x:v>
      </x:c>
      <x:c r="Q618" s="13" t="str"/>
      <x:c r="R618" s="13" t="str">
        <x:v>INDEPENDENT / DEFAULT</x:v>
      </x:c>
      <x:c r="S618" s="13" t="str"/>
      <x:c r="T618" s="13" t="str">
        <x:v>UNRESOLVED</x:v>
      </x:c>
      <x:c r="U618" s="13" t="str"/>
      <x:c r="V618" s="13" t="str"/>
      <x:c r="W618" s="13" t="str"/>
      <x:c r="X618" s="13" t="str">
        <x:f>IF(L618&lt;&gt;"COVERED","HELD — COVERAGE",IF(N618="YES — SENSITIVE","C ACTIONABLE","CHAPTER 5 DEFAULT"))</x:f>
        <x:v>HELD — COVERAGE</x:v>
      </x:c>
      <x:c r="Y618" s="13" t="str">
        <x:f>IF(L618&lt;&gt;"COVERED","HELD — COVERAGE",IF(P618="YES — MANAGED ACCESS","D ACTIONABLE","NO D FIELD"))</x:f>
        <x:v>HELD — COVERAGE</x:v>
      </x:c>
      <x:c r="Z618" s="13" t="str">
        <x:f>IF(L618&lt;&gt;"COVERED","HELD — COVERAGE",IF(OR(R618="PAIRED SYNCHRONIZED",R618="TRILATERAL SYNCHRONIZED"),"E ACTIONABLE","INDEPENDENT"))</x:f>
        <x:v>HELD — COVERAGE</x:v>
      </x:c>
      <x:c r="AA618" s="13" t="str">
        <x:f>IF(L618&lt;&gt;"COVERED","HELD — COVERAGE","WAIT FOR UPSTREAM COMPLETION")</x:f>
        <x:v>HELD — COVERAGE</x:v>
      </x:c>
      <x:c r="AB618" s="13" t="str">
        <x:f>IF(L618&lt;&gt;"COVERED","HELD — COVERAGE",IF(T618="UNRESOLVED","G DECISION REQUIRED",IF(T618="NOT APPLICABLE","G N/A","G ACTIONABLE")))</x:f>
        <x:v>HELD — COVERAGE</x:v>
      </x:c>
      <x:c r="AC618" s="13" t="str">
        <x:f>IF(L618="UNRESOLVED","COVERAGE FIRST",IF(OR(L618="EXCLUDED",L618="OUT OF SCOPE"),"CLOSED BY COVERAGE",IF(AND(L618="COVERED",T618&lt;&gt;"UNRESOLVED"),"PARTIALLY ADOPTED","DECISIONS REMAIN")))</x:f>
        <x:v>COVERAGE FIRST</x:v>
      </x:c>
    </x:row>
    <x:row r="619">
      <x:c r="A619" s="13" t="str">
        <x:v>NAAFTC-HS6-110811</x:v>
      </x:c>
      <x:c r="B619" s="13" t="str">
        <x:v>110811</x:v>
      </x:c>
      <x:c r="C619" s="13" t="str">
        <x:v>11</x:v>
      </x:c>
      <x:c r="D619" s="13" t="str">
        <x:v>TRILATERAL_SPLIT_MERGE</x:v>
      </x:c>
      <x:c r="E619" s="13" t="str">
        <x:v>Pending</x:v>
      </x:c>
      <x:c r="F619" s="13" t="n">
        <x:v>2</x:v>
      </x:c>
      <x:c r="G619" s="13" t="n">
        <x:v>1</x:v>
      </x:c>
      <x:c r="H619" s="13" t="n">
        <x:v>2</x:v>
      </x:c>
      <x:c r="I619" s="13" t="str">
        <x:v>1108110010; 1108110090</x:v>
      </x:c>
      <x:c r="J619" s="13" t="str">
        <x:v>1108110100</x:v>
      </x:c>
      <x:c r="K619" s="13" t="str">
        <x:v>1108111000; 1108112000</x:v>
      </x:c>
      <x:c r="L619" s="13" t="str">
        <x:v>UNRESOLVED</x:v>
      </x:c>
      <x:c r="M619" s="13" t="str"/>
      <x:c r="N619" s="13" t="str">
        <x:v>NO / DEFAULT</x:v>
      </x:c>
      <x:c r="O619" s="13" t="str"/>
      <x:c r="P619" s="13" t="str">
        <x:v>NO / DEFAULT</x:v>
      </x:c>
      <x:c r="Q619" s="13" t="str"/>
      <x:c r="R619" s="13" t="str">
        <x:v>INDEPENDENT / DEFAULT</x:v>
      </x:c>
      <x:c r="S619" s="13" t="str"/>
      <x:c r="T619" s="13" t="str">
        <x:v>UNRESOLVED</x:v>
      </x:c>
      <x:c r="U619" s="13" t="str"/>
      <x:c r="V619" s="13" t="str"/>
      <x:c r="W619" s="13" t="str"/>
      <x:c r="X619" s="13" t="str">
        <x:f>IF(L619&lt;&gt;"COVERED","HELD — COVERAGE",IF(N619="YES — SENSITIVE","C ACTIONABLE","CHAPTER 5 DEFAULT"))</x:f>
        <x:v>HELD — COVERAGE</x:v>
      </x:c>
      <x:c r="Y619" s="13" t="str">
        <x:f>IF(L619&lt;&gt;"COVERED","HELD — COVERAGE",IF(P619="YES — MANAGED ACCESS","D ACTIONABLE","NO D FIELD"))</x:f>
        <x:v>HELD — COVERAGE</x:v>
      </x:c>
      <x:c r="Z619" s="13" t="str">
        <x:f>IF(L619&lt;&gt;"COVERED","HELD — COVERAGE",IF(OR(R619="PAIRED SYNCHRONIZED",R619="TRILATERAL SYNCHRONIZED"),"E ACTIONABLE","INDEPENDENT"))</x:f>
        <x:v>HELD — COVERAGE</x:v>
      </x:c>
      <x:c r="AA619" s="13" t="str">
        <x:f>IF(L619&lt;&gt;"COVERED","HELD — COVERAGE","WAIT FOR UPSTREAM COMPLETION")</x:f>
        <x:v>HELD — COVERAGE</x:v>
      </x:c>
      <x:c r="AB619" s="13" t="str">
        <x:f>IF(L619&lt;&gt;"COVERED","HELD — COVERAGE",IF(T619="UNRESOLVED","G DECISION REQUIRED",IF(T619="NOT APPLICABLE","G N/A","G ACTIONABLE")))</x:f>
        <x:v>HELD — COVERAGE</x:v>
      </x:c>
      <x:c r="AC619" s="13" t="str">
        <x:f>IF(L619="UNRESOLVED","COVERAGE FIRST",IF(OR(L619="EXCLUDED",L619="OUT OF SCOPE"),"CLOSED BY COVERAGE",IF(AND(L619="COVERED",T619&lt;&gt;"UNRESOLVED"),"PARTIALLY ADOPTED","DECISIONS REMAIN")))</x:f>
        <x:v>COVERAGE FIRST</x:v>
      </x:c>
    </x:row>
    <x:row r="620">
      <x:c r="A620" s="13" t="str">
        <x:v>NAAFTC-HS6-110812</x:v>
      </x:c>
      <x:c r="B620" s="13" t="str">
        <x:v>110812</x:v>
      </x:c>
      <x:c r="C620" s="13" t="str">
        <x:v>11</x:v>
      </x:c>
      <x:c r="D620" s="13" t="str">
        <x:v>TRILATERAL_SPLIT_MERGE</x:v>
      </x:c>
      <x:c r="E620" s="13" t="str">
        <x:v>Pending</x:v>
      </x:c>
      <x:c r="F620" s="13" t="n">
        <x:v>2</x:v>
      </x:c>
      <x:c r="G620" s="13" t="n">
        <x:v>1</x:v>
      </x:c>
      <x:c r="H620" s="13" t="n">
        <x:v>1</x:v>
      </x:c>
      <x:c r="I620" s="13" t="str">
        <x:v>1108120010; 1108120090</x:v>
      </x:c>
      <x:c r="J620" s="13" t="str">
        <x:v>1108120100</x:v>
      </x:c>
      <x:c r="K620" s="13" t="str">
        <x:v>11081200</x:v>
      </x:c>
      <x:c r="L620" s="13" t="str">
        <x:v>UNRESOLVED</x:v>
      </x:c>
      <x:c r="M620" s="13" t="str"/>
      <x:c r="N620" s="13" t="str">
        <x:v>NO / DEFAULT</x:v>
      </x:c>
      <x:c r="O620" s="13" t="str"/>
      <x:c r="P620" s="13" t="str">
        <x:v>NO / DEFAULT</x:v>
      </x:c>
      <x:c r="Q620" s="13" t="str"/>
      <x:c r="R620" s="13" t="str">
        <x:v>INDEPENDENT / DEFAULT</x:v>
      </x:c>
      <x:c r="S620" s="13" t="str"/>
      <x:c r="T620" s="13" t="str">
        <x:v>UNRESOLVED</x:v>
      </x:c>
      <x:c r="U620" s="13" t="str"/>
      <x:c r="V620" s="13" t="str"/>
      <x:c r="W620" s="13" t="str"/>
      <x:c r="X620" s="13" t="str">
        <x:f>IF(L620&lt;&gt;"COVERED","HELD — COVERAGE",IF(N620="YES — SENSITIVE","C ACTIONABLE","CHAPTER 5 DEFAULT"))</x:f>
        <x:v>HELD — COVERAGE</x:v>
      </x:c>
      <x:c r="Y620" s="13" t="str">
        <x:f>IF(L620&lt;&gt;"COVERED","HELD — COVERAGE",IF(P620="YES — MANAGED ACCESS","D ACTIONABLE","NO D FIELD"))</x:f>
        <x:v>HELD — COVERAGE</x:v>
      </x:c>
      <x:c r="Z620" s="13" t="str">
        <x:f>IF(L620&lt;&gt;"COVERED","HELD — COVERAGE",IF(OR(R620="PAIRED SYNCHRONIZED",R620="TRILATERAL SYNCHRONIZED"),"E ACTIONABLE","INDEPENDENT"))</x:f>
        <x:v>HELD — COVERAGE</x:v>
      </x:c>
      <x:c r="AA620" s="13" t="str">
        <x:f>IF(L620&lt;&gt;"COVERED","HELD — COVERAGE","WAIT FOR UPSTREAM COMPLETION")</x:f>
        <x:v>HELD — COVERAGE</x:v>
      </x:c>
      <x:c r="AB620" s="13" t="str">
        <x:f>IF(L620&lt;&gt;"COVERED","HELD — COVERAGE",IF(T620="UNRESOLVED","G DECISION REQUIRED",IF(T620="NOT APPLICABLE","G N/A","G ACTIONABLE")))</x:f>
        <x:v>HELD — COVERAGE</x:v>
      </x:c>
      <x:c r="AC620" s="13" t="str">
        <x:f>IF(L620="UNRESOLVED","COVERAGE FIRST",IF(OR(L620="EXCLUDED",L620="OUT OF SCOPE"),"CLOSED BY COVERAGE",IF(AND(L620="COVERED",T620&lt;&gt;"UNRESOLVED"),"PARTIALLY ADOPTED","DECISIONS REMAIN")))</x:f>
        <x:v>COVERAGE FIRST</x:v>
      </x:c>
    </x:row>
    <x:row r="621">
      <x:c r="A621" s="13" t="str">
        <x:v>NAAFTC-HS6-110813</x:v>
      </x:c>
      <x:c r="B621" s="13" t="str">
        <x:v>110813</x:v>
      </x:c>
      <x:c r="C621" s="13" t="str">
        <x:v>11</x:v>
      </x:c>
      <x:c r="D621" s="13" t="str">
        <x:v>TRILATERAL_SPLIT_MERGE</x:v>
      </x:c>
      <x:c r="E621" s="13" t="str">
        <x:v>Pending</x:v>
      </x:c>
      <x:c r="F621" s="13" t="n">
        <x:v>2</x:v>
      </x:c>
      <x:c r="G621" s="13" t="n">
        <x:v>1</x:v>
      </x:c>
      <x:c r="H621" s="13" t="n">
        <x:v>1</x:v>
      </x:c>
      <x:c r="I621" s="13" t="str">
        <x:v>1108130010; 1108130090</x:v>
      </x:c>
      <x:c r="J621" s="13" t="str">
        <x:v>1108130100</x:v>
      </x:c>
      <x:c r="K621" s="13" t="str">
        <x:v>11081300</x:v>
      </x:c>
      <x:c r="L621" s="13" t="str">
        <x:v>UNRESOLVED</x:v>
      </x:c>
      <x:c r="M621" s="13" t="str"/>
      <x:c r="N621" s="13" t="str">
        <x:v>NO / DEFAULT</x:v>
      </x:c>
      <x:c r="O621" s="13" t="str"/>
      <x:c r="P621" s="13" t="str">
        <x:v>NO / DEFAULT</x:v>
      </x:c>
      <x:c r="Q621" s="13" t="str"/>
      <x:c r="R621" s="13" t="str">
        <x:v>INDEPENDENT / DEFAULT</x:v>
      </x:c>
      <x:c r="S621" s="13" t="str"/>
      <x:c r="T621" s="13" t="str">
        <x:v>UNRESOLVED</x:v>
      </x:c>
      <x:c r="U621" s="13" t="str"/>
      <x:c r="V621" s="13" t="str"/>
      <x:c r="W621" s="13" t="str"/>
      <x:c r="X621" s="13" t="str">
        <x:f>IF(L621&lt;&gt;"COVERED","HELD — COVERAGE",IF(N621="YES — SENSITIVE","C ACTIONABLE","CHAPTER 5 DEFAULT"))</x:f>
        <x:v>HELD — COVERAGE</x:v>
      </x:c>
      <x:c r="Y621" s="13" t="str">
        <x:f>IF(L621&lt;&gt;"COVERED","HELD — COVERAGE",IF(P621="YES — MANAGED ACCESS","D ACTIONABLE","NO D FIELD"))</x:f>
        <x:v>HELD — COVERAGE</x:v>
      </x:c>
      <x:c r="Z621" s="13" t="str">
        <x:f>IF(L621&lt;&gt;"COVERED","HELD — COVERAGE",IF(OR(R621="PAIRED SYNCHRONIZED",R621="TRILATERAL SYNCHRONIZED"),"E ACTIONABLE","INDEPENDENT"))</x:f>
        <x:v>HELD — COVERAGE</x:v>
      </x:c>
      <x:c r="AA621" s="13" t="str">
        <x:f>IF(L621&lt;&gt;"COVERED","HELD — COVERAGE","WAIT FOR UPSTREAM COMPLETION")</x:f>
        <x:v>HELD — COVERAGE</x:v>
      </x:c>
      <x:c r="AB621" s="13" t="str">
        <x:f>IF(L621&lt;&gt;"COVERED","HELD — COVERAGE",IF(T621="UNRESOLVED","G DECISION REQUIRED",IF(T621="NOT APPLICABLE","G N/A","G ACTIONABLE")))</x:f>
        <x:v>HELD — COVERAGE</x:v>
      </x:c>
      <x:c r="AC621" s="13" t="str">
        <x:f>IF(L621="UNRESOLVED","COVERAGE FIRST",IF(OR(L621="EXCLUDED",L621="OUT OF SCOPE"),"CLOSED BY COVERAGE",IF(AND(L621="COVERED",T621&lt;&gt;"UNRESOLVED"),"PARTIALLY ADOPTED","DECISIONS REMAIN")))</x:f>
        <x:v>COVERAGE FIRST</x:v>
      </x:c>
    </x:row>
    <x:row r="622">
      <x:c r="A622" s="13" t="str">
        <x:v>NAAFTC-HS6-110814</x:v>
      </x:c>
      <x:c r="B622" s="13" t="str">
        <x:v>110814</x:v>
      </x:c>
      <x:c r="C622" s="13" t="str">
        <x:v>11</x:v>
      </x:c>
      <x:c r="D622" s="13" t="str">
        <x:v>TRILATERAL_1_TO_1_TO_1</x:v>
      </x:c>
      <x:c r="E622" s="13" t="str">
        <x:v>Pending</x:v>
      </x:c>
      <x:c r="F622" s="13" t="n">
        <x:v>1</x:v>
      </x:c>
      <x:c r="G622" s="13" t="n">
        <x:v>1</x:v>
      </x:c>
      <x:c r="H622" s="13" t="n">
        <x:v>1</x:v>
      </x:c>
      <x:c r="I622" s="13" t="str">
        <x:v>1108140000</x:v>
      </x:c>
      <x:c r="J622" s="13" t="str">
        <x:v>1108140100</x:v>
      </x:c>
      <x:c r="K622" s="13" t="str">
        <x:v>1108140000</x:v>
      </x:c>
      <x:c r="L622" s="13" t="str">
        <x:v>UNRESOLVED</x:v>
      </x:c>
      <x:c r="M622" s="13" t="str"/>
      <x:c r="N622" s="13" t="str">
        <x:v>NO / DEFAULT</x:v>
      </x:c>
      <x:c r="O622" s="13" t="str"/>
      <x:c r="P622" s="13" t="str">
        <x:v>NO / DEFAULT</x:v>
      </x:c>
      <x:c r="Q622" s="13" t="str"/>
      <x:c r="R622" s="13" t="str">
        <x:v>INDEPENDENT / DEFAULT</x:v>
      </x:c>
      <x:c r="S622" s="13" t="str"/>
      <x:c r="T622" s="13" t="str">
        <x:v>UNRESOLVED</x:v>
      </x:c>
      <x:c r="U622" s="13" t="str"/>
      <x:c r="V622" s="13" t="str"/>
      <x:c r="W622" s="13" t="str"/>
      <x:c r="X622" s="13" t="str">
        <x:f>IF(L622&lt;&gt;"COVERED","HELD — COVERAGE",IF(N622="YES — SENSITIVE","C ACTIONABLE","CHAPTER 5 DEFAULT"))</x:f>
        <x:v>HELD — COVERAGE</x:v>
      </x:c>
      <x:c r="Y622" s="13" t="str">
        <x:f>IF(L622&lt;&gt;"COVERED","HELD — COVERAGE",IF(P622="YES — MANAGED ACCESS","D ACTIONABLE","NO D FIELD"))</x:f>
        <x:v>HELD — COVERAGE</x:v>
      </x:c>
      <x:c r="Z622" s="13" t="str">
        <x:f>IF(L622&lt;&gt;"COVERED","HELD — COVERAGE",IF(OR(R622="PAIRED SYNCHRONIZED",R622="TRILATERAL SYNCHRONIZED"),"E ACTIONABLE","INDEPENDENT"))</x:f>
        <x:v>HELD — COVERAGE</x:v>
      </x:c>
      <x:c r="AA622" s="13" t="str">
        <x:f>IF(L622&lt;&gt;"COVERED","HELD — COVERAGE","WAIT FOR UPSTREAM COMPLETION")</x:f>
        <x:v>HELD — COVERAGE</x:v>
      </x:c>
      <x:c r="AB622" s="13" t="str">
        <x:f>IF(L622&lt;&gt;"COVERED","HELD — COVERAGE",IF(T622="UNRESOLVED","G DECISION REQUIRED",IF(T622="NOT APPLICABLE","G N/A","G ACTIONABLE")))</x:f>
        <x:v>HELD — COVERAGE</x:v>
      </x:c>
      <x:c r="AC622" s="13" t="str">
        <x:f>IF(L622="UNRESOLVED","COVERAGE FIRST",IF(OR(L622="EXCLUDED",L622="OUT OF SCOPE"),"CLOSED BY COVERAGE",IF(AND(L622="COVERED",T622&lt;&gt;"UNRESOLVED"),"PARTIALLY ADOPTED","DECISIONS REMAIN")))</x:f>
        <x:v>COVERAGE FIRST</x:v>
      </x:c>
    </x:row>
    <x:row r="623">
      <x:c r="A623" s="13" t="str">
        <x:v>NAAFTC-HS6-110819</x:v>
      </x:c>
      <x:c r="B623" s="13" t="str">
        <x:v>110819</x:v>
      </x:c>
      <x:c r="C623" s="13" t="str">
        <x:v>11</x:v>
      </x:c>
      <x:c r="D623" s="13" t="str">
        <x:v>TRILATERAL_SPLIT_MERGE</x:v>
      </x:c>
      <x:c r="E623" s="13" t="str">
        <x:v>Pending</x:v>
      </x:c>
      <x:c r="F623" s="13" t="n">
        <x:v>2</x:v>
      </x:c>
      <x:c r="G623" s="13" t="n">
        <x:v>1</x:v>
      </x:c>
      <x:c r="H623" s="13" t="n">
        <x:v>3</x:v>
      </x:c>
      <x:c r="I623" s="13" t="str">
        <x:v>1108190010; 1108190090</x:v>
      </x:c>
      <x:c r="J623" s="13" t="str">
        <x:v>1108199100</x:v>
      </x:c>
      <x:c r="K623" s="13" t="str">
        <x:v>1108191100; 1108191200; 1108199000</x:v>
      </x:c>
      <x:c r="L623" s="13" t="str">
        <x:v>UNRESOLVED</x:v>
      </x:c>
      <x:c r="M623" s="13" t="str"/>
      <x:c r="N623" s="13" t="str">
        <x:v>NO / DEFAULT</x:v>
      </x:c>
      <x:c r="O623" s="13" t="str"/>
      <x:c r="P623" s="13" t="str">
        <x:v>NO / DEFAULT</x:v>
      </x:c>
      <x:c r="Q623" s="13" t="str"/>
      <x:c r="R623" s="13" t="str">
        <x:v>INDEPENDENT / DEFAULT</x:v>
      </x:c>
      <x:c r="S623" s="13" t="str"/>
      <x:c r="T623" s="13" t="str">
        <x:v>UNRESOLVED</x:v>
      </x:c>
      <x:c r="U623" s="13" t="str"/>
      <x:c r="V623" s="13" t="str"/>
      <x:c r="W623" s="13" t="str"/>
      <x:c r="X623" s="13" t="str">
        <x:f>IF(L623&lt;&gt;"COVERED","HELD — COVERAGE",IF(N623="YES — SENSITIVE","C ACTIONABLE","CHAPTER 5 DEFAULT"))</x:f>
        <x:v>HELD — COVERAGE</x:v>
      </x:c>
      <x:c r="Y623" s="13" t="str">
        <x:f>IF(L623&lt;&gt;"COVERED","HELD — COVERAGE",IF(P623="YES — MANAGED ACCESS","D ACTIONABLE","NO D FIELD"))</x:f>
        <x:v>HELD — COVERAGE</x:v>
      </x:c>
      <x:c r="Z623" s="13" t="str">
        <x:f>IF(L623&lt;&gt;"COVERED","HELD — COVERAGE",IF(OR(R623="PAIRED SYNCHRONIZED",R623="TRILATERAL SYNCHRONIZED"),"E ACTIONABLE","INDEPENDENT"))</x:f>
        <x:v>HELD — COVERAGE</x:v>
      </x:c>
      <x:c r="AA623" s="13" t="str">
        <x:f>IF(L623&lt;&gt;"COVERED","HELD — COVERAGE","WAIT FOR UPSTREAM COMPLETION")</x:f>
        <x:v>HELD — COVERAGE</x:v>
      </x:c>
      <x:c r="AB623" s="13" t="str">
        <x:f>IF(L623&lt;&gt;"COVERED","HELD — COVERAGE",IF(T623="UNRESOLVED","G DECISION REQUIRED",IF(T623="NOT APPLICABLE","G N/A","G ACTIONABLE")))</x:f>
        <x:v>HELD — COVERAGE</x:v>
      </x:c>
      <x:c r="AC623" s="13" t="str">
        <x:f>IF(L623="UNRESOLVED","COVERAGE FIRST",IF(OR(L623="EXCLUDED",L623="OUT OF SCOPE"),"CLOSED BY COVERAGE",IF(AND(L623="COVERED",T623&lt;&gt;"UNRESOLVED"),"PARTIALLY ADOPTED","DECISIONS REMAIN")))</x:f>
        <x:v>COVERAGE FIRST</x:v>
      </x:c>
    </x:row>
    <x:row r="624">
      <x:c r="A624" s="13" t="str">
        <x:v>NAAFTC-HS6-110820</x:v>
      </x:c>
      <x:c r="B624" s="13" t="str">
        <x:v>110820</x:v>
      </x:c>
      <x:c r="C624" s="13" t="str">
        <x:v>11</x:v>
      </x:c>
      <x:c r="D624" s="13" t="str">
        <x:v>TRILATERAL_1_TO_1_TO_1</x:v>
      </x:c>
      <x:c r="E624" s="13" t="str">
        <x:v>Pending</x:v>
      </x:c>
      <x:c r="F624" s="13" t="n">
        <x:v>1</x:v>
      </x:c>
      <x:c r="G624" s="13" t="n">
        <x:v>1</x:v>
      </x:c>
      <x:c r="H624" s="13" t="n">
        <x:v>1</x:v>
      </x:c>
      <x:c r="I624" s="13" t="str">
        <x:v>1108200000</x:v>
      </x:c>
      <x:c r="J624" s="13" t="str">
        <x:v>1108200100</x:v>
      </x:c>
      <x:c r="K624" s="13" t="str">
        <x:v>1108200000</x:v>
      </x:c>
      <x:c r="L624" s="13" t="str">
        <x:v>UNRESOLVED</x:v>
      </x:c>
      <x:c r="M624" s="13" t="str"/>
      <x:c r="N624" s="13" t="str">
        <x:v>NO / DEFAULT</x:v>
      </x:c>
      <x:c r="O624" s="13" t="str"/>
      <x:c r="P624" s="13" t="str">
        <x:v>NO / DEFAULT</x:v>
      </x:c>
      <x:c r="Q624" s="13" t="str"/>
      <x:c r="R624" s="13" t="str">
        <x:v>INDEPENDENT / DEFAULT</x:v>
      </x:c>
      <x:c r="S624" s="13" t="str"/>
      <x:c r="T624" s="13" t="str">
        <x:v>UNRESOLVED</x:v>
      </x:c>
      <x:c r="U624" s="13" t="str"/>
      <x:c r="V624" s="13" t="str"/>
      <x:c r="W624" s="13" t="str"/>
      <x:c r="X624" s="13" t="str">
        <x:f>IF(L624&lt;&gt;"COVERED","HELD — COVERAGE",IF(N624="YES — SENSITIVE","C ACTIONABLE","CHAPTER 5 DEFAULT"))</x:f>
        <x:v>HELD — COVERAGE</x:v>
      </x:c>
      <x:c r="Y624" s="13" t="str">
        <x:f>IF(L624&lt;&gt;"COVERED","HELD — COVERAGE",IF(P624="YES — MANAGED ACCESS","D ACTIONABLE","NO D FIELD"))</x:f>
        <x:v>HELD — COVERAGE</x:v>
      </x:c>
      <x:c r="Z624" s="13" t="str">
        <x:f>IF(L624&lt;&gt;"COVERED","HELD — COVERAGE",IF(OR(R624="PAIRED SYNCHRONIZED",R624="TRILATERAL SYNCHRONIZED"),"E ACTIONABLE","INDEPENDENT"))</x:f>
        <x:v>HELD — COVERAGE</x:v>
      </x:c>
      <x:c r="AA624" s="13" t="str">
        <x:f>IF(L624&lt;&gt;"COVERED","HELD — COVERAGE","WAIT FOR UPSTREAM COMPLETION")</x:f>
        <x:v>HELD — COVERAGE</x:v>
      </x:c>
      <x:c r="AB624" s="13" t="str">
        <x:f>IF(L624&lt;&gt;"COVERED","HELD — COVERAGE",IF(T624="UNRESOLVED","G DECISION REQUIRED",IF(T624="NOT APPLICABLE","G N/A","G ACTIONABLE")))</x:f>
        <x:v>HELD — COVERAGE</x:v>
      </x:c>
      <x:c r="AC624" s="13" t="str">
        <x:f>IF(L624="UNRESOLVED","COVERAGE FIRST",IF(OR(L624="EXCLUDED",L624="OUT OF SCOPE"),"CLOSED BY COVERAGE",IF(AND(L624="COVERED",T624&lt;&gt;"UNRESOLVED"),"PARTIALLY ADOPTED","DECISIONS REMAIN")))</x:f>
        <x:v>COVERAGE FIRST</x:v>
      </x:c>
    </x:row>
    <x:row r="625">
      <x:c r="A625" s="13" t="str">
        <x:v>NAAFTC-HS6-110900</x:v>
      </x:c>
      <x:c r="B625" s="13" t="str">
        <x:v>110900</x:v>
      </x:c>
      <x:c r="C625" s="13" t="str">
        <x:v>11</x:v>
      </x:c>
      <x:c r="D625" s="13" t="str">
        <x:v>TRILATERAL_SPLIT_MERGE</x:v>
      </x:c>
      <x:c r="E625" s="13" t="str">
        <x:v>Pending</x:v>
      </x:c>
      <x:c r="F625" s="13" t="n">
        <x:v>3</x:v>
      </x:c>
      <x:c r="G625" s="13" t="n">
        <x:v>1</x:v>
      </x:c>
      <x:c r="H625" s="13" t="n">
        <x:v>1</x:v>
      </x:c>
      <x:c r="I625" s="13" t="str">
        <x:v>1109001000; 1109009010; 1109009020</x:v>
      </x:c>
      <x:c r="J625" s="13" t="str">
        <x:v>1109000100</x:v>
      </x:c>
      <x:c r="K625" s="13" t="str">
        <x:v>1109002000</x:v>
      </x:c>
      <x:c r="L625" s="13" t="str">
        <x:v>UNRESOLVED</x:v>
      </x:c>
      <x:c r="M625" s="13" t="str"/>
      <x:c r="N625" s="13" t="str">
        <x:v>NO / DEFAULT</x:v>
      </x:c>
      <x:c r="O625" s="13" t="str"/>
      <x:c r="P625" s="13" t="str">
        <x:v>NO / DEFAULT</x:v>
      </x:c>
      <x:c r="Q625" s="13" t="str"/>
      <x:c r="R625" s="13" t="str">
        <x:v>INDEPENDENT / DEFAULT</x:v>
      </x:c>
      <x:c r="S625" s="13" t="str"/>
      <x:c r="T625" s="13" t="str">
        <x:v>UNRESOLVED</x:v>
      </x:c>
      <x:c r="U625" s="13" t="str"/>
      <x:c r="V625" s="13" t="str"/>
      <x:c r="W625" s="13" t="str"/>
      <x:c r="X625" s="13" t="str">
        <x:f>IF(L625&lt;&gt;"COVERED","HELD — COVERAGE",IF(N625="YES — SENSITIVE","C ACTIONABLE","CHAPTER 5 DEFAULT"))</x:f>
        <x:v>HELD — COVERAGE</x:v>
      </x:c>
      <x:c r="Y625" s="13" t="str">
        <x:f>IF(L625&lt;&gt;"COVERED","HELD — COVERAGE",IF(P625="YES — MANAGED ACCESS","D ACTIONABLE","NO D FIELD"))</x:f>
        <x:v>HELD — COVERAGE</x:v>
      </x:c>
      <x:c r="Z625" s="13" t="str">
        <x:f>IF(L625&lt;&gt;"COVERED","HELD — COVERAGE",IF(OR(R625="PAIRED SYNCHRONIZED",R625="TRILATERAL SYNCHRONIZED"),"E ACTIONABLE","INDEPENDENT"))</x:f>
        <x:v>HELD — COVERAGE</x:v>
      </x:c>
      <x:c r="AA625" s="13" t="str">
        <x:f>IF(L625&lt;&gt;"COVERED","HELD — COVERAGE","WAIT FOR UPSTREAM COMPLETION")</x:f>
        <x:v>HELD — COVERAGE</x:v>
      </x:c>
      <x:c r="AB625" s="13" t="str">
        <x:f>IF(L625&lt;&gt;"COVERED","HELD — COVERAGE",IF(T625="UNRESOLVED","G DECISION REQUIRED",IF(T625="NOT APPLICABLE","G N/A","G ACTIONABLE")))</x:f>
        <x:v>HELD — COVERAGE</x:v>
      </x:c>
      <x:c r="AC625" s="13" t="str">
        <x:f>IF(L625="UNRESOLVED","COVERAGE FIRST",IF(OR(L625="EXCLUDED",L625="OUT OF SCOPE"),"CLOSED BY COVERAGE",IF(AND(L625="COVERED",T625&lt;&gt;"UNRESOLVED"),"PARTIALLY ADOPTED","DECISIONS REMAIN")))</x:f>
        <x:v>COVERAGE FIRST</x:v>
      </x:c>
    </x:row>
    <x:row r="626">
      <x:c r="A626" s="13" t="str">
        <x:v>NAAFTC-HS6-120110</x:v>
      </x:c>
      <x:c r="B626" s="13" t="str">
        <x:v>120110</x:v>
      </x:c>
      <x:c r="C626" s="13" t="str">
        <x:v>12</x:v>
      </x:c>
      <x:c r="D626" s="13" t="str">
        <x:v>TRILATERAL_1_TO_1_TO_1</x:v>
      </x:c>
      <x:c r="E626" s="13" t="str">
        <x:v>Pending</x:v>
      </x:c>
      <x:c r="F626" s="13" t="n">
        <x:v>1</x:v>
      </x:c>
      <x:c r="G626" s="13" t="n">
        <x:v>1</x:v>
      </x:c>
      <x:c r="H626" s="13" t="n">
        <x:v>1</x:v>
      </x:c>
      <x:c r="I626" s="13" t="str">
        <x:v>1201100000</x:v>
      </x:c>
      <x:c r="J626" s="13" t="str">
        <x:v>1201100100</x:v>
      </x:c>
      <x:c r="K626" s="13" t="str">
        <x:v>1201100000</x:v>
      </x:c>
      <x:c r="L626" s="13" t="str">
        <x:v>UNRESOLVED</x:v>
      </x:c>
      <x:c r="M626" s="13" t="str"/>
      <x:c r="N626" s="13" t="str">
        <x:v>NO / DEFAULT</x:v>
      </x:c>
      <x:c r="O626" s="13" t="str"/>
      <x:c r="P626" s="13" t="str">
        <x:v>NO / DEFAULT</x:v>
      </x:c>
      <x:c r="Q626" s="13" t="str"/>
      <x:c r="R626" s="13" t="str">
        <x:v>INDEPENDENT / DEFAULT</x:v>
      </x:c>
      <x:c r="S626" s="13" t="str"/>
      <x:c r="T626" s="13" t="str">
        <x:v>UNRESOLVED</x:v>
      </x:c>
      <x:c r="U626" s="13" t="str"/>
      <x:c r="V626" s="13" t="str"/>
      <x:c r="W626" s="13" t="str"/>
      <x:c r="X626" s="13" t="str">
        <x:f>IF(L626&lt;&gt;"COVERED","HELD — COVERAGE",IF(N626="YES — SENSITIVE","C ACTIONABLE","CHAPTER 5 DEFAULT"))</x:f>
        <x:v>HELD — COVERAGE</x:v>
      </x:c>
      <x:c r="Y626" s="13" t="str">
        <x:f>IF(L626&lt;&gt;"COVERED","HELD — COVERAGE",IF(P626="YES — MANAGED ACCESS","D ACTIONABLE","NO D FIELD"))</x:f>
        <x:v>HELD — COVERAGE</x:v>
      </x:c>
      <x:c r="Z626" s="13" t="str">
        <x:f>IF(L626&lt;&gt;"COVERED","HELD — COVERAGE",IF(OR(R626="PAIRED SYNCHRONIZED",R626="TRILATERAL SYNCHRONIZED"),"E ACTIONABLE","INDEPENDENT"))</x:f>
        <x:v>HELD — COVERAGE</x:v>
      </x:c>
      <x:c r="AA626" s="13" t="str">
        <x:f>IF(L626&lt;&gt;"COVERED","HELD — COVERAGE","WAIT FOR UPSTREAM COMPLETION")</x:f>
        <x:v>HELD — COVERAGE</x:v>
      </x:c>
      <x:c r="AB626" s="13" t="str">
        <x:f>IF(L626&lt;&gt;"COVERED","HELD — COVERAGE",IF(T626="UNRESOLVED","G DECISION REQUIRED",IF(T626="NOT APPLICABLE","G N/A","G ACTIONABLE")))</x:f>
        <x:v>HELD — COVERAGE</x:v>
      </x:c>
      <x:c r="AC626" s="13" t="str">
        <x:f>IF(L626="UNRESOLVED","COVERAGE FIRST",IF(OR(L626="EXCLUDED",L626="OUT OF SCOPE"),"CLOSED BY COVERAGE",IF(AND(L626="COVERED",T626&lt;&gt;"UNRESOLVED"),"PARTIALLY ADOPTED","DECISIONS REMAIN")))</x:f>
        <x:v>COVERAGE FIRST</x:v>
      </x:c>
    </x:row>
    <x:row r="627">
      <x:c r="A627" s="13" t="str">
        <x:v>NAAFTC-HS6-120190</x:v>
      </x:c>
      <x:c r="B627" s="13" t="str">
        <x:v>120190</x:v>
      </x:c>
      <x:c r="C627" s="13" t="str">
        <x:v>12</x:v>
      </x:c>
      <x:c r="D627" s="13" t="str">
        <x:v>TRILATERAL_SPLIT_MERGE</x:v>
      </x:c>
      <x:c r="E627" s="13" t="str">
        <x:v>Pending</x:v>
      </x:c>
      <x:c r="F627" s="13" t="n">
        <x:v>3</x:v>
      </x:c>
      <x:c r="G627" s="13" t="n">
        <x:v>2</x:v>
      </x:c>
      <x:c r="H627" s="13" t="n">
        <x:v>1</x:v>
      </x:c>
      <x:c r="I627" s="13" t="str">
        <x:v>1201900005; 1201900010; 1201900090</x:v>
      </x:c>
      <x:c r="J627" s="13" t="str">
        <x:v>1201900100; 1201900200</x:v>
      </x:c>
      <x:c r="K627" s="13" t="str">
        <x:v>12019000</x:v>
      </x:c>
      <x:c r="L627" s="13" t="str">
        <x:v>UNRESOLVED</x:v>
      </x:c>
      <x:c r="M627" s="13" t="str"/>
      <x:c r="N627" s="13" t="str">
        <x:v>NO / DEFAULT</x:v>
      </x:c>
      <x:c r="O627" s="13" t="str"/>
      <x:c r="P627" s="13" t="str">
        <x:v>NO / DEFAULT</x:v>
      </x:c>
      <x:c r="Q627" s="13" t="str"/>
      <x:c r="R627" s="13" t="str">
        <x:v>INDEPENDENT / DEFAULT</x:v>
      </x:c>
      <x:c r="S627" s="13" t="str"/>
      <x:c r="T627" s="13" t="str">
        <x:v>UNRESOLVED</x:v>
      </x:c>
      <x:c r="U627" s="13" t="str"/>
      <x:c r="V627" s="13" t="str"/>
      <x:c r="W627" s="13" t="str"/>
      <x:c r="X627" s="13" t="str">
        <x:f>IF(L627&lt;&gt;"COVERED","HELD — COVERAGE",IF(N627="YES — SENSITIVE","C ACTIONABLE","CHAPTER 5 DEFAULT"))</x:f>
        <x:v>HELD — COVERAGE</x:v>
      </x:c>
      <x:c r="Y627" s="13" t="str">
        <x:f>IF(L627&lt;&gt;"COVERED","HELD — COVERAGE",IF(P627="YES — MANAGED ACCESS","D ACTIONABLE","NO D FIELD"))</x:f>
        <x:v>HELD — COVERAGE</x:v>
      </x:c>
      <x:c r="Z627" s="13" t="str">
        <x:f>IF(L627&lt;&gt;"COVERED","HELD — COVERAGE",IF(OR(R627="PAIRED SYNCHRONIZED",R627="TRILATERAL SYNCHRONIZED"),"E ACTIONABLE","INDEPENDENT"))</x:f>
        <x:v>HELD — COVERAGE</x:v>
      </x:c>
      <x:c r="AA627" s="13" t="str">
        <x:f>IF(L627&lt;&gt;"COVERED","HELD — COVERAGE","WAIT FOR UPSTREAM COMPLETION")</x:f>
        <x:v>HELD — COVERAGE</x:v>
      </x:c>
      <x:c r="AB627" s="13" t="str">
        <x:f>IF(L627&lt;&gt;"COVERED","HELD — COVERAGE",IF(T627="UNRESOLVED","G DECISION REQUIRED",IF(T627="NOT APPLICABLE","G N/A","G ACTIONABLE")))</x:f>
        <x:v>HELD — COVERAGE</x:v>
      </x:c>
      <x:c r="AC627" s="13" t="str">
        <x:f>IF(L627="UNRESOLVED","COVERAGE FIRST",IF(OR(L627="EXCLUDED",L627="OUT OF SCOPE"),"CLOSED BY COVERAGE",IF(AND(L627="COVERED",T627&lt;&gt;"UNRESOLVED"),"PARTIALLY ADOPTED","DECISIONS REMAIN")))</x:f>
        <x:v>COVERAGE FIRST</x:v>
      </x:c>
    </x:row>
    <x:row r="628">
      <x:c r="A628" s="13" t="str">
        <x:v>NAAFTC-HS6-120230</x:v>
      </x:c>
      <x:c r="B628" s="13" t="str">
        <x:v>120230</x:v>
      </x:c>
      <x:c r="C628" s="13" t="str">
        <x:v>12</x:v>
      </x:c>
      <x:c r="D628" s="13" t="str">
        <x:v>TRILATERAL_SPLIT_MERGE</x:v>
      </x:c>
      <x:c r="E628" s="13" t="str">
        <x:v>Pending</x:v>
      </x:c>
      <x:c r="F628" s="13" t="n">
        <x:v>3</x:v>
      </x:c>
      <x:c r="G628" s="13" t="n">
        <x:v>1</x:v>
      </x:c>
      <x:c r="H628" s="13" t="n">
        <x:v>1</x:v>
      </x:c>
      <x:c r="I628" s="13" t="str">
        <x:v>1202300500; 1202304000; 1202308000</x:v>
      </x:c>
      <x:c r="J628" s="13" t="str">
        <x:v>1202300100</x:v>
      </x:c>
      <x:c r="K628" s="13" t="str">
        <x:v>1202300000</x:v>
      </x:c>
      <x:c r="L628" s="13" t="str">
        <x:v>UNRESOLVED</x:v>
      </x:c>
      <x:c r="M628" s="13" t="str"/>
      <x:c r="N628" s="13" t="str">
        <x:v>NO / DEFAULT</x:v>
      </x:c>
      <x:c r="O628" s="13" t="str"/>
      <x:c r="P628" s="13" t="str">
        <x:v>NO / DEFAULT</x:v>
      </x:c>
      <x:c r="Q628" s="13" t="str"/>
      <x:c r="R628" s="13" t="str">
        <x:v>INDEPENDENT / DEFAULT</x:v>
      </x:c>
      <x:c r="S628" s="13" t="str"/>
      <x:c r="T628" s="13" t="str">
        <x:v>UNRESOLVED</x:v>
      </x:c>
      <x:c r="U628" s="13" t="str"/>
      <x:c r="V628" s="13" t="str"/>
      <x:c r="W628" s="13" t="str"/>
      <x:c r="X628" s="13" t="str">
        <x:f>IF(L628&lt;&gt;"COVERED","HELD — COVERAGE",IF(N628="YES — SENSITIVE","C ACTIONABLE","CHAPTER 5 DEFAULT"))</x:f>
        <x:v>HELD — COVERAGE</x:v>
      </x:c>
      <x:c r="Y628" s="13" t="str">
        <x:f>IF(L628&lt;&gt;"COVERED","HELD — COVERAGE",IF(P628="YES — MANAGED ACCESS","D ACTIONABLE","NO D FIELD"))</x:f>
        <x:v>HELD — COVERAGE</x:v>
      </x:c>
      <x:c r="Z628" s="13" t="str">
        <x:f>IF(L628&lt;&gt;"COVERED","HELD — COVERAGE",IF(OR(R628="PAIRED SYNCHRONIZED",R628="TRILATERAL SYNCHRONIZED"),"E ACTIONABLE","INDEPENDENT"))</x:f>
        <x:v>HELD — COVERAGE</x:v>
      </x:c>
      <x:c r="AA628" s="13" t="str">
        <x:f>IF(L628&lt;&gt;"COVERED","HELD — COVERAGE","WAIT FOR UPSTREAM COMPLETION")</x:f>
        <x:v>HELD — COVERAGE</x:v>
      </x:c>
      <x:c r="AB628" s="13" t="str">
        <x:f>IF(L628&lt;&gt;"COVERED","HELD — COVERAGE",IF(T628="UNRESOLVED","G DECISION REQUIRED",IF(T628="NOT APPLICABLE","G N/A","G ACTIONABLE")))</x:f>
        <x:v>HELD — COVERAGE</x:v>
      </x:c>
      <x:c r="AC628" s="13" t="str">
        <x:f>IF(L628="UNRESOLVED","COVERAGE FIRST",IF(OR(L628="EXCLUDED",L628="OUT OF SCOPE"),"CLOSED BY COVERAGE",IF(AND(L628="COVERED",T628&lt;&gt;"UNRESOLVED"),"PARTIALLY ADOPTED","DECISIONS REMAIN")))</x:f>
        <x:v>COVERAGE FIRST</x:v>
      </x:c>
    </x:row>
    <x:row r="629">
      <x:c r="A629" s="13" t="str">
        <x:v>NAAFTC-HS6-120241</x:v>
      </x:c>
      <x:c r="B629" s="13" t="str">
        <x:v>120241</x:v>
      </x:c>
      <x:c r="C629" s="13" t="str">
        <x:v>12</x:v>
      </x:c>
      <x:c r="D629" s="13" t="str">
        <x:v>TRILATERAL_SPLIT_MERGE</x:v>
      </x:c>
      <x:c r="E629" s="13" t="str">
        <x:v>Pending</x:v>
      </x:c>
      <x:c r="F629" s="13" t="n">
        <x:v>6</x:v>
      </x:c>
      <x:c r="G629" s="13" t="n">
        <x:v>1</x:v>
      </x:c>
      <x:c r="H629" s="13" t="n">
        <x:v>1</x:v>
      </x:c>
      <x:c r="I629" s="13" t="str">
        <x:v>1202410520; 1202410540; 1202414020; 1202414040; 1202418020; 1202418040</x:v>
      </x:c>
      <x:c r="J629" s="13" t="str">
        <x:v>1202410100</x:v>
      </x:c>
      <x:c r="K629" s="13" t="str">
        <x:v>1202410000</x:v>
      </x:c>
      <x:c r="L629" s="13" t="str">
        <x:v>UNRESOLVED</x:v>
      </x:c>
      <x:c r="M629" s="13" t="str"/>
      <x:c r="N629" s="13" t="str">
        <x:v>NO / DEFAULT</x:v>
      </x:c>
      <x:c r="O629" s="13" t="str"/>
      <x:c r="P629" s="13" t="str">
        <x:v>NO / DEFAULT</x:v>
      </x:c>
      <x:c r="Q629" s="13" t="str"/>
      <x:c r="R629" s="13" t="str">
        <x:v>INDEPENDENT / DEFAULT</x:v>
      </x:c>
      <x:c r="S629" s="13" t="str"/>
      <x:c r="T629" s="13" t="str">
        <x:v>UNRESOLVED</x:v>
      </x:c>
      <x:c r="U629" s="13" t="str"/>
      <x:c r="V629" s="13" t="str"/>
      <x:c r="W629" s="13" t="str"/>
      <x:c r="X629" s="13" t="str">
        <x:f>IF(L629&lt;&gt;"COVERED","HELD — COVERAGE",IF(N629="YES — SENSITIVE","C ACTIONABLE","CHAPTER 5 DEFAULT"))</x:f>
        <x:v>HELD — COVERAGE</x:v>
      </x:c>
      <x:c r="Y629" s="13" t="str">
        <x:f>IF(L629&lt;&gt;"COVERED","HELD — COVERAGE",IF(P629="YES — MANAGED ACCESS","D ACTIONABLE","NO D FIELD"))</x:f>
        <x:v>HELD — COVERAGE</x:v>
      </x:c>
      <x:c r="Z629" s="13" t="str">
        <x:f>IF(L629&lt;&gt;"COVERED","HELD — COVERAGE",IF(OR(R629="PAIRED SYNCHRONIZED",R629="TRILATERAL SYNCHRONIZED"),"E ACTIONABLE","INDEPENDENT"))</x:f>
        <x:v>HELD — COVERAGE</x:v>
      </x:c>
      <x:c r="AA629" s="13" t="str">
        <x:f>IF(L629&lt;&gt;"COVERED","HELD — COVERAGE","WAIT FOR UPSTREAM COMPLETION")</x:f>
        <x:v>HELD — COVERAGE</x:v>
      </x:c>
      <x:c r="AB629" s="13" t="str">
        <x:f>IF(L629&lt;&gt;"COVERED","HELD — COVERAGE",IF(T629="UNRESOLVED","G DECISION REQUIRED",IF(T629="NOT APPLICABLE","G N/A","G ACTIONABLE")))</x:f>
        <x:v>HELD — COVERAGE</x:v>
      </x:c>
      <x:c r="AC629" s="13" t="str">
        <x:f>IF(L629="UNRESOLVED","COVERAGE FIRST",IF(OR(L629="EXCLUDED",L629="OUT OF SCOPE"),"CLOSED BY COVERAGE",IF(AND(L629="COVERED",T629&lt;&gt;"UNRESOLVED"),"PARTIALLY ADOPTED","DECISIONS REMAIN")))</x:f>
        <x:v>COVERAGE FIRST</x:v>
      </x:c>
    </x:row>
    <x:row r="630">
      <x:c r="A630" s="13" t="str">
        <x:v>NAAFTC-HS6-120242</x:v>
      </x:c>
      <x:c r="B630" s="13" t="str">
        <x:v>120242</x:v>
      </x:c>
      <x:c r="C630" s="13" t="str">
        <x:v>12</x:v>
      </x:c>
      <x:c r="D630" s="13" t="str">
        <x:v>TRILATERAL_SPLIT_MERGE</x:v>
      </x:c>
      <x:c r="E630" s="13" t="str">
        <x:v>Pending</x:v>
      </x:c>
      <x:c r="F630" s="13" t="n">
        <x:v>12</x:v>
      </x:c>
      <x:c r="G630" s="13" t="n">
        <x:v>1</x:v>
      </x:c>
      <x:c r="H630" s="13" t="n">
        <x:v>2</x:v>
      </x:c>
      <x:c r="I630" s="13" t="str">
        <x:v>1202421020; 1202421040; 1202421520; 1202421540; 1202422020; 1202422040; +6 more</x:v>
      </x:c>
      <x:c r="J630" s="13" t="str">
        <x:v>1202420100</x:v>
      </x:c>
      <x:c r="K630" s="13" t="str">
        <x:v>1202421000; 1202429000</x:v>
      </x:c>
      <x:c r="L630" s="13" t="str">
        <x:v>UNRESOLVED</x:v>
      </x:c>
      <x:c r="M630" s="13" t="str"/>
      <x:c r="N630" s="13" t="str">
        <x:v>NO / DEFAULT</x:v>
      </x:c>
      <x:c r="O630" s="13" t="str"/>
      <x:c r="P630" s="13" t="str">
        <x:v>NO / DEFAULT</x:v>
      </x:c>
      <x:c r="Q630" s="13" t="str"/>
      <x:c r="R630" s="13" t="str">
        <x:v>INDEPENDENT / DEFAULT</x:v>
      </x:c>
      <x:c r="S630" s="13" t="str"/>
      <x:c r="T630" s="13" t="str">
        <x:v>UNRESOLVED</x:v>
      </x:c>
      <x:c r="U630" s="13" t="str"/>
      <x:c r="V630" s="13" t="str"/>
      <x:c r="W630" s="13" t="str"/>
      <x:c r="X630" s="13" t="str">
        <x:f>IF(L630&lt;&gt;"COVERED","HELD — COVERAGE",IF(N630="YES — SENSITIVE","C ACTIONABLE","CHAPTER 5 DEFAULT"))</x:f>
        <x:v>HELD — COVERAGE</x:v>
      </x:c>
      <x:c r="Y630" s="13" t="str">
        <x:f>IF(L630&lt;&gt;"COVERED","HELD — COVERAGE",IF(P630="YES — MANAGED ACCESS","D ACTIONABLE","NO D FIELD"))</x:f>
        <x:v>HELD — COVERAGE</x:v>
      </x:c>
      <x:c r="Z630" s="13" t="str">
        <x:f>IF(L630&lt;&gt;"COVERED","HELD — COVERAGE",IF(OR(R630="PAIRED SYNCHRONIZED",R630="TRILATERAL SYNCHRONIZED"),"E ACTIONABLE","INDEPENDENT"))</x:f>
        <x:v>HELD — COVERAGE</x:v>
      </x:c>
      <x:c r="AA630" s="13" t="str">
        <x:f>IF(L630&lt;&gt;"COVERED","HELD — COVERAGE","WAIT FOR UPSTREAM COMPLETION")</x:f>
        <x:v>HELD — COVERAGE</x:v>
      </x:c>
      <x:c r="AB630" s="13" t="str">
        <x:f>IF(L630&lt;&gt;"COVERED","HELD — COVERAGE",IF(T630="UNRESOLVED","G DECISION REQUIRED",IF(T630="NOT APPLICABLE","G N/A","G ACTIONABLE")))</x:f>
        <x:v>HELD — COVERAGE</x:v>
      </x:c>
      <x:c r="AC630" s="13" t="str">
        <x:f>IF(L630="UNRESOLVED","COVERAGE FIRST",IF(OR(L630="EXCLUDED",L630="OUT OF SCOPE"),"CLOSED BY COVERAGE",IF(AND(L630="COVERED",T630&lt;&gt;"UNRESOLVED"),"PARTIALLY ADOPTED","DECISIONS REMAIN")))</x:f>
        <x:v>COVERAGE FIRST</x:v>
      </x:c>
    </x:row>
    <x:row r="631">
      <x:c r="A631" s="13" t="str">
        <x:v>NAAFTC-HS6-120300</x:v>
      </x:c>
      <x:c r="B631" s="13" t="str">
        <x:v>120300</x:v>
      </x:c>
      <x:c r="C631" s="13" t="str">
        <x:v>12</x:v>
      </x:c>
      <x:c r="D631" s="13" t="str">
        <x:v>TRILATERAL_1_TO_1_TO_1</x:v>
      </x:c>
      <x:c r="E631" s="13" t="str">
        <x:v>Pending</x:v>
      </x:c>
      <x:c r="F631" s="13" t="n">
        <x:v>1</x:v>
      </x:c>
      <x:c r="G631" s="13" t="n">
        <x:v>1</x:v>
      </x:c>
      <x:c r="H631" s="13" t="n">
        <x:v>1</x:v>
      </x:c>
      <x:c r="I631" s="13" t="str">
        <x:v>1203000000</x:v>
      </x:c>
      <x:c r="J631" s="13" t="str">
        <x:v>1203000100</x:v>
      </x:c>
      <x:c r="K631" s="13" t="str">
        <x:v>1203000000</x:v>
      </x:c>
      <x:c r="L631" s="13" t="str">
        <x:v>UNRESOLVED</x:v>
      </x:c>
      <x:c r="M631" s="13" t="str"/>
      <x:c r="N631" s="13" t="str">
        <x:v>NO / DEFAULT</x:v>
      </x:c>
      <x:c r="O631" s="13" t="str"/>
      <x:c r="P631" s="13" t="str">
        <x:v>NO / DEFAULT</x:v>
      </x:c>
      <x:c r="Q631" s="13" t="str"/>
      <x:c r="R631" s="13" t="str">
        <x:v>INDEPENDENT / DEFAULT</x:v>
      </x:c>
      <x:c r="S631" s="13" t="str"/>
      <x:c r="T631" s="13" t="str">
        <x:v>UNRESOLVED</x:v>
      </x:c>
      <x:c r="U631" s="13" t="str"/>
      <x:c r="V631" s="13" t="str"/>
      <x:c r="W631" s="13" t="str"/>
      <x:c r="X631" s="13" t="str">
        <x:f>IF(L631&lt;&gt;"COVERED","HELD — COVERAGE",IF(N631="YES — SENSITIVE","C ACTIONABLE","CHAPTER 5 DEFAULT"))</x:f>
        <x:v>HELD — COVERAGE</x:v>
      </x:c>
      <x:c r="Y631" s="13" t="str">
        <x:f>IF(L631&lt;&gt;"COVERED","HELD — COVERAGE",IF(P631="YES — MANAGED ACCESS","D ACTIONABLE","NO D FIELD"))</x:f>
        <x:v>HELD — COVERAGE</x:v>
      </x:c>
      <x:c r="Z631" s="13" t="str">
        <x:f>IF(L631&lt;&gt;"COVERED","HELD — COVERAGE",IF(OR(R631="PAIRED SYNCHRONIZED",R631="TRILATERAL SYNCHRONIZED"),"E ACTIONABLE","INDEPENDENT"))</x:f>
        <x:v>HELD — COVERAGE</x:v>
      </x:c>
      <x:c r="AA631" s="13" t="str">
        <x:f>IF(L631&lt;&gt;"COVERED","HELD — COVERAGE","WAIT FOR UPSTREAM COMPLETION")</x:f>
        <x:v>HELD — COVERAGE</x:v>
      </x:c>
      <x:c r="AB631" s="13" t="str">
        <x:f>IF(L631&lt;&gt;"COVERED","HELD — COVERAGE",IF(T631="UNRESOLVED","G DECISION REQUIRED",IF(T631="NOT APPLICABLE","G N/A","G ACTIONABLE")))</x:f>
        <x:v>HELD — COVERAGE</x:v>
      </x:c>
      <x:c r="AC631" s="13" t="str">
        <x:f>IF(L631="UNRESOLVED","COVERAGE FIRST",IF(OR(L631="EXCLUDED",L631="OUT OF SCOPE"),"CLOSED BY COVERAGE",IF(AND(L631="COVERED",T631&lt;&gt;"UNRESOLVED"),"PARTIALLY ADOPTED","DECISIONS REMAIN")))</x:f>
        <x:v>COVERAGE FIRST</x:v>
      </x:c>
    </x:row>
    <x:row r="632">
      <x:c r="A632" s="13" t="str">
        <x:v>NAAFTC-HS6-120400</x:v>
      </x:c>
      <x:c r="B632" s="13" t="str">
        <x:v>120400</x:v>
      </x:c>
      <x:c r="C632" s="13" t="str">
        <x:v>12</x:v>
      </x:c>
      <x:c r="D632" s="13" t="str">
        <x:v>TRILATERAL_SPLIT_MERGE</x:v>
      </x:c>
      <x:c r="E632" s="13" t="str">
        <x:v>Pending</x:v>
      </x:c>
      <x:c r="F632" s="13" t="n">
        <x:v>5</x:v>
      </x:c>
      <x:c r="G632" s="13" t="n">
        <x:v>1</x:v>
      </x:c>
      <x:c r="H632" s="13" t="n">
        <x:v>1</x:v>
      </x:c>
      <x:c r="I632" s="13" t="str">
        <x:v>1204000010; 1204000025; 1204000035; 1204000055; 1204000075</x:v>
      </x:c>
      <x:c r="J632" s="13" t="str">
        <x:v>1204000100</x:v>
      </x:c>
      <x:c r="K632" s="13" t="str">
        <x:v>1204000000</x:v>
      </x:c>
      <x:c r="L632" s="13" t="str">
        <x:v>UNRESOLVED</x:v>
      </x:c>
      <x:c r="M632" s="13" t="str"/>
      <x:c r="N632" s="13" t="str">
        <x:v>NO / DEFAULT</x:v>
      </x:c>
      <x:c r="O632" s="13" t="str"/>
      <x:c r="P632" s="13" t="str">
        <x:v>NO / DEFAULT</x:v>
      </x:c>
      <x:c r="Q632" s="13" t="str"/>
      <x:c r="R632" s="13" t="str">
        <x:v>INDEPENDENT / DEFAULT</x:v>
      </x:c>
      <x:c r="S632" s="13" t="str"/>
      <x:c r="T632" s="13" t="str">
        <x:v>UNRESOLVED</x:v>
      </x:c>
      <x:c r="U632" s="13" t="str"/>
      <x:c r="V632" s="13" t="str"/>
      <x:c r="W632" s="13" t="str"/>
      <x:c r="X632" s="13" t="str">
        <x:f>IF(L632&lt;&gt;"COVERED","HELD — COVERAGE",IF(N632="YES — SENSITIVE","C ACTIONABLE","CHAPTER 5 DEFAULT"))</x:f>
        <x:v>HELD — COVERAGE</x:v>
      </x:c>
      <x:c r="Y632" s="13" t="str">
        <x:f>IF(L632&lt;&gt;"COVERED","HELD — COVERAGE",IF(P632="YES — MANAGED ACCESS","D ACTIONABLE","NO D FIELD"))</x:f>
        <x:v>HELD — COVERAGE</x:v>
      </x:c>
      <x:c r="Z632" s="13" t="str">
        <x:f>IF(L632&lt;&gt;"COVERED","HELD — COVERAGE",IF(OR(R632="PAIRED SYNCHRONIZED",R632="TRILATERAL SYNCHRONIZED"),"E ACTIONABLE","INDEPENDENT"))</x:f>
        <x:v>HELD — COVERAGE</x:v>
      </x:c>
      <x:c r="AA632" s="13" t="str">
        <x:f>IF(L632&lt;&gt;"COVERED","HELD — COVERAGE","WAIT FOR UPSTREAM COMPLETION")</x:f>
        <x:v>HELD — COVERAGE</x:v>
      </x:c>
      <x:c r="AB632" s="13" t="str">
        <x:f>IF(L632&lt;&gt;"COVERED","HELD — COVERAGE",IF(T632="UNRESOLVED","G DECISION REQUIRED",IF(T632="NOT APPLICABLE","G N/A","G ACTIONABLE")))</x:f>
        <x:v>HELD — COVERAGE</x:v>
      </x:c>
      <x:c r="AC632" s="13" t="str">
        <x:f>IF(L632="UNRESOLVED","COVERAGE FIRST",IF(OR(L632="EXCLUDED",L632="OUT OF SCOPE"),"CLOSED BY COVERAGE",IF(AND(L632="COVERED",T632&lt;&gt;"UNRESOLVED"),"PARTIALLY ADOPTED","DECISIONS REMAIN")))</x:f>
        <x:v>COVERAGE FIRST</x:v>
      </x:c>
    </x:row>
    <x:row r="633">
      <x:c r="A633" s="13" t="str">
        <x:v>NAAFTC-HS6-120510</x:v>
      </x:c>
      <x:c r="B633" s="13" t="str">
        <x:v>120510</x:v>
      </x:c>
      <x:c r="C633" s="13" t="str">
        <x:v>12</x:v>
      </x:c>
      <x:c r="D633" s="13" t="str">
        <x:v>TRILATERAL_SPLIT_MERGE</x:v>
      </x:c>
      <x:c r="E633" s="13" t="str">
        <x:v>Pending</x:v>
      </x:c>
      <x:c r="F633" s="13" t="n">
        <x:v>3</x:v>
      </x:c>
      <x:c r="G633" s="13" t="n">
        <x:v>1</x:v>
      </x:c>
      <x:c r="H633" s="13" t="n">
        <x:v>1</x:v>
      </x:c>
      <x:c r="I633" s="13" t="str">
        <x:v>1205100010; 1205100020; 1205100090</x:v>
      </x:c>
      <x:c r="J633" s="13" t="str">
        <x:v>1205100100</x:v>
      </x:c>
      <x:c r="K633" s="13" t="str">
        <x:v>12051000</x:v>
      </x:c>
      <x:c r="L633" s="13" t="str">
        <x:v>UNRESOLVED</x:v>
      </x:c>
      <x:c r="M633" s="13" t="str"/>
      <x:c r="N633" s="13" t="str">
        <x:v>NO / DEFAULT</x:v>
      </x:c>
      <x:c r="O633" s="13" t="str"/>
      <x:c r="P633" s="13" t="str">
        <x:v>NO / DEFAULT</x:v>
      </x:c>
      <x:c r="Q633" s="13" t="str"/>
      <x:c r="R633" s="13" t="str">
        <x:v>INDEPENDENT / DEFAULT</x:v>
      </x:c>
      <x:c r="S633" s="13" t="str"/>
      <x:c r="T633" s="13" t="str">
        <x:v>UNRESOLVED</x:v>
      </x:c>
      <x:c r="U633" s="13" t="str"/>
      <x:c r="V633" s="13" t="str"/>
      <x:c r="W633" s="13" t="str"/>
      <x:c r="X633" s="13" t="str">
        <x:f>IF(L633&lt;&gt;"COVERED","HELD — COVERAGE",IF(N633="YES — SENSITIVE","C ACTIONABLE","CHAPTER 5 DEFAULT"))</x:f>
        <x:v>HELD — COVERAGE</x:v>
      </x:c>
      <x:c r="Y633" s="13" t="str">
        <x:f>IF(L633&lt;&gt;"COVERED","HELD — COVERAGE",IF(P633="YES — MANAGED ACCESS","D ACTIONABLE","NO D FIELD"))</x:f>
        <x:v>HELD — COVERAGE</x:v>
      </x:c>
      <x:c r="Z633" s="13" t="str">
        <x:f>IF(L633&lt;&gt;"COVERED","HELD — COVERAGE",IF(OR(R633="PAIRED SYNCHRONIZED",R633="TRILATERAL SYNCHRONIZED"),"E ACTIONABLE","INDEPENDENT"))</x:f>
        <x:v>HELD — COVERAGE</x:v>
      </x:c>
      <x:c r="AA633" s="13" t="str">
        <x:f>IF(L633&lt;&gt;"COVERED","HELD — COVERAGE","WAIT FOR UPSTREAM COMPLETION")</x:f>
        <x:v>HELD — COVERAGE</x:v>
      </x:c>
      <x:c r="AB633" s="13" t="str">
        <x:f>IF(L633&lt;&gt;"COVERED","HELD — COVERAGE",IF(T633="UNRESOLVED","G DECISION REQUIRED",IF(T633="NOT APPLICABLE","G N/A","G ACTIONABLE")))</x:f>
        <x:v>HELD — COVERAGE</x:v>
      </x:c>
      <x:c r="AC633" s="13" t="str">
        <x:f>IF(L633="UNRESOLVED","COVERAGE FIRST",IF(OR(L633="EXCLUDED",L633="OUT OF SCOPE"),"CLOSED BY COVERAGE",IF(AND(L633="COVERED",T633&lt;&gt;"UNRESOLVED"),"PARTIALLY ADOPTED","DECISIONS REMAIN")))</x:f>
        <x:v>COVERAGE FIRST</x:v>
      </x:c>
    </x:row>
    <x:row r="634">
      <x:c r="A634" s="13" t="str">
        <x:v>NAAFTC-HS6-120590</x:v>
      </x:c>
      <x:c r="B634" s="13" t="str">
        <x:v>120590</x:v>
      </x:c>
      <x:c r="C634" s="13" t="str">
        <x:v>12</x:v>
      </x:c>
      <x:c r="D634" s="13" t="str">
        <x:v>TRILATERAL_SPLIT_MERGE</x:v>
      </x:c>
      <x:c r="E634" s="13" t="str">
        <x:v>Pending</x:v>
      </x:c>
      <x:c r="F634" s="13" t="n">
        <x:v>3</x:v>
      </x:c>
      <x:c r="G634" s="13" t="n">
        <x:v>1</x:v>
      </x:c>
      <x:c r="H634" s="13" t="n">
        <x:v>1</x:v>
      </x:c>
      <x:c r="I634" s="13" t="str">
        <x:v>1205900010; 1205900020; 1205900090</x:v>
      </x:c>
      <x:c r="J634" s="13" t="str">
        <x:v>1205909900</x:v>
      </x:c>
      <x:c r="K634" s="13" t="str">
        <x:v>1205900000</x:v>
      </x:c>
      <x:c r="L634" s="13" t="str">
        <x:v>UNRESOLVED</x:v>
      </x:c>
      <x:c r="M634" s="13" t="str"/>
      <x:c r="N634" s="13" t="str">
        <x:v>NO / DEFAULT</x:v>
      </x:c>
      <x:c r="O634" s="13" t="str"/>
      <x:c r="P634" s="13" t="str">
        <x:v>NO / DEFAULT</x:v>
      </x:c>
      <x:c r="Q634" s="13" t="str"/>
      <x:c r="R634" s="13" t="str">
        <x:v>INDEPENDENT / DEFAULT</x:v>
      </x:c>
      <x:c r="S634" s="13" t="str"/>
      <x:c r="T634" s="13" t="str">
        <x:v>UNRESOLVED</x:v>
      </x:c>
      <x:c r="U634" s="13" t="str"/>
      <x:c r="V634" s="13" t="str"/>
      <x:c r="W634" s="13" t="str"/>
      <x:c r="X634" s="13" t="str">
        <x:f>IF(L634&lt;&gt;"COVERED","HELD — COVERAGE",IF(N634="YES — SENSITIVE","C ACTIONABLE","CHAPTER 5 DEFAULT"))</x:f>
        <x:v>HELD — COVERAGE</x:v>
      </x:c>
      <x:c r="Y634" s="13" t="str">
        <x:f>IF(L634&lt;&gt;"COVERED","HELD — COVERAGE",IF(P634="YES — MANAGED ACCESS","D ACTIONABLE","NO D FIELD"))</x:f>
        <x:v>HELD — COVERAGE</x:v>
      </x:c>
      <x:c r="Z634" s="13" t="str">
        <x:f>IF(L634&lt;&gt;"COVERED","HELD — COVERAGE",IF(OR(R634="PAIRED SYNCHRONIZED",R634="TRILATERAL SYNCHRONIZED"),"E ACTIONABLE","INDEPENDENT"))</x:f>
        <x:v>HELD — COVERAGE</x:v>
      </x:c>
      <x:c r="AA634" s="13" t="str">
        <x:f>IF(L634&lt;&gt;"COVERED","HELD — COVERAGE","WAIT FOR UPSTREAM COMPLETION")</x:f>
        <x:v>HELD — COVERAGE</x:v>
      </x:c>
      <x:c r="AB634" s="13" t="str">
        <x:f>IF(L634&lt;&gt;"COVERED","HELD — COVERAGE",IF(T634="UNRESOLVED","G DECISION REQUIRED",IF(T634="NOT APPLICABLE","G N/A","G ACTIONABLE")))</x:f>
        <x:v>HELD — COVERAGE</x:v>
      </x:c>
      <x:c r="AC634" s="13" t="str">
        <x:f>IF(L634="UNRESOLVED","COVERAGE FIRST",IF(OR(L634="EXCLUDED",L634="OUT OF SCOPE"),"CLOSED BY COVERAGE",IF(AND(L634="COVERED",T634&lt;&gt;"UNRESOLVED"),"PARTIALLY ADOPTED","DECISIONS REMAIN")))</x:f>
        <x:v>COVERAGE FIRST</x:v>
      </x:c>
    </x:row>
    <x:row r="635">
      <x:c r="A635" s="13" t="str">
        <x:v>NAAFTC-HS6-120600</x:v>
      </x:c>
      <x:c r="B635" s="13" t="str">
        <x:v>120600</x:v>
      </x:c>
      <x:c r="C635" s="13" t="str">
        <x:v>12</x:v>
      </x:c>
      <x:c r="D635" s="13" t="str">
        <x:v>TRILATERAL_SPLIT_MERGE</x:v>
      </x:c>
      <x:c r="E635" s="13" t="str">
        <x:v>Pending</x:v>
      </x:c>
      <x:c r="F635" s="13" t="n">
        <x:v>7</x:v>
      </x:c>
      <x:c r="G635" s="13" t="n">
        <x:v>2</x:v>
      </x:c>
      <x:c r="H635" s="13" t="n">
        <x:v>1</x:v>
      </x:c>
      <x:c r="I635" s="13" t="str">
        <x:v>1206000020; 1206000031; 1206000065; 1206000070; 1206000075; 1206000080; +1 more</x:v>
      </x:c>
      <x:c r="J635" s="13" t="str">
        <x:v>1206000201; 1206000299</x:v>
      </x:c>
      <x:c r="K635" s="13" t="str">
        <x:v>12060000</x:v>
      </x:c>
      <x:c r="L635" s="13" t="str">
        <x:v>UNRESOLVED</x:v>
      </x:c>
      <x:c r="M635" s="13" t="str"/>
      <x:c r="N635" s="13" t="str">
        <x:v>NO / DEFAULT</x:v>
      </x:c>
      <x:c r="O635" s="13" t="str"/>
      <x:c r="P635" s="13" t="str">
        <x:v>NO / DEFAULT</x:v>
      </x:c>
      <x:c r="Q635" s="13" t="str"/>
      <x:c r="R635" s="13" t="str">
        <x:v>INDEPENDENT / DEFAULT</x:v>
      </x:c>
      <x:c r="S635" s="13" t="str"/>
      <x:c r="T635" s="13" t="str">
        <x:v>UNRESOLVED</x:v>
      </x:c>
      <x:c r="U635" s="13" t="str"/>
      <x:c r="V635" s="13" t="str"/>
      <x:c r="W635" s="13" t="str"/>
      <x:c r="X635" s="13" t="str">
        <x:f>IF(L635&lt;&gt;"COVERED","HELD — COVERAGE",IF(N635="YES — SENSITIVE","C ACTIONABLE","CHAPTER 5 DEFAULT"))</x:f>
        <x:v>HELD — COVERAGE</x:v>
      </x:c>
      <x:c r="Y635" s="13" t="str">
        <x:f>IF(L635&lt;&gt;"COVERED","HELD — COVERAGE",IF(P635="YES — MANAGED ACCESS","D ACTIONABLE","NO D FIELD"))</x:f>
        <x:v>HELD — COVERAGE</x:v>
      </x:c>
      <x:c r="Z635" s="13" t="str">
        <x:f>IF(L635&lt;&gt;"COVERED","HELD — COVERAGE",IF(OR(R635="PAIRED SYNCHRONIZED",R635="TRILATERAL SYNCHRONIZED"),"E ACTIONABLE","INDEPENDENT"))</x:f>
        <x:v>HELD — COVERAGE</x:v>
      </x:c>
      <x:c r="AA635" s="13" t="str">
        <x:f>IF(L635&lt;&gt;"COVERED","HELD — COVERAGE","WAIT FOR UPSTREAM COMPLETION")</x:f>
        <x:v>HELD — COVERAGE</x:v>
      </x:c>
      <x:c r="AB635" s="13" t="str">
        <x:f>IF(L635&lt;&gt;"COVERED","HELD — COVERAGE",IF(T635="UNRESOLVED","G DECISION REQUIRED",IF(T635="NOT APPLICABLE","G N/A","G ACTIONABLE")))</x:f>
        <x:v>HELD — COVERAGE</x:v>
      </x:c>
      <x:c r="AC635" s="13" t="str">
        <x:f>IF(L635="UNRESOLVED","COVERAGE FIRST",IF(OR(L635="EXCLUDED",L635="OUT OF SCOPE"),"CLOSED BY COVERAGE",IF(AND(L635="COVERED",T635&lt;&gt;"UNRESOLVED"),"PARTIALLY ADOPTED","DECISIONS REMAIN")))</x:f>
        <x:v>COVERAGE FIRST</x:v>
      </x:c>
    </x:row>
    <x:row r="636">
      <x:c r="A636" s="13" t="str">
        <x:v>NAAFTC-HS6-120710</x:v>
      </x:c>
      <x:c r="B636" s="13" t="str">
        <x:v>120710</x:v>
      </x:c>
      <x:c r="C636" s="13" t="str">
        <x:v>12</x:v>
      </x:c>
      <x:c r="D636" s="13" t="str">
        <x:v>TRILATERAL_1_TO_1_TO_1</x:v>
      </x:c>
      <x:c r="E636" s="13" t="str">
        <x:v>Pending</x:v>
      </x:c>
      <x:c r="F636" s="13" t="n">
        <x:v>1</x:v>
      </x:c>
      <x:c r="G636" s="13" t="n">
        <x:v>1</x:v>
      </x:c>
      <x:c r="H636" s="13" t="n">
        <x:v>1</x:v>
      </x:c>
      <x:c r="I636" s="13" t="str">
        <x:v>1207100000</x:v>
      </x:c>
      <x:c r="J636" s="13" t="str">
        <x:v>1207100100</x:v>
      </x:c>
      <x:c r="K636" s="13" t="str">
        <x:v>1207100000</x:v>
      </x:c>
      <x:c r="L636" s="13" t="str">
        <x:v>UNRESOLVED</x:v>
      </x:c>
      <x:c r="M636" s="13" t="str"/>
      <x:c r="N636" s="13" t="str">
        <x:v>NO / DEFAULT</x:v>
      </x:c>
      <x:c r="O636" s="13" t="str"/>
      <x:c r="P636" s="13" t="str">
        <x:v>NO / DEFAULT</x:v>
      </x:c>
      <x:c r="Q636" s="13" t="str"/>
      <x:c r="R636" s="13" t="str">
        <x:v>INDEPENDENT / DEFAULT</x:v>
      </x:c>
      <x:c r="S636" s="13" t="str"/>
      <x:c r="T636" s="13" t="str">
        <x:v>UNRESOLVED</x:v>
      </x:c>
      <x:c r="U636" s="13" t="str"/>
      <x:c r="V636" s="13" t="str"/>
      <x:c r="W636" s="13" t="str"/>
      <x:c r="X636" s="13" t="str">
        <x:f>IF(L636&lt;&gt;"COVERED","HELD — COVERAGE",IF(N636="YES — SENSITIVE","C ACTIONABLE","CHAPTER 5 DEFAULT"))</x:f>
        <x:v>HELD — COVERAGE</x:v>
      </x:c>
      <x:c r="Y636" s="13" t="str">
        <x:f>IF(L636&lt;&gt;"COVERED","HELD — COVERAGE",IF(P636="YES — MANAGED ACCESS","D ACTIONABLE","NO D FIELD"))</x:f>
        <x:v>HELD — COVERAGE</x:v>
      </x:c>
      <x:c r="Z636" s="13" t="str">
        <x:f>IF(L636&lt;&gt;"COVERED","HELD — COVERAGE",IF(OR(R636="PAIRED SYNCHRONIZED",R636="TRILATERAL SYNCHRONIZED"),"E ACTIONABLE","INDEPENDENT"))</x:f>
        <x:v>HELD — COVERAGE</x:v>
      </x:c>
      <x:c r="AA636" s="13" t="str">
        <x:f>IF(L636&lt;&gt;"COVERED","HELD — COVERAGE","WAIT FOR UPSTREAM COMPLETION")</x:f>
        <x:v>HELD — COVERAGE</x:v>
      </x:c>
      <x:c r="AB636" s="13" t="str">
        <x:f>IF(L636&lt;&gt;"COVERED","HELD — COVERAGE",IF(T636="UNRESOLVED","G DECISION REQUIRED",IF(T636="NOT APPLICABLE","G N/A","G ACTIONABLE")))</x:f>
        <x:v>HELD — COVERAGE</x:v>
      </x:c>
      <x:c r="AC636" s="13" t="str">
        <x:f>IF(L636="UNRESOLVED","COVERAGE FIRST",IF(OR(L636="EXCLUDED",L636="OUT OF SCOPE"),"CLOSED BY COVERAGE",IF(AND(L636="COVERED",T636&lt;&gt;"UNRESOLVED"),"PARTIALLY ADOPTED","DECISIONS REMAIN")))</x:f>
        <x:v>COVERAGE FIRST</x:v>
      </x:c>
    </x:row>
    <x:row r="637">
      <x:c r="A637" s="13" t="str">
        <x:v>NAAFTC-HS6-120721</x:v>
      </x:c>
      <x:c r="B637" s="13" t="str">
        <x:v>120721</x:v>
      </x:c>
      <x:c r="C637" s="13" t="str">
        <x:v>12</x:v>
      </x:c>
      <x:c r="D637" s="13" t="str">
        <x:v>TRILATERAL_1_TO_1_TO_1</x:v>
      </x:c>
      <x:c r="E637" s="13" t="str">
        <x:v>Pending</x:v>
      </x:c>
      <x:c r="F637" s="13" t="n">
        <x:v>1</x:v>
      </x:c>
      <x:c r="G637" s="13" t="n">
        <x:v>1</x:v>
      </x:c>
      <x:c r="H637" s="13" t="n">
        <x:v>1</x:v>
      </x:c>
      <x:c r="I637" s="13" t="str">
        <x:v>1207210000</x:v>
      </x:c>
      <x:c r="J637" s="13" t="str">
        <x:v>1207210100</x:v>
      </x:c>
      <x:c r="K637" s="13" t="str">
        <x:v>1207210000</x:v>
      </x:c>
      <x:c r="L637" s="13" t="str">
        <x:v>UNRESOLVED</x:v>
      </x:c>
      <x:c r="M637" s="13" t="str"/>
      <x:c r="N637" s="13" t="str">
        <x:v>NO / DEFAULT</x:v>
      </x:c>
      <x:c r="O637" s="13" t="str"/>
      <x:c r="P637" s="13" t="str">
        <x:v>NO / DEFAULT</x:v>
      </x:c>
      <x:c r="Q637" s="13" t="str"/>
      <x:c r="R637" s="13" t="str">
        <x:v>INDEPENDENT / DEFAULT</x:v>
      </x:c>
      <x:c r="S637" s="13" t="str"/>
      <x:c r="T637" s="13" t="str">
        <x:v>UNRESOLVED</x:v>
      </x:c>
      <x:c r="U637" s="13" t="str"/>
      <x:c r="V637" s="13" t="str"/>
      <x:c r="W637" s="13" t="str"/>
      <x:c r="X637" s="13" t="str">
        <x:f>IF(L637&lt;&gt;"COVERED","HELD — COVERAGE",IF(N637="YES — SENSITIVE","C ACTIONABLE","CHAPTER 5 DEFAULT"))</x:f>
        <x:v>HELD — COVERAGE</x:v>
      </x:c>
      <x:c r="Y637" s="13" t="str">
        <x:f>IF(L637&lt;&gt;"COVERED","HELD — COVERAGE",IF(P637="YES — MANAGED ACCESS","D ACTIONABLE","NO D FIELD"))</x:f>
        <x:v>HELD — COVERAGE</x:v>
      </x:c>
      <x:c r="Z637" s="13" t="str">
        <x:f>IF(L637&lt;&gt;"COVERED","HELD — COVERAGE",IF(OR(R637="PAIRED SYNCHRONIZED",R637="TRILATERAL SYNCHRONIZED"),"E ACTIONABLE","INDEPENDENT"))</x:f>
        <x:v>HELD — COVERAGE</x:v>
      </x:c>
      <x:c r="AA637" s="13" t="str">
        <x:f>IF(L637&lt;&gt;"COVERED","HELD — COVERAGE","WAIT FOR UPSTREAM COMPLETION")</x:f>
        <x:v>HELD — COVERAGE</x:v>
      </x:c>
      <x:c r="AB637" s="13" t="str">
        <x:f>IF(L637&lt;&gt;"COVERED","HELD — COVERAGE",IF(T637="UNRESOLVED","G DECISION REQUIRED",IF(T637="NOT APPLICABLE","G N/A","G ACTIONABLE")))</x:f>
        <x:v>HELD — COVERAGE</x:v>
      </x:c>
      <x:c r="AC637" s="13" t="str">
        <x:f>IF(L637="UNRESOLVED","COVERAGE FIRST",IF(OR(L637="EXCLUDED",L637="OUT OF SCOPE"),"CLOSED BY COVERAGE",IF(AND(L637="COVERED",T637&lt;&gt;"UNRESOLVED"),"PARTIALLY ADOPTED","DECISIONS REMAIN")))</x:f>
        <x:v>COVERAGE FIRST</x:v>
      </x:c>
    </x:row>
    <x:row r="638">
      <x:c r="A638" s="13" t="str">
        <x:v>NAAFTC-HS6-120729</x:v>
      </x:c>
      <x:c r="B638" s="13" t="str">
        <x:v>120729</x:v>
      </x:c>
      <x:c r="C638" s="13" t="str">
        <x:v>12</x:v>
      </x:c>
      <x:c r="D638" s="13" t="str">
        <x:v>TRILATERAL_1_TO_1_TO_1</x:v>
      </x:c>
      <x:c r="E638" s="13" t="str">
        <x:v>Pending</x:v>
      </x:c>
      <x:c r="F638" s="13" t="n">
        <x:v>1</x:v>
      </x:c>
      <x:c r="G638" s="13" t="n">
        <x:v>1</x:v>
      </x:c>
      <x:c r="H638" s="13" t="n">
        <x:v>1</x:v>
      </x:c>
      <x:c r="I638" s="13" t="str">
        <x:v>1207290000</x:v>
      </x:c>
      <x:c r="J638" s="13" t="str">
        <x:v>1207299900</x:v>
      </x:c>
      <x:c r="K638" s="13" t="str">
        <x:v>1207290000</x:v>
      </x:c>
      <x:c r="L638" s="13" t="str">
        <x:v>UNRESOLVED</x:v>
      </x:c>
      <x:c r="M638" s="13" t="str"/>
      <x:c r="N638" s="13" t="str">
        <x:v>NO / DEFAULT</x:v>
      </x:c>
      <x:c r="O638" s="13" t="str"/>
      <x:c r="P638" s="13" t="str">
        <x:v>NO / DEFAULT</x:v>
      </x:c>
      <x:c r="Q638" s="13" t="str"/>
      <x:c r="R638" s="13" t="str">
        <x:v>INDEPENDENT / DEFAULT</x:v>
      </x:c>
      <x:c r="S638" s="13" t="str"/>
      <x:c r="T638" s="13" t="str">
        <x:v>UNRESOLVED</x:v>
      </x:c>
      <x:c r="U638" s="13" t="str"/>
      <x:c r="V638" s="13" t="str"/>
      <x:c r="W638" s="13" t="str"/>
      <x:c r="X638" s="13" t="str">
        <x:f>IF(L638&lt;&gt;"COVERED","HELD — COVERAGE",IF(N638="YES — SENSITIVE","C ACTIONABLE","CHAPTER 5 DEFAULT"))</x:f>
        <x:v>HELD — COVERAGE</x:v>
      </x:c>
      <x:c r="Y638" s="13" t="str">
        <x:f>IF(L638&lt;&gt;"COVERED","HELD — COVERAGE",IF(P638="YES — MANAGED ACCESS","D ACTIONABLE","NO D FIELD"))</x:f>
        <x:v>HELD — COVERAGE</x:v>
      </x:c>
      <x:c r="Z638" s="13" t="str">
        <x:f>IF(L638&lt;&gt;"COVERED","HELD — COVERAGE",IF(OR(R638="PAIRED SYNCHRONIZED",R638="TRILATERAL SYNCHRONIZED"),"E ACTIONABLE","INDEPENDENT"))</x:f>
        <x:v>HELD — COVERAGE</x:v>
      </x:c>
      <x:c r="AA638" s="13" t="str">
        <x:f>IF(L638&lt;&gt;"COVERED","HELD — COVERAGE","WAIT FOR UPSTREAM COMPLETION")</x:f>
        <x:v>HELD — COVERAGE</x:v>
      </x:c>
      <x:c r="AB638" s="13" t="str">
        <x:f>IF(L638&lt;&gt;"COVERED","HELD — COVERAGE",IF(T638="UNRESOLVED","G DECISION REQUIRED",IF(T638="NOT APPLICABLE","G N/A","G ACTIONABLE")))</x:f>
        <x:v>HELD — COVERAGE</x:v>
      </x:c>
      <x:c r="AC638" s="13" t="str">
        <x:f>IF(L638="UNRESOLVED","COVERAGE FIRST",IF(OR(L638="EXCLUDED",L638="OUT OF SCOPE"),"CLOSED BY COVERAGE",IF(AND(L638="COVERED",T638&lt;&gt;"UNRESOLVED"),"PARTIALLY ADOPTED","DECISIONS REMAIN")))</x:f>
        <x:v>COVERAGE FIRST</x:v>
      </x:c>
    </x:row>
    <x:row r="639">
      <x:c r="A639" s="13" t="str">
        <x:v>NAAFTC-HS6-120730</x:v>
      </x:c>
      <x:c r="B639" s="13" t="str">
        <x:v>120730</x:v>
      </x:c>
      <x:c r="C639" s="13" t="str">
        <x:v>12</x:v>
      </x:c>
      <x:c r="D639" s="13" t="str">
        <x:v>TRILATERAL_1_TO_1_TO_1</x:v>
      </x:c>
      <x:c r="E639" s="13" t="str">
        <x:v>Pending</x:v>
      </x:c>
      <x:c r="F639" s="13" t="n">
        <x:v>1</x:v>
      </x:c>
      <x:c r="G639" s="13" t="n">
        <x:v>1</x:v>
      </x:c>
      <x:c r="H639" s="13" t="n">
        <x:v>1</x:v>
      </x:c>
      <x:c r="I639" s="13" t="str">
        <x:v>1207300000</x:v>
      </x:c>
      <x:c r="J639" s="13" t="str">
        <x:v>1207300100</x:v>
      </x:c>
      <x:c r="K639" s="13" t="str">
        <x:v>1207300000</x:v>
      </x:c>
      <x:c r="L639" s="13" t="str">
        <x:v>UNRESOLVED</x:v>
      </x:c>
      <x:c r="M639" s="13" t="str"/>
      <x:c r="N639" s="13" t="str">
        <x:v>NO / DEFAULT</x:v>
      </x:c>
      <x:c r="O639" s="13" t="str"/>
      <x:c r="P639" s="13" t="str">
        <x:v>NO / DEFAULT</x:v>
      </x:c>
      <x:c r="Q639" s="13" t="str"/>
      <x:c r="R639" s="13" t="str">
        <x:v>INDEPENDENT / DEFAULT</x:v>
      </x:c>
      <x:c r="S639" s="13" t="str"/>
      <x:c r="T639" s="13" t="str">
        <x:v>UNRESOLVED</x:v>
      </x:c>
      <x:c r="U639" s="13" t="str"/>
      <x:c r="V639" s="13" t="str"/>
      <x:c r="W639" s="13" t="str"/>
      <x:c r="X639" s="13" t="str">
        <x:f>IF(L639&lt;&gt;"COVERED","HELD — COVERAGE",IF(N639="YES — SENSITIVE","C ACTIONABLE","CHAPTER 5 DEFAULT"))</x:f>
        <x:v>HELD — COVERAGE</x:v>
      </x:c>
      <x:c r="Y639" s="13" t="str">
        <x:f>IF(L639&lt;&gt;"COVERED","HELD — COVERAGE",IF(P639="YES — MANAGED ACCESS","D ACTIONABLE","NO D FIELD"))</x:f>
        <x:v>HELD — COVERAGE</x:v>
      </x:c>
      <x:c r="Z639" s="13" t="str">
        <x:f>IF(L639&lt;&gt;"COVERED","HELD — COVERAGE",IF(OR(R639="PAIRED SYNCHRONIZED",R639="TRILATERAL SYNCHRONIZED"),"E ACTIONABLE","INDEPENDENT"))</x:f>
        <x:v>HELD — COVERAGE</x:v>
      </x:c>
      <x:c r="AA639" s="13" t="str">
        <x:f>IF(L639&lt;&gt;"COVERED","HELD — COVERAGE","WAIT FOR UPSTREAM COMPLETION")</x:f>
        <x:v>HELD — COVERAGE</x:v>
      </x:c>
      <x:c r="AB639" s="13" t="str">
        <x:f>IF(L639&lt;&gt;"COVERED","HELD — COVERAGE",IF(T639="UNRESOLVED","G DECISION REQUIRED",IF(T639="NOT APPLICABLE","G N/A","G ACTIONABLE")))</x:f>
        <x:v>HELD — COVERAGE</x:v>
      </x:c>
      <x:c r="AC639" s="13" t="str">
        <x:f>IF(L639="UNRESOLVED","COVERAGE FIRST",IF(OR(L639="EXCLUDED",L639="OUT OF SCOPE"),"CLOSED BY COVERAGE",IF(AND(L639="COVERED",T639&lt;&gt;"UNRESOLVED"),"PARTIALLY ADOPTED","DECISIONS REMAIN")))</x:f>
        <x:v>COVERAGE FIRST</x:v>
      </x:c>
    </x:row>
    <x:row r="640">
      <x:c r="A640" s="13" t="str">
        <x:v>NAAFTC-HS6-120740</x:v>
      </x:c>
      <x:c r="B640" s="13" t="str">
        <x:v>120740</x:v>
      </x:c>
      <x:c r="C640" s="13" t="str">
        <x:v>12</x:v>
      </x:c>
      <x:c r="D640" s="13" t="str">
        <x:v>TRILATERAL_SPLIT_MERGE</x:v>
      </x:c>
      <x:c r="E640" s="13" t="str">
        <x:v>Pending</x:v>
      </x:c>
      <x:c r="F640" s="13" t="n">
        <x:v>2</x:v>
      </x:c>
      <x:c r="G640" s="13" t="n">
        <x:v>1</x:v>
      </x:c>
      <x:c r="H640" s="13" t="n">
        <x:v>1</x:v>
      </x:c>
      <x:c r="I640" s="13" t="str">
        <x:v>1207400010; 1207400090</x:v>
      </x:c>
      <x:c r="J640" s="13" t="str">
        <x:v>1207400100</x:v>
      </x:c>
      <x:c r="K640" s="13" t="str">
        <x:v>1207400000</x:v>
      </x:c>
      <x:c r="L640" s="13" t="str">
        <x:v>UNRESOLVED</x:v>
      </x:c>
      <x:c r="M640" s="13" t="str"/>
      <x:c r="N640" s="13" t="str">
        <x:v>NO / DEFAULT</x:v>
      </x:c>
      <x:c r="O640" s="13" t="str"/>
      <x:c r="P640" s="13" t="str">
        <x:v>NO / DEFAULT</x:v>
      </x:c>
      <x:c r="Q640" s="13" t="str"/>
      <x:c r="R640" s="13" t="str">
        <x:v>INDEPENDENT / DEFAULT</x:v>
      </x:c>
      <x:c r="S640" s="13" t="str"/>
      <x:c r="T640" s="13" t="str">
        <x:v>UNRESOLVED</x:v>
      </x:c>
      <x:c r="U640" s="13" t="str"/>
      <x:c r="V640" s="13" t="str"/>
      <x:c r="W640" s="13" t="str"/>
      <x:c r="X640" s="13" t="str">
        <x:f>IF(L640&lt;&gt;"COVERED","HELD — COVERAGE",IF(N640="YES — SENSITIVE","C ACTIONABLE","CHAPTER 5 DEFAULT"))</x:f>
        <x:v>HELD — COVERAGE</x:v>
      </x:c>
      <x:c r="Y640" s="13" t="str">
        <x:f>IF(L640&lt;&gt;"COVERED","HELD — COVERAGE",IF(P640="YES — MANAGED ACCESS","D ACTIONABLE","NO D FIELD"))</x:f>
        <x:v>HELD — COVERAGE</x:v>
      </x:c>
      <x:c r="Z640" s="13" t="str">
        <x:f>IF(L640&lt;&gt;"COVERED","HELD — COVERAGE",IF(OR(R640="PAIRED SYNCHRONIZED",R640="TRILATERAL SYNCHRONIZED"),"E ACTIONABLE","INDEPENDENT"))</x:f>
        <x:v>HELD — COVERAGE</x:v>
      </x:c>
      <x:c r="AA640" s="13" t="str">
        <x:f>IF(L640&lt;&gt;"COVERED","HELD — COVERAGE","WAIT FOR UPSTREAM COMPLETION")</x:f>
        <x:v>HELD — COVERAGE</x:v>
      </x:c>
      <x:c r="AB640" s="13" t="str">
        <x:f>IF(L640&lt;&gt;"COVERED","HELD — COVERAGE",IF(T640="UNRESOLVED","G DECISION REQUIRED",IF(T640="NOT APPLICABLE","G N/A","G ACTIONABLE")))</x:f>
        <x:v>HELD — COVERAGE</x:v>
      </x:c>
      <x:c r="AC640" s="13" t="str">
        <x:f>IF(L640="UNRESOLVED","COVERAGE FIRST",IF(OR(L640="EXCLUDED",L640="OUT OF SCOPE"),"CLOSED BY COVERAGE",IF(AND(L640="COVERED",T640&lt;&gt;"UNRESOLVED"),"PARTIALLY ADOPTED","DECISIONS REMAIN")))</x:f>
        <x:v>COVERAGE FIRST</x:v>
      </x:c>
    </x:row>
    <x:row r="641">
      <x:c r="A641" s="13" t="str">
        <x:v>NAAFTC-HS6-120750</x:v>
      </x:c>
      <x:c r="B641" s="13" t="str">
        <x:v>120750</x:v>
      </x:c>
      <x:c r="C641" s="13" t="str">
        <x:v>12</x:v>
      </x:c>
      <x:c r="D641" s="13" t="str">
        <x:v>TRILATERAL_1_TO_1_TO_1</x:v>
      </x:c>
      <x:c r="E641" s="13" t="str">
        <x:v>Pending</x:v>
      </x:c>
      <x:c r="F641" s="13" t="n">
        <x:v>1</x:v>
      </x:c>
      <x:c r="G641" s="13" t="n">
        <x:v>1</x:v>
      </x:c>
      <x:c r="H641" s="13" t="n">
        <x:v>1</x:v>
      </x:c>
      <x:c r="I641" s="13" t="str">
        <x:v>1207500000</x:v>
      </x:c>
      <x:c r="J641" s="13" t="str">
        <x:v>1207500100</x:v>
      </x:c>
      <x:c r="K641" s="13" t="str">
        <x:v>1207500000</x:v>
      </x:c>
      <x:c r="L641" s="13" t="str">
        <x:v>UNRESOLVED</x:v>
      </x:c>
      <x:c r="M641" s="13" t="str"/>
      <x:c r="N641" s="13" t="str">
        <x:v>NO / DEFAULT</x:v>
      </x:c>
      <x:c r="O641" s="13" t="str"/>
      <x:c r="P641" s="13" t="str">
        <x:v>NO / DEFAULT</x:v>
      </x:c>
      <x:c r="Q641" s="13" t="str"/>
      <x:c r="R641" s="13" t="str">
        <x:v>INDEPENDENT / DEFAULT</x:v>
      </x:c>
      <x:c r="S641" s="13" t="str"/>
      <x:c r="T641" s="13" t="str">
        <x:v>UNRESOLVED</x:v>
      </x:c>
      <x:c r="U641" s="13" t="str"/>
      <x:c r="V641" s="13" t="str"/>
      <x:c r="W641" s="13" t="str"/>
      <x:c r="X641" s="13" t="str">
        <x:f>IF(L641&lt;&gt;"COVERED","HELD — COVERAGE",IF(N641="YES — SENSITIVE","C ACTIONABLE","CHAPTER 5 DEFAULT"))</x:f>
        <x:v>HELD — COVERAGE</x:v>
      </x:c>
      <x:c r="Y641" s="13" t="str">
        <x:f>IF(L641&lt;&gt;"COVERED","HELD — COVERAGE",IF(P641="YES — MANAGED ACCESS","D ACTIONABLE","NO D FIELD"))</x:f>
        <x:v>HELD — COVERAGE</x:v>
      </x:c>
      <x:c r="Z641" s="13" t="str">
        <x:f>IF(L641&lt;&gt;"COVERED","HELD — COVERAGE",IF(OR(R641="PAIRED SYNCHRONIZED",R641="TRILATERAL SYNCHRONIZED"),"E ACTIONABLE","INDEPENDENT"))</x:f>
        <x:v>HELD — COVERAGE</x:v>
      </x:c>
      <x:c r="AA641" s="13" t="str">
        <x:f>IF(L641&lt;&gt;"COVERED","HELD — COVERAGE","WAIT FOR UPSTREAM COMPLETION")</x:f>
        <x:v>HELD — COVERAGE</x:v>
      </x:c>
      <x:c r="AB641" s="13" t="str">
        <x:f>IF(L641&lt;&gt;"COVERED","HELD — COVERAGE",IF(T641="UNRESOLVED","G DECISION REQUIRED",IF(T641="NOT APPLICABLE","G N/A","G ACTIONABLE")))</x:f>
        <x:v>HELD — COVERAGE</x:v>
      </x:c>
      <x:c r="AC641" s="13" t="str">
        <x:f>IF(L641="UNRESOLVED","COVERAGE FIRST",IF(OR(L641="EXCLUDED",L641="OUT OF SCOPE"),"CLOSED BY COVERAGE",IF(AND(L641="COVERED",T641&lt;&gt;"UNRESOLVED"),"PARTIALLY ADOPTED","DECISIONS REMAIN")))</x:f>
        <x:v>COVERAGE FIRST</x:v>
      </x:c>
    </x:row>
    <x:row r="642">
      <x:c r="A642" s="13" t="str">
        <x:v>NAAFTC-HS6-120760</x:v>
      </x:c>
      <x:c r="B642" s="13" t="str">
        <x:v>120760</x:v>
      </x:c>
      <x:c r="C642" s="13" t="str">
        <x:v>12</x:v>
      </x:c>
      <x:c r="D642" s="13" t="str">
        <x:v>TRILATERAL_SPLIT_MERGE</x:v>
      </x:c>
      <x:c r="E642" s="13" t="str">
        <x:v>Pending</x:v>
      </x:c>
      <x:c r="F642" s="13" t="n">
        <x:v>1</x:v>
      </x:c>
      <x:c r="G642" s="13" t="n">
        <x:v>2</x:v>
      </x:c>
      <x:c r="H642" s="13" t="n">
        <x:v>1</x:v>
      </x:c>
      <x:c r="I642" s="13" t="str">
        <x:v>1207600000</x:v>
      </x:c>
      <x:c r="J642" s="13" t="str">
        <x:v>1207600300; 1207609900</x:v>
      </x:c>
      <x:c r="K642" s="13" t="str">
        <x:v>1207600000</x:v>
      </x:c>
      <x:c r="L642" s="13" t="str">
        <x:v>UNRESOLVED</x:v>
      </x:c>
      <x:c r="M642" s="13" t="str"/>
      <x:c r="N642" s="13" t="str">
        <x:v>NO / DEFAULT</x:v>
      </x:c>
      <x:c r="O642" s="13" t="str"/>
      <x:c r="P642" s="13" t="str">
        <x:v>NO / DEFAULT</x:v>
      </x:c>
      <x:c r="Q642" s="13" t="str"/>
      <x:c r="R642" s="13" t="str">
        <x:v>INDEPENDENT / DEFAULT</x:v>
      </x:c>
      <x:c r="S642" s="13" t="str"/>
      <x:c r="T642" s="13" t="str">
        <x:v>UNRESOLVED</x:v>
      </x:c>
      <x:c r="U642" s="13" t="str"/>
      <x:c r="V642" s="13" t="str"/>
      <x:c r="W642" s="13" t="str"/>
      <x:c r="X642" s="13" t="str">
        <x:f>IF(L642&lt;&gt;"COVERED","HELD — COVERAGE",IF(N642="YES — SENSITIVE","C ACTIONABLE","CHAPTER 5 DEFAULT"))</x:f>
        <x:v>HELD — COVERAGE</x:v>
      </x:c>
      <x:c r="Y642" s="13" t="str">
        <x:f>IF(L642&lt;&gt;"COVERED","HELD — COVERAGE",IF(P642="YES — MANAGED ACCESS","D ACTIONABLE","NO D FIELD"))</x:f>
        <x:v>HELD — COVERAGE</x:v>
      </x:c>
      <x:c r="Z642" s="13" t="str">
        <x:f>IF(L642&lt;&gt;"COVERED","HELD — COVERAGE",IF(OR(R642="PAIRED SYNCHRONIZED",R642="TRILATERAL SYNCHRONIZED"),"E ACTIONABLE","INDEPENDENT"))</x:f>
        <x:v>HELD — COVERAGE</x:v>
      </x:c>
      <x:c r="AA642" s="13" t="str">
        <x:f>IF(L642&lt;&gt;"COVERED","HELD — COVERAGE","WAIT FOR UPSTREAM COMPLETION")</x:f>
        <x:v>HELD — COVERAGE</x:v>
      </x:c>
      <x:c r="AB642" s="13" t="str">
        <x:f>IF(L642&lt;&gt;"COVERED","HELD — COVERAGE",IF(T642="UNRESOLVED","G DECISION REQUIRED",IF(T642="NOT APPLICABLE","G N/A","G ACTIONABLE")))</x:f>
        <x:v>HELD — COVERAGE</x:v>
      </x:c>
      <x:c r="AC642" s="13" t="str">
        <x:f>IF(L642="UNRESOLVED","COVERAGE FIRST",IF(OR(L642="EXCLUDED",L642="OUT OF SCOPE"),"CLOSED BY COVERAGE",IF(AND(L642="COVERED",T642&lt;&gt;"UNRESOLVED"),"PARTIALLY ADOPTED","DECISIONS REMAIN")))</x:f>
        <x:v>COVERAGE FIRST</x:v>
      </x:c>
    </x:row>
    <x:row r="643">
      <x:c r="A643" s="13" t="str">
        <x:v>NAAFTC-HS6-120770</x:v>
      </x:c>
      <x:c r="B643" s="13" t="str">
        <x:v>120770</x:v>
      </x:c>
      <x:c r="C643" s="13" t="str">
        <x:v>12</x:v>
      </x:c>
      <x:c r="D643" s="13" t="str">
        <x:v>TRILATERAL_SPLIT_MERGE</x:v>
      </x:c>
      <x:c r="E643" s="13" t="str">
        <x:v>Pending</x:v>
      </x:c>
      <x:c r="F643" s="13" t="n">
        <x:v>3</x:v>
      </x:c>
      <x:c r="G643" s="13" t="n">
        <x:v>1</x:v>
      </x:c>
      <x:c r="H643" s="13" t="n">
        <x:v>1</x:v>
      </x:c>
      <x:c r="I643" s="13" t="str">
        <x:v>1207700020; 1207700040; 1207700075</x:v>
      </x:c>
      <x:c r="J643" s="13" t="str">
        <x:v>1207700100</x:v>
      </x:c>
      <x:c r="K643" s="13" t="str">
        <x:v>1207700000</x:v>
      </x:c>
      <x:c r="L643" s="13" t="str">
        <x:v>UNRESOLVED</x:v>
      </x:c>
      <x:c r="M643" s="13" t="str"/>
      <x:c r="N643" s="13" t="str">
        <x:v>NO / DEFAULT</x:v>
      </x:c>
      <x:c r="O643" s="13" t="str"/>
      <x:c r="P643" s="13" t="str">
        <x:v>NO / DEFAULT</x:v>
      </x:c>
      <x:c r="Q643" s="13" t="str"/>
      <x:c r="R643" s="13" t="str">
        <x:v>INDEPENDENT / DEFAULT</x:v>
      </x:c>
      <x:c r="S643" s="13" t="str"/>
      <x:c r="T643" s="13" t="str">
        <x:v>UNRESOLVED</x:v>
      </x:c>
      <x:c r="U643" s="13" t="str"/>
      <x:c r="V643" s="13" t="str"/>
      <x:c r="W643" s="13" t="str"/>
      <x:c r="X643" s="13" t="str">
        <x:f>IF(L643&lt;&gt;"COVERED","HELD — COVERAGE",IF(N643="YES — SENSITIVE","C ACTIONABLE","CHAPTER 5 DEFAULT"))</x:f>
        <x:v>HELD — COVERAGE</x:v>
      </x:c>
      <x:c r="Y643" s="13" t="str">
        <x:f>IF(L643&lt;&gt;"COVERED","HELD — COVERAGE",IF(P643="YES — MANAGED ACCESS","D ACTIONABLE","NO D FIELD"))</x:f>
        <x:v>HELD — COVERAGE</x:v>
      </x:c>
      <x:c r="Z643" s="13" t="str">
        <x:f>IF(L643&lt;&gt;"COVERED","HELD — COVERAGE",IF(OR(R643="PAIRED SYNCHRONIZED",R643="TRILATERAL SYNCHRONIZED"),"E ACTIONABLE","INDEPENDENT"))</x:f>
        <x:v>HELD — COVERAGE</x:v>
      </x:c>
      <x:c r="AA643" s="13" t="str">
        <x:f>IF(L643&lt;&gt;"COVERED","HELD — COVERAGE","WAIT FOR UPSTREAM COMPLETION")</x:f>
        <x:v>HELD — COVERAGE</x:v>
      </x:c>
      <x:c r="AB643" s="13" t="str">
        <x:f>IF(L643&lt;&gt;"COVERED","HELD — COVERAGE",IF(T643="UNRESOLVED","G DECISION REQUIRED",IF(T643="NOT APPLICABLE","G N/A","G ACTIONABLE")))</x:f>
        <x:v>HELD — COVERAGE</x:v>
      </x:c>
      <x:c r="AC643" s="13" t="str">
        <x:f>IF(L643="UNRESOLVED","COVERAGE FIRST",IF(OR(L643="EXCLUDED",L643="OUT OF SCOPE"),"CLOSED BY COVERAGE",IF(AND(L643="COVERED",T643&lt;&gt;"UNRESOLVED"),"PARTIALLY ADOPTED","DECISIONS REMAIN")))</x:f>
        <x:v>COVERAGE FIRST</x:v>
      </x:c>
    </x:row>
    <x:row r="644">
      <x:c r="A644" s="13" t="str">
        <x:v>NAAFTC-HS6-120791</x:v>
      </x:c>
      <x:c r="B644" s="13" t="str">
        <x:v>120791</x:v>
      </x:c>
      <x:c r="C644" s="13" t="str">
        <x:v>12</x:v>
      </x:c>
      <x:c r="D644" s="13" t="str">
        <x:v>TRILATERAL_1_TO_1_TO_1</x:v>
      </x:c>
      <x:c r="E644" s="13" t="str">
        <x:v>Pending</x:v>
      </x:c>
      <x:c r="F644" s="13" t="n">
        <x:v>1</x:v>
      </x:c>
      <x:c r="G644" s="13" t="n">
        <x:v>1</x:v>
      </x:c>
      <x:c r="H644" s="13" t="n">
        <x:v>1</x:v>
      </x:c>
      <x:c r="I644" s="13" t="str">
        <x:v>1207910000</x:v>
      </x:c>
      <x:c r="J644" s="13" t="str">
        <x:v>1207910100</x:v>
      </x:c>
      <x:c r="K644" s="13" t="str">
        <x:v>1207910000</x:v>
      </x:c>
      <x:c r="L644" s="13" t="str">
        <x:v>UNRESOLVED</x:v>
      </x:c>
      <x:c r="M644" s="13" t="str"/>
      <x:c r="N644" s="13" t="str">
        <x:v>NO / DEFAULT</x:v>
      </x:c>
      <x:c r="O644" s="13" t="str"/>
      <x:c r="P644" s="13" t="str">
        <x:v>NO / DEFAULT</x:v>
      </x:c>
      <x:c r="Q644" s="13" t="str"/>
      <x:c r="R644" s="13" t="str">
        <x:v>INDEPENDENT / DEFAULT</x:v>
      </x:c>
      <x:c r="S644" s="13" t="str"/>
      <x:c r="T644" s="13" t="str">
        <x:v>UNRESOLVED</x:v>
      </x:c>
      <x:c r="U644" s="13" t="str"/>
      <x:c r="V644" s="13" t="str"/>
      <x:c r="W644" s="13" t="str"/>
      <x:c r="X644" s="13" t="str">
        <x:f>IF(L644&lt;&gt;"COVERED","HELD — COVERAGE",IF(N644="YES — SENSITIVE","C ACTIONABLE","CHAPTER 5 DEFAULT"))</x:f>
        <x:v>HELD — COVERAGE</x:v>
      </x:c>
      <x:c r="Y644" s="13" t="str">
        <x:f>IF(L644&lt;&gt;"COVERED","HELD — COVERAGE",IF(P644="YES — MANAGED ACCESS","D ACTIONABLE","NO D FIELD"))</x:f>
        <x:v>HELD — COVERAGE</x:v>
      </x:c>
      <x:c r="Z644" s="13" t="str">
        <x:f>IF(L644&lt;&gt;"COVERED","HELD — COVERAGE",IF(OR(R644="PAIRED SYNCHRONIZED",R644="TRILATERAL SYNCHRONIZED"),"E ACTIONABLE","INDEPENDENT"))</x:f>
        <x:v>HELD — COVERAGE</x:v>
      </x:c>
      <x:c r="AA644" s="13" t="str">
        <x:f>IF(L644&lt;&gt;"COVERED","HELD — COVERAGE","WAIT FOR UPSTREAM COMPLETION")</x:f>
        <x:v>HELD — COVERAGE</x:v>
      </x:c>
      <x:c r="AB644" s="13" t="str">
        <x:f>IF(L644&lt;&gt;"COVERED","HELD — COVERAGE",IF(T644="UNRESOLVED","G DECISION REQUIRED",IF(T644="NOT APPLICABLE","G N/A","G ACTIONABLE")))</x:f>
        <x:v>HELD — COVERAGE</x:v>
      </x:c>
      <x:c r="AC644" s="13" t="str">
        <x:f>IF(L644="UNRESOLVED","COVERAGE FIRST",IF(OR(L644="EXCLUDED",L644="OUT OF SCOPE"),"CLOSED BY COVERAGE",IF(AND(L644="COVERED",T644&lt;&gt;"UNRESOLVED"),"PARTIALLY ADOPTED","DECISIONS REMAIN")))</x:f>
        <x:v>COVERAGE FIRST</x:v>
      </x:c>
    </x:row>
    <x:row r="645">
      <x:c r="A645" s="13" t="str">
        <x:v>NAAFTC-HS6-120799</x:v>
      </x:c>
      <x:c r="B645" s="13" t="str">
        <x:v>120799</x:v>
      </x:c>
      <x:c r="C645" s="13" t="str">
        <x:v>12</x:v>
      </x:c>
      <x:c r="D645" s="13" t="str">
        <x:v>TRILATERAL_SPLIT_MERGE</x:v>
      </x:c>
      <x:c r="E645" s="13" t="str">
        <x:v>Pending</x:v>
      </x:c>
      <x:c r="F645" s="13" t="n">
        <x:v>6</x:v>
      </x:c>
      <x:c r="G645" s="13" t="n">
        <x:v>1</x:v>
      </x:c>
      <x:c r="H645" s="13" t="n">
        <x:v>1</x:v>
      </x:c>
      <x:c r="I645" s="13" t="str">
        <x:v>1207990310; 1207990340; 1207990365; 1207990375; 1207990392; 1207990397</x:v>
      </x:c>
      <x:c r="J645" s="13" t="str">
        <x:v>1207999900</x:v>
      </x:c>
      <x:c r="K645" s="13" t="str">
        <x:v>12079900</x:v>
      </x:c>
      <x:c r="L645" s="13" t="str">
        <x:v>UNRESOLVED</x:v>
      </x:c>
      <x:c r="M645" s="13" t="str"/>
      <x:c r="N645" s="13" t="str">
        <x:v>NO / DEFAULT</x:v>
      </x:c>
      <x:c r="O645" s="13" t="str"/>
      <x:c r="P645" s="13" t="str">
        <x:v>NO / DEFAULT</x:v>
      </x:c>
      <x:c r="Q645" s="13" t="str"/>
      <x:c r="R645" s="13" t="str">
        <x:v>INDEPENDENT / DEFAULT</x:v>
      </x:c>
      <x:c r="S645" s="13" t="str"/>
      <x:c r="T645" s="13" t="str">
        <x:v>UNRESOLVED</x:v>
      </x:c>
      <x:c r="U645" s="13" t="str"/>
      <x:c r="V645" s="13" t="str"/>
      <x:c r="W645" s="13" t="str"/>
      <x:c r="X645" s="13" t="str">
        <x:f>IF(L645&lt;&gt;"COVERED","HELD — COVERAGE",IF(N645="YES — SENSITIVE","C ACTIONABLE","CHAPTER 5 DEFAULT"))</x:f>
        <x:v>HELD — COVERAGE</x:v>
      </x:c>
      <x:c r="Y645" s="13" t="str">
        <x:f>IF(L645&lt;&gt;"COVERED","HELD — COVERAGE",IF(P645="YES — MANAGED ACCESS","D ACTIONABLE","NO D FIELD"))</x:f>
        <x:v>HELD — COVERAGE</x:v>
      </x:c>
      <x:c r="Z645" s="13" t="str">
        <x:f>IF(L645&lt;&gt;"COVERED","HELD — COVERAGE",IF(OR(R645="PAIRED SYNCHRONIZED",R645="TRILATERAL SYNCHRONIZED"),"E ACTIONABLE","INDEPENDENT"))</x:f>
        <x:v>HELD — COVERAGE</x:v>
      </x:c>
      <x:c r="AA645" s="13" t="str">
        <x:f>IF(L645&lt;&gt;"COVERED","HELD — COVERAGE","WAIT FOR UPSTREAM COMPLETION")</x:f>
        <x:v>HELD — COVERAGE</x:v>
      </x:c>
      <x:c r="AB645" s="13" t="str">
        <x:f>IF(L645&lt;&gt;"COVERED","HELD — COVERAGE",IF(T645="UNRESOLVED","G DECISION REQUIRED",IF(T645="NOT APPLICABLE","G N/A","G ACTIONABLE")))</x:f>
        <x:v>HELD — COVERAGE</x:v>
      </x:c>
      <x:c r="AC645" s="13" t="str">
        <x:f>IF(L645="UNRESOLVED","COVERAGE FIRST",IF(OR(L645="EXCLUDED",L645="OUT OF SCOPE"),"CLOSED BY COVERAGE",IF(AND(L645="COVERED",T645&lt;&gt;"UNRESOLVED"),"PARTIALLY ADOPTED","DECISIONS REMAIN")))</x:f>
        <x:v>COVERAGE FIRST</x:v>
      </x:c>
    </x:row>
    <x:row r="646">
      <x:c r="A646" s="13" t="str">
        <x:v>NAAFTC-HS6-120810</x:v>
      </x:c>
      <x:c r="B646" s="13" t="str">
        <x:v>120810</x:v>
      </x:c>
      <x:c r="C646" s="13" t="str">
        <x:v>12</x:v>
      </x:c>
      <x:c r="D646" s="13" t="str">
        <x:v>TRILATERAL_SPLIT_MERGE</x:v>
      </x:c>
      <x:c r="E646" s="13" t="str">
        <x:v>Pending</x:v>
      </x:c>
      <x:c r="F646" s="13" t="n">
        <x:v>2</x:v>
      </x:c>
      <x:c r="G646" s="13" t="n">
        <x:v>1</x:v>
      </x:c>
      <x:c r="H646" s="13" t="n">
        <x:v>1</x:v>
      </x:c>
      <x:c r="I646" s="13" t="str">
        <x:v>1208100010; 1208100090</x:v>
      </x:c>
      <x:c r="J646" s="13" t="str">
        <x:v>1208100100</x:v>
      </x:c>
      <x:c r="K646" s="13" t="str">
        <x:v>1208100000</x:v>
      </x:c>
      <x:c r="L646" s="13" t="str">
        <x:v>UNRESOLVED</x:v>
      </x:c>
      <x:c r="M646" s="13" t="str"/>
      <x:c r="N646" s="13" t="str">
        <x:v>NO / DEFAULT</x:v>
      </x:c>
      <x:c r="O646" s="13" t="str"/>
      <x:c r="P646" s="13" t="str">
        <x:v>NO / DEFAULT</x:v>
      </x:c>
      <x:c r="Q646" s="13" t="str"/>
      <x:c r="R646" s="13" t="str">
        <x:v>INDEPENDENT / DEFAULT</x:v>
      </x:c>
      <x:c r="S646" s="13" t="str"/>
      <x:c r="T646" s="13" t="str">
        <x:v>UNRESOLVED</x:v>
      </x:c>
      <x:c r="U646" s="13" t="str"/>
      <x:c r="V646" s="13" t="str"/>
      <x:c r="W646" s="13" t="str"/>
      <x:c r="X646" s="13" t="str">
        <x:f>IF(L646&lt;&gt;"COVERED","HELD — COVERAGE",IF(N646="YES — SENSITIVE","C ACTIONABLE","CHAPTER 5 DEFAULT"))</x:f>
        <x:v>HELD — COVERAGE</x:v>
      </x:c>
      <x:c r="Y646" s="13" t="str">
        <x:f>IF(L646&lt;&gt;"COVERED","HELD — COVERAGE",IF(P646="YES — MANAGED ACCESS","D ACTIONABLE","NO D FIELD"))</x:f>
        <x:v>HELD — COVERAGE</x:v>
      </x:c>
      <x:c r="Z646" s="13" t="str">
        <x:f>IF(L646&lt;&gt;"COVERED","HELD — COVERAGE",IF(OR(R646="PAIRED SYNCHRONIZED",R646="TRILATERAL SYNCHRONIZED"),"E ACTIONABLE","INDEPENDENT"))</x:f>
        <x:v>HELD — COVERAGE</x:v>
      </x:c>
      <x:c r="AA646" s="13" t="str">
        <x:f>IF(L646&lt;&gt;"COVERED","HELD — COVERAGE","WAIT FOR UPSTREAM COMPLETION")</x:f>
        <x:v>HELD — COVERAGE</x:v>
      </x:c>
      <x:c r="AB646" s="13" t="str">
        <x:f>IF(L646&lt;&gt;"COVERED","HELD — COVERAGE",IF(T646="UNRESOLVED","G DECISION REQUIRED",IF(T646="NOT APPLICABLE","G N/A","G ACTIONABLE")))</x:f>
        <x:v>HELD — COVERAGE</x:v>
      </x:c>
      <x:c r="AC646" s="13" t="str">
        <x:f>IF(L646="UNRESOLVED","COVERAGE FIRST",IF(OR(L646="EXCLUDED",L646="OUT OF SCOPE"),"CLOSED BY COVERAGE",IF(AND(L646="COVERED",T646&lt;&gt;"UNRESOLVED"),"PARTIALLY ADOPTED","DECISIONS REMAIN")))</x:f>
        <x:v>COVERAGE FIRST</x:v>
      </x:c>
    </x:row>
    <x:row r="647">
      <x:c r="A647" s="13" t="str">
        <x:v>NAAFTC-HS6-120890</x:v>
      </x:c>
      <x:c r="B647" s="13" t="str">
        <x:v>120890</x:v>
      </x:c>
      <x:c r="C647" s="13" t="str">
        <x:v>12</x:v>
      </x:c>
      <x:c r="D647" s="13" t="str">
        <x:v>TRILATERAL_1_TO_1_TO_1</x:v>
      </x:c>
      <x:c r="E647" s="13" t="str">
        <x:v>Pending</x:v>
      </x:c>
      <x:c r="F647" s="13" t="n">
        <x:v>1</x:v>
      </x:c>
      <x:c r="G647" s="13" t="n">
        <x:v>1</x:v>
      </x:c>
      <x:c r="H647" s="13" t="n">
        <x:v>1</x:v>
      </x:c>
      <x:c r="I647" s="13" t="str">
        <x:v>1208900000</x:v>
      </x:c>
      <x:c r="J647" s="13" t="str">
        <x:v>1208909900</x:v>
      </x:c>
      <x:c r="K647" s="13" t="str">
        <x:v>1208900000</x:v>
      </x:c>
      <x:c r="L647" s="13" t="str">
        <x:v>UNRESOLVED</x:v>
      </x:c>
      <x:c r="M647" s="13" t="str"/>
      <x:c r="N647" s="13" t="str">
        <x:v>NO / DEFAULT</x:v>
      </x:c>
      <x:c r="O647" s="13" t="str"/>
      <x:c r="P647" s="13" t="str">
        <x:v>NO / DEFAULT</x:v>
      </x:c>
      <x:c r="Q647" s="13" t="str"/>
      <x:c r="R647" s="13" t="str">
        <x:v>INDEPENDENT / DEFAULT</x:v>
      </x:c>
      <x:c r="S647" s="13" t="str"/>
      <x:c r="T647" s="13" t="str">
        <x:v>UNRESOLVED</x:v>
      </x:c>
      <x:c r="U647" s="13" t="str"/>
      <x:c r="V647" s="13" t="str"/>
      <x:c r="W647" s="13" t="str"/>
      <x:c r="X647" s="13" t="str">
        <x:f>IF(L647&lt;&gt;"COVERED","HELD — COVERAGE",IF(N647="YES — SENSITIVE","C ACTIONABLE","CHAPTER 5 DEFAULT"))</x:f>
        <x:v>HELD — COVERAGE</x:v>
      </x:c>
      <x:c r="Y647" s="13" t="str">
        <x:f>IF(L647&lt;&gt;"COVERED","HELD — COVERAGE",IF(P647="YES — MANAGED ACCESS","D ACTIONABLE","NO D FIELD"))</x:f>
        <x:v>HELD — COVERAGE</x:v>
      </x:c>
      <x:c r="Z647" s="13" t="str">
        <x:f>IF(L647&lt;&gt;"COVERED","HELD — COVERAGE",IF(OR(R647="PAIRED SYNCHRONIZED",R647="TRILATERAL SYNCHRONIZED"),"E ACTIONABLE","INDEPENDENT"))</x:f>
        <x:v>HELD — COVERAGE</x:v>
      </x:c>
      <x:c r="AA647" s="13" t="str">
        <x:f>IF(L647&lt;&gt;"COVERED","HELD — COVERAGE","WAIT FOR UPSTREAM COMPLETION")</x:f>
        <x:v>HELD — COVERAGE</x:v>
      </x:c>
      <x:c r="AB647" s="13" t="str">
        <x:f>IF(L647&lt;&gt;"COVERED","HELD — COVERAGE",IF(T647="UNRESOLVED","G DECISION REQUIRED",IF(T647="NOT APPLICABLE","G N/A","G ACTIONABLE")))</x:f>
        <x:v>HELD — COVERAGE</x:v>
      </x:c>
      <x:c r="AC647" s="13" t="str">
        <x:f>IF(L647="UNRESOLVED","COVERAGE FIRST",IF(OR(L647="EXCLUDED",L647="OUT OF SCOPE"),"CLOSED BY COVERAGE",IF(AND(L647="COVERED",T647&lt;&gt;"UNRESOLVED"),"PARTIALLY ADOPTED","DECISIONS REMAIN")))</x:f>
        <x:v>COVERAGE FIRST</x:v>
      </x:c>
    </x:row>
    <x:row r="648">
      <x:c r="A648" s="13" t="str">
        <x:v>NAAFTC-HS6-120910</x:v>
      </x:c>
      <x:c r="B648" s="13" t="str">
        <x:v>120910</x:v>
      </x:c>
      <x:c r="C648" s="13" t="str">
        <x:v>12</x:v>
      </x:c>
      <x:c r="D648" s="13" t="str">
        <x:v>TRILATERAL_1_TO_1_TO_1</x:v>
      </x:c>
      <x:c r="E648" s="13" t="str">
        <x:v>Pending</x:v>
      </x:c>
      <x:c r="F648" s="13" t="n">
        <x:v>1</x:v>
      </x:c>
      <x:c r="G648" s="13" t="n">
        <x:v>1</x:v>
      </x:c>
      <x:c r="H648" s="13" t="n">
        <x:v>1</x:v>
      </x:c>
      <x:c r="I648" s="13" t="str">
        <x:v>1209100000</x:v>
      </x:c>
      <x:c r="J648" s="13" t="str">
        <x:v>1209100100</x:v>
      </x:c>
      <x:c r="K648" s="13" t="str">
        <x:v>1209100000</x:v>
      </x:c>
      <x:c r="L648" s="13" t="str">
        <x:v>UNRESOLVED</x:v>
      </x:c>
      <x:c r="M648" s="13" t="str"/>
      <x:c r="N648" s="13" t="str">
        <x:v>NO / DEFAULT</x:v>
      </x:c>
      <x:c r="O648" s="13" t="str"/>
      <x:c r="P648" s="13" t="str">
        <x:v>NO / DEFAULT</x:v>
      </x:c>
      <x:c r="Q648" s="13" t="str"/>
      <x:c r="R648" s="13" t="str">
        <x:v>INDEPENDENT / DEFAULT</x:v>
      </x:c>
      <x:c r="S648" s="13" t="str"/>
      <x:c r="T648" s="13" t="str">
        <x:v>UNRESOLVED</x:v>
      </x:c>
      <x:c r="U648" s="13" t="str"/>
      <x:c r="V648" s="13" t="str"/>
      <x:c r="W648" s="13" t="str"/>
      <x:c r="X648" s="13" t="str">
        <x:f>IF(L648&lt;&gt;"COVERED","HELD — COVERAGE",IF(N648="YES — SENSITIVE","C ACTIONABLE","CHAPTER 5 DEFAULT"))</x:f>
        <x:v>HELD — COVERAGE</x:v>
      </x:c>
      <x:c r="Y648" s="13" t="str">
        <x:f>IF(L648&lt;&gt;"COVERED","HELD — COVERAGE",IF(P648="YES — MANAGED ACCESS","D ACTIONABLE","NO D FIELD"))</x:f>
        <x:v>HELD — COVERAGE</x:v>
      </x:c>
      <x:c r="Z648" s="13" t="str">
        <x:f>IF(L648&lt;&gt;"COVERED","HELD — COVERAGE",IF(OR(R648="PAIRED SYNCHRONIZED",R648="TRILATERAL SYNCHRONIZED"),"E ACTIONABLE","INDEPENDENT"))</x:f>
        <x:v>HELD — COVERAGE</x:v>
      </x:c>
      <x:c r="AA648" s="13" t="str">
        <x:f>IF(L648&lt;&gt;"COVERED","HELD — COVERAGE","WAIT FOR UPSTREAM COMPLETION")</x:f>
        <x:v>HELD — COVERAGE</x:v>
      </x:c>
      <x:c r="AB648" s="13" t="str">
        <x:f>IF(L648&lt;&gt;"COVERED","HELD — COVERAGE",IF(T648="UNRESOLVED","G DECISION REQUIRED",IF(T648="NOT APPLICABLE","G N/A","G ACTIONABLE")))</x:f>
        <x:v>HELD — COVERAGE</x:v>
      </x:c>
      <x:c r="AC648" s="13" t="str">
        <x:f>IF(L648="UNRESOLVED","COVERAGE FIRST",IF(OR(L648="EXCLUDED",L648="OUT OF SCOPE"),"CLOSED BY COVERAGE",IF(AND(L648="COVERED",T648&lt;&gt;"UNRESOLVED"),"PARTIALLY ADOPTED","DECISIONS REMAIN")))</x:f>
        <x:v>COVERAGE FIRST</x:v>
      </x:c>
    </x:row>
    <x:row r="649">
      <x:c r="A649" s="13" t="str">
        <x:v>NAAFTC-HS6-120921</x:v>
      </x:c>
      <x:c r="B649" s="13" t="str">
        <x:v>120921</x:v>
      </x:c>
      <x:c r="C649" s="13" t="str">
        <x:v>12</x:v>
      </x:c>
      <x:c r="D649" s="13" t="str">
        <x:v>TRILATERAL_SPLIT_MERGE</x:v>
      </x:c>
      <x:c r="E649" s="13" t="str">
        <x:v>Pending</x:v>
      </x:c>
      <x:c r="F649" s="13" t="n">
        <x:v>2</x:v>
      </x:c>
      <x:c r="G649" s="13" t="n">
        <x:v>1</x:v>
      </x:c>
      <x:c r="H649" s="13" t="n">
        <x:v>1</x:v>
      </x:c>
      <x:c r="I649" s="13" t="str">
        <x:v>1209210020; 1209210040</x:v>
      </x:c>
      <x:c r="J649" s="13" t="str">
        <x:v>1209210100</x:v>
      </x:c>
      <x:c r="K649" s="13" t="str">
        <x:v>1209210000</x:v>
      </x:c>
      <x:c r="L649" s="13" t="str">
        <x:v>UNRESOLVED</x:v>
      </x:c>
      <x:c r="M649" s="13" t="str"/>
      <x:c r="N649" s="13" t="str">
        <x:v>NO / DEFAULT</x:v>
      </x:c>
      <x:c r="O649" s="13" t="str"/>
      <x:c r="P649" s="13" t="str">
        <x:v>NO / DEFAULT</x:v>
      </x:c>
      <x:c r="Q649" s="13" t="str"/>
      <x:c r="R649" s="13" t="str">
        <x:v>INDEPENDENT / DEFAULT</x:v>
      </x:c>
      <x:c r="S649" s="13" t="str"/>
      <x:c r="T649" s="13" t="str">
        <x:v>UNRESOLVED</x:v>
      </x:c>
      <x:c r="U649" s="13" t="str"/>
      <x:c r="V649" s="13" t="str"/>
      <x:c r="W649" s="13" t="str"/>
      <x:c r="X649" s="13" t="str">
        <x:f>IF(L649&lt;&gt;"COVERED","HELD — COVERAGE",IF(N649="YES — SENSITIVE","C ACTIONABLE","CHAPTER 5 DEFAULT"))</x:f>
        <x:v>HELD — COVERAGE</x:v>
      </x:c>
      <x:c r="Y649" s="13" t="str">
        <x:f>IF(L649&lt;&gt;"COVERED","HELD — COVERAGE",IF(P649="YES — MANAGED ACCESS","D ACTIONABLE","NO D FIELD"))</x:f>
        <x:v>HELD — COVERAGE</x:v>
      </x:c>
      <x:c r="Z649" s="13" t="str">
        <x:f>IF(L649&lt;&gt;"COVERED","HELD — COVERAGE",IF(OR(R649="PAIRED SYNCHRONIZED",R649="TRILATERAL SYNCHRONIZED"),"E ACTIONABLE","INDEPENDENT"))</x:f>
        <x:v>HELD — COVERAGE</x:v>
      </x:c>
      <x:c r="AA649" s="13" t="str">
        <x:f>IF(L649&lt;&gt;"COVERED","HELD — COVERAGE","WAIT FOR UPSTREAM COMPLETION")</x:f>
        <x:v>HELD — COVERAGE</x:v>
      </x:c>
      <x:c r="AB649" s="13" t="str">
        <x:f>IF(L649&lt;&gt;"COVERED","HELD — COVERAGE",IF(T649="UNRESOLVED","G DECISION REQUIRED",IF(T649="NOT APPLICABLE","G N/A","G ACTIONABLE")))</x:f>
        <x:v>HELD — COVERAGE</x:v>
      </x:c>
      <x:c r="AC649" s="13" t="str">
        <x:f>IF(L649="UNRESOLVED","COVERAGE FIRST",IF(OR(L649="EXCLUDED",L649="OUT OF SCOPE"),"CLOSED BY COVERAGE",IF(AND(L649="COVERED",T649&lt;&gt;"UNRESOLVED"),"PARTIALLY ADOPTED","DECISIONS REMAIN")))</x:f>
        <x:v>COVERAGE FIRST</x:v>
      </x:c>
    </x:row>
    <x:row r="650">
      <x:c r="A650" s="13" t="str">
        <x:v>NAAFTC-HS6-120922</x:v>
      </x:c>
      <x:c r="B650" s="13" t="str">
        <x:v>120922</x:v>
      </x:c>
      <x:c r="C650" s="13" t="str">
        <x:v>12</x:v>
      </x:c>
      <x:c r="D650" s="13" t="str">
        <x:v>TRILATERAL_SPLIT_MERGE</x:v>
      </x:c>
      <x:c r="E650" s="13" t="str">
        <x:v>Pending</x:v>
      </x:c>
      <x:c r="F650" s="13" t="n">
        <x:v>7</x:v>
      </x:c>
      <x:c r="G650" s="13" t="n">
        <x:v>1</x:v>
      </x:c>
      <x:c r="H650" s="13" t="n">
        <x:v>1</x:v>
      </x:c>
      <x:c r="I650" s="13" t="str">
        <x:v>1209222000; 1209224020; 1209224030; 1209224041; 1209224049; 1209224060; +1 more</x:v>
      </x:c>
      <x:c r="J650" s="13" t="str">
        <x:v>1209220100</x:v>
      </x:c>
      <x:c r="K650" s="13" t="str">
        <x:v>12092200</x:v>
      </x:c>
      <x:c r="L650" s="13" t="str">
        <x:v>UNRESOLVED</x:v>
      </x:c>
      <x:c r="M650" s="13" t="str"/>
      <x:c r="N650" s="13" t="str">
        <x:v>NO / DEFAULT</x:v>
      </x:c>
      <x:c r="O650" s="13" t="str"/>
      <x:c r="P650" s="13" t="str">
        <x:v>NO / DEFAULT</x:v>
      </x:c>
      <x:c r="Q650" s="13" t="str"/>
      <x:c r="R650" s="13" t="str">
        <x:v>INDEPENDENT / DEFAULT</x:v>
      </x:c>
      <x:c r="S650" s="13" t="str"/>
      <x:c r="T650" s="13" t="str">
        <x:v>UNRESOLVED</x:v>
      </x:c>
      <x:c r="U650" s="13" t="str"/>
      <x:c r="V650" s="13" t="str"/>
      <x:c r="W650" s="13" t="str"/>
      <x:c r="X650" s="13" t="str">
        <x:f>IF(L650&lt;&gt;"COVERED","HELD — COVERAGE",IF(N650="YES — SENSITIVE","C ACTIONABLE","CHAPTER 5 DEFAULT"))</x:f>
        <x:v>HELD — COVERAGE</x:v>
      </x:c>
      <x:c r="Y650" s="13" t="str">
        <x:f>IF(L650&lt;&gt;"COVERED","HELD — COVERAGE",IF(P650="YES — MANAGED ACCESS","D ACTIONABLE","NO D FIELD"))</x:f>
        <x:v>HELD — COVERAGE</x:v>
      </x:c>
      <x:c r="Z650" s="13" t="str">
        <x:f>IF(L650&lt;&gt;"COVERED","HELD — COVERAGE",IF(OR(R650="PAIRED SYNCHRONIZED",R650="TRILATERAL SYNCHRONIZED"),"E ACTIONABLE","INDEPENDENT"))</x:f>
        <x:v>HELD — COVERAGE</x:v>
      </x:c>
      <x:c r="AA650" s="13" t="str">
        <x:f>IF(L650&lt;&gt;"COVERED","HELD — COVERAGE","WAIT FOR UPSTREAM COMPLETION")</x:f>
        <x:v>HELD — COVERAGE</x:v>
      </x:c>
      <x:c r="AB650" s="13" t="str">
        <x:f>IF(L650&lt;&gt;"COVERED","HELD — COVERAGE",IF(T650="UNRESOLVED","G DECISION REQUIRED",IF(T650="NOT APPLICABLE","G N/A","G ACTIONABLE")))</x:f>
        <x:v>HELD — COVERAGE</x:v>
      </x:c>
      <x:c r="AC650" s="13" t="str">
        <x:f>IF(L650="UNRESOLVED","COVERAGE FIRST",IF(OR(L650="EXCLUDED",L650="OUT OF SCOPE"),"CLOSED BY COVERAGE",IF(AND(L650="COVERED",T650&lt;&gt;"UNRESOLVED"),"PARTIALLY ADOPTED","DECISIONS REMAIN")))</x:f>
        <x:v>COVERAGE FIRST</x:v>
      </x:c>
    </x:row>
    <x:row r="651">
      <x:c r="A651" s="13" t="str">
        <x:v>NAAFTC-HS6-120923</x:v>
      </x:c>
      <x:c r="B651" s="13" t="str">
        <x:v>120923</x:v>
      </x:c>
      <x:c r="C651" s="13" t="str">
        <x:v>12</x:v>
      </x:c>
      <x:c r="D651" s="13" t="str">
        <x:v>TRILATERAL_SPLIT_MERGE</x:v>
      </x:c>
      <x:c r="E651" s="13" t="str">
        <x:v>Pending</x:v>
      </x:c>
      <x:c r="F651" s="13" t="n">
        <x:v>5</x:v>
      </x:c>
      <x:c r="G651" s="13" t="n">
        <x:v>1</x:v>
      </x:c>
      <x:c r="H651" s="13" t="n">
        <x:v>1</x:v>
      </x:c>
      <x:c r="I651" s="13" t="str">
        <x:v>1209230020; 1209230031; 1209230039; 1209230060; 1209230090</x:v>
      </x:c>
      <x:c r="J651" s="13" t="str">
        <x:v>1209230100</x:v>
      </x:c>
      <x:c r="K651" s="13" t="str">
        <x:v>12092300</x:v>
      </x:c>
      <x:c r="L651" s="13" t="str">
        <x:v>UNRESOLVED</x:v>
      </x:c>
      <x:c r="M651" s="13" t="str"/>
      <x:c r="N651" s="13" t="str">
        <x:v>NO / DEFAULT</x:v>
      </x:c>
      <x:c r="O651" s="13" t="str"/>
      <x:c r="P651" s="13" t="str">
        <x:v>NO / DEFAULT</x:v>
      </x:c>
      <x:c r="Q651" s="13" t="str"/>
      <x:c r="R651" s="13" t="str">
        <x:v>INDEPENDENT / DEFAULT</x:v>
      </x:c>
      <x:c r="S651" s="13" t="str"/>
      <x:c r="T651" s="13" t="str">
        <x:v>UNRESOLVED</x:v>
      </x:c>
      <x:c r="U651" s="13" t="str"/>
      <x:c r="V651" s="13" t="str"/>
      <x:c r="W651" s="13" t="str"/>
      <x:c r="X651" s="13" t="str">
        <x:f>IF(L651&lt;&gt;"COVERED","HELD — COVERAGE",IF(N651="YES — SENSITIVE","C ACTIONABLE","CHAPTER 5 DEFAULT"))</x:f>
        <x:v>HELD — COVERAGE</x:v>
      </x:c>
      <x:c r="Y651" s="13" t="str">
        <x:f>IF(L651&lt;&gt;"COVERED","HELD — COVERAGE",IF(P651="YES — MANAGED ACCESS","D ACTIONABLE","NO D FIELD"))</x:f>
        <x:v>HELD — COVERAGE</x:v>
      </x:c>
      <x:c r="Z651" s="13" t="str">
        <x:f>IF(L651&lt;&gt;"COVERED","HELD — COVERAGE",IF(OR(R651="PAIRED SYNCHRONIZED",R651="TRILATERAL SYNCHRONIZED"),"E ACTIONABLE","INDEPENDENT"))</x:f>
        <x:v>HELD — COVERAGE</x:v>
      </x:c>
      <x:c r="AA651" s="13" t="str">
        <x:f>IF(L651&lt;&gt;"COVERED","HELD — COVERAGE","WAIT FOR UPSTREAM COMPLETION")</x:f>
        <x:v>HELD — COVERAGE</x:v>
      </x:c>
      <x:c r="AB651" s="13" t="str">
        <x:f>IF(L651&lt;&gt;"COVERED","HELD — COVERAGE",IF(T651="UNRESOLVED","G DECISION REQUIRED",IF(T651="NOT APPLICABLE","G N/A","G ACTIONABLE")))</x:f>
        <x:v>HELD — COVERAGE</x:v>
      </x:c>
      <x:c r="AC651" s="13" t="str">
        <x:f>IF(L651="UNRESOLVED","COVERAGE FIRST",IF(OR(L651="EXCLUDED",L651="OUT OF SCOPE"),"CLOSED BY COVERAGE",IF(AND(L651="COVERED",T651&lt;&gt;"UNRESOLVED"),"PARTIALLY ADOPTED","DECISIONS REMAIN")))</x:f>
        <x:v>COVERAGE FIRST</x:v>
      </x:c>
    </x:row>
    <x:row r="652">
      <x:c r="A652" s="13" t="str">
        <x:v>NAAFTC-HS6-120924</x:v>
      </x:c>
      <x:c r="B652" s="13" t="str">
        <x:v>120924</x:v>
      </x:c>
      <x:c r="C652" s="13" t="str">
        <x:v>12</x:v>
      </x:c>
      <x:c r="D652" s="13" t="str">
        <x:v>TRILATERAL_1_TO_1_TO_1</x:v>
      </x:c>
      <x:c r="E652" s="13" t="str">
        <x:v>Pending</x:v>
      </x:c>
      <x:c r="F652" s="13" t="n">
        <x:v>1</x:v>
      </x:c>
      <x:c r="G652" s="13" t="n">
        <x:v>1</x:v>
      </x:c>
      <x:c r="H652" s="13" t="n">
        <x:v>1</x:v>
      </x:c>
      <x:c r="I652" s="13" t="str">
        <x:v>1209240000</x:v>
      </x:c>
      <x:c r="J652" s="13" t="str">
        <x:v>1209240100</x:v>
      </x:c>
      <x:c r="K652" s="13" t="str">
        <x:v>12092400</x:v>
      </x:c>
      <x:c r="L652" s="13" t="str">
        <x:v>UNRESOLVED</x:v>
      </x:c>
      <x:c r="M652" s="13" t="str"/>
      <x:c r="N652" s="13" t="str">
        <x:v>NO / DEFAULT</x:v>
      </x:c>
      <x:c r="O652" s="13" t="str"/>
      <x:c r="P652" s="13" t="str">
        <x:v>NO / DEFAULT</x:v>
      </x:c>
      <x:c r="Q652" s="13" t="str"/>
      <x:c r="R652" s="13" t="str">
        <x:v>INDEPENDENT / DEFAULT</x:v>
      </x:c>
      <x:c r="S652" s="13" t="str"/>
      <x:c r="T652" s="13" t="str">
        <x:v>UNRESOLVED</x:v>
      </x:c>
      <x:c r="U652" s="13" t="str"/>
      <x:c r="V652" s="13" t="str"/>
      <x:c r="W652" s="13" t="str"/>
      <x:c r="X652" s="13" t="str">
        <x:f>IF(L652&lt;&gt;"COVERED","HELD — COVERAGE",IF(N652="YES — SENSITIVE","C ACTIONABLE","CHAPTER 5 DEFAULT"))</x:f>
        <x:v>HELD — COVERAGE</x:v>
      </x:c>
      <x:c r="Y652" s="13" t="str">
        <x:f>IF(L652&lt;&gt;"COVERED","HELD — COVERAGE",IF(P652="YES — MANAGED ACCESS","D ACTIONABLE","NO D FIELD"))</x:f>
        <x:v>HELD — COVERAGE</x:v>
      </x:c>
      <x:c r="Z652" s="13" t="str">
        <x:f>IF(L652&lt;&gt;"COVERED","HELD — COVERAGE",IF(OR(R652="PAIRED SYNCHRONIZED",R652="TRILATERAL SYNCHRONIZED"),"E ACTIONABLE","INDEPENDENT"))</x:f>
        <x:v>HELD — COVERAGE</x:v>
      </x:c>
      <x:c r="AA652" s="13" t="str">
        <x:f>IF(L652&lt;&gt;"COVERED","HELD — COVERAGE","WAIT FOR UPSTREAM COMPLETION")</x:f>
        <x:v>HELD — COVERAGE</x:v>
      </x:c>
      <x:c r="AB652" s="13" t="str">
        <x:f>IF(L652&lt;&gt;"COVERED","HELD — COVERAGE",IF(T652="UNRESOLVED","G DECISION REQUIRED",IF(T652="NOT APPLICABLE","G N/A","G ACTIONABLE")))</x:f>
        <x:v>HELD — COVERAGE</x:v>
      </x:c>
      <x:c r="AC652" s="13" t="str">
        <x:f>IF(L652="UNRESOLVED","COVERAGE FIRST",IF(OR(L652="EXCLUDED",L652="OUT OF SCOPE"),"CLOSED BY COVERAGE",IF(AND(L652="COVERED",T652&lt;&gt;"UNRESOLVED"),"PARTIALLY ADOPTED","DECISIONS REMAIN")))</x:f>
        <x:v>COVERAGE FIRST</x:v>
      </x:c>
    </x:row>
    <x:row r="653">
      <x:c r="A653" s="13" t="str">
        <x:v>NAAFTC-HS6-120925</x:v>
      </x:c>
      <x:c r="B653" s="13" t="str">
        <x:v>120925</x:v>
      </x:c>
      <x:c r="C653" s="13" t="str">
        <x:v>12</x:v>
      </x:c>
      <x:c r="D653" s="13" t="str">
        <x:v>TRILATERAL_SPLIT_MERGE</x:v>
      </x:c>
      <x:c r="E653" s="13" t="str">
        <x:v>Pending</x:v>
      </x:c>
      <x:c r="F653" s="13" t="n">
        <x:v>2</x:v>
      </x:c>
      <x:c r="G653" s="13" t="n">
        <x:v>1</x:v>
      </x:c>
      <x:c r="H653" s="13" t="n">
        <x:v>1</x:v>
      </x:c>
      <x:c r="I653" s="13" t="str">
        <x:v>1209250020; 1209250040</x:v>
      </x:c>
      <x:c r="J653" s="13" t="str">
        <x:v>1209250100</x:v>
      </x:c>
      <x:c r="K653" s="13" t="str">
        <x:v>12092500</x:v>
      </x:c>
      <x:c r="L653" s="13" t="str">
        <x:v>UNRESOLVED</x:v>
      </x:c>
      <x:c r="M653" s="13" t="str"/>
      <x:c r="N653" s="13" t="str">
        <x:v>NO / DEFAULT</x:v>
      </x:c>
      <x:c r="O653" s="13" t="str"/>
      <x:c r="P653" s="13" t="str">
        <x:v>NO / DEFAULT</x:v>
      </x:c>
      <x:c r="Q653" s="13" t="str"/>
      <x:c r="R653" s="13" t="str">
        <x:v>INDEPENDENT / DEFAULT</x:v>
      </x:c>
      <x:c r="S653" s="13" t="str"/>
      <x:c r="T653" s="13" t="str">
        <x:v>UNRESOLVED</x:v>
      </x:c>
      <x:c r="U653" s="13" t="str"/>
      <x:c r="V653" s="13" t="str"/>
      <x:c r="W653" s="13" t="str"/>
      <x:c r="X653" s="13" t="str">
        <x:f>IF(L653&lt;&gt;"COVERED","HELD — COVERAGE",IF(N653="YES — SENSITIVE","C ACTIONABLE","CHAPTER 5 DEFAULT"))</x:f>
        <x:v>HELD — COVERAGE</x:v>
      </x:c>
      <x:c r="Y653" s="13" t="str">
        <x:f>IF(L653&lt;&gt;"COVERED","HELD — COVERAGE",IF(P653="YES — MANAGED ACCESS","D ACTIONABLE","NO D FIELD"))</x:f>
        <x:v>HELD — COVERAGE</x:v>
      </x:c>
      <x:c r="Z653" s="13" t="str">
        <x:f>IF(L653&lt;&gt;"COVERED","HELD — COVERAGE",IF(OR(R653="PAIRED SYNCHRONIZED",R653="TRILATERAL SYNCHRONIZED"),"E ACTIONABLE","INDEPENDENT"))</x:f>
        <x:v>HELD — COVERAGE</x:v>
      </x:c>
      <x:c r="AA653" s="13" t="str">
        <x:f>IF(L653&lt;&gt;"COVERED","HELD — COVERAGE","WAIT FOR UPSTREAM COMPLETION")</x:f>
        <x:v>HELD — COVERAGE</x:v>
      </x:c>
      <x:c r="AB653" s="13" t="str">
        <x:f>IF(L653&lt;&gt;"COVERED","HELD — COVERAGE",IF(T653="UNRESOLVED","G DECISION REQUIRED",IF(T653="NOT APPLICABLE","G N/A","G ACTIONABLE")))</x:f>
        <x:v>HELD — COVERAGE</x:v>
      </x:c>
      <x:c r="AC653" s="13" t="str">
        <x:f>IF(L653="UNRESOLVED","COVERAGE FIRST",IF(OR(L653="EXCLUDED",L653="OUT OF SCOPE"),"CLOSED BY COVERAGE",IF(AND(L653="COVERED",T653&lt;&gt;"UNRESOLVED"),"PARTIALLY ADOPTED","DECISIONS REMAIN")))</x:f>
        <x:v>COVERAGE FIRST</x:v>
      </x:c>
    </x:row>
    <x:row r="654">
      <x:c r="A654" s="13" t="str">
        <x:v>NAAFTC-HS6-120929</x:v>
      </x:c>
      <x:c r="B654" s="13" t="str">
        <x:v>120929</x:v>
      </x:c>
      <x:c r="C654" s="13" t="str">
        <x:v>12</x:v>
      </x:c>
      <x:c r="D654" s="13" t="str">
        <x:v>TRILATERAL_SPLIT_MERGE</x:v>
      </x:c>
      <x:c r="E654" s="13" t="str">
        <x:v>Pending</x:v>
      </x:c>
      <x:c r="F654" s="13" t="n">
        <x:v>15</x:v>
      </x:c>
      <x:c r="G654" s="13" t="n">
        <x:v>4</x:v>
      </x:c>
      <x:c r="H654" s="13" t="n">
        <x:v>1</x:v>
      </x:c>
      <x:c r="I654" s="13" t="str">
        <x:v>1209291000; 1209299120; 1209299125; 1209299126; 1209299130; 1209299136; +9 more</x:v>
      </x:c>
      <x:c r="J654" s="13" t="str">
        <x:v>1209290400; 1209299901; 1209299902; 1209299999</x:v>
      </x:c>
      <x:c r="K654" s="13" t="str">
        <x:v>1209290000</x:v>
      </x:c>
      <x:c r="L654" s="13" t="str">
        <x:v>UNRESOLVED</x:v>
      </x:c>
      <x:c r="M654" s="13" t="str"/>
      <x:c r="N654" s="13" t="str">
        <x:v>NO / DEFAULT</x:v>
      </x:c>
      <x:c r="O654" s="13" t="str"/>
      <x:c r="P654" s="13" t="str">
        <x:v>NO / DEFAULT</x:v>
      </x:c>
      <x:c r="Q654" s="13" t="str"/>
      <x:c r="R654" s="13" t="str">
        <x:v>INDEPENDENT / DEFAULT</x:v>
      </x:c>
      <x:c r="S654" s="13" t="str"/>
      <x:c r="T654" s="13" t="str">
        <x:v>UNRESOLVED</x:v>
      </x:c>
      <x:c r="U654" s="13" t="str"/>
      <x:c r="V654" s="13" t="str"/>
      <x:c r="W654" s="13" t="str"/>
      <x:c r="X654" s="13" t="str">
        <x:f>IF(L654&lt;&gt;"COVERED","HELD — COVERAGE",IF(N654="YES — SENSITIVE","C ACTIONABLE","CHAPTER 5 DEFAULT"))</x:f>
        <x:v>HELD — COVERAGE</x:v>
      </x:c>
      <x:c r="Y654" s="13" t="str">
        <x:f>IF(L654&lt;&gt;"COVERED","HELD — COVERAGE",IF(P654="YES — MANAGED ACCESS","D ACTIONABLE","NO D FIELD"))</x:f>
        <x:v>HELD — COVERAGE</x:v>
      </x:c>
      <x:c r="Z654" s="13" t="str">
        <x:f>IF(L654&lt;&gt;"COVERED","HELD — COVERAGE",IF(OR(R654="PAIRED SYNCHRONIZED",R654="TRILATERAL SYNCHRONIZED"),"E ACTIONABLE","INDEPENDENT"))</x:f>
        <x:v>HELD — COVERAGE</x:v>
      </x:c>
      <x:c r="AA654" s="13" t="str">
        <x:f>IF(L654&lt;&gt;"COVERED","HELD — COVERAGE","WAIT FOR UPSTREAM COMPLETION")</x:f>
        <x:v>HELD — COVERAGE</x:v>
      </x:c>
      <x:c r="AB654" s="13" t="str">
        <x:f>IF(L654&lt;&gt;"COVERED","HELD — COVERAGE",IF(T654="UNRESOLVED","G DECISION REQUIRED",IF(T654="NOT APPLICABLE","G N/A","G ACTIONABLE")))</x:f>
        <x:v>HELD — COVERAGE</x:v>
      </x:c>
      <x:c r="AC654" s="13" t="str">
        <x:f>IF(L654="UNRESOLVED","COVERAGE FIRST",IF(OR(L654="EXCLUDED",L654="OUT OF SCOPE"),"CLOSED BY COVERAGE",IF(AND(L654="COVERED",T654&lt;&gt;"UNRESOLVED"),"PARTIALLY ADOPTED","DECISIONS REMAIN")))</x:f>
        <x:v>COVERAGE FIRST</x:v>
      </x:c>
    </x:row>
    <x:row r="655">
      <x:c r="A655" s="13" t="str">
        <x:v>NAAFTC-HS6-120930</x:v>
      </x:c>
      <x:c r="B655" s="13" t="str">
        <x:v>120930</x:v>
      </x:c>
      <x:c r="C655" s="13" t="str">
        <x:v>12</x:v>
      </x:c>
      <x:c r="D655" s="13" t="str">
        <x:v>TRILATERAL_SPLIT_MERGE</x:v>
      </x:c>
      <x:c r="E655" s="13" t="str">
        <x:v>Pending</x:v>
      </x:c>
      <x:c r="F655" s="13" t="n">
        <x:v>2</x:v>
      </x:c>
      <x:c r="G655" s="13" t="n">
        <x:v>1</x:v>
      </x:c>
      <x:c r="H655" s="13" t="n">
        <x:v>1</x:v>
      </x:c>
      <x:c r="I655" s="13" t="str">
        <x:v>1209300010; 1209300090</x:v>
      </x:c>
      <x:c r="J655" s="13" t="str">
        <x:v>1209300100</x:v>
      </x:c>
      <x:c r="K655" s="13" t="str">
        <x:v>1209302000</x:v>
      </x:c>
      <x:c r="L655" s="13" t="str">
        <x:v>UNRESOLVED</x:v>
      </x:c>
      <x:c r="M655" s="13" t="str"/>
      <x:c r="N655" s="13" t="str">
        <x:v>NO / DEFAULT</x:v>
      </x:c>
      <x:c r="O655" s="13" t="str"/>
      <x:c r="P655" s="13" t="str">
        <x:v>NO / DEFAULT</x:v>
      </x:c>
      <x:c r="Q655" s="13" t="str"/>
      <x:c r="R655" s="13" t="str">
        <x:v>INDEPENDENT / DEFAULT</x:v>
      </x:c>
      <x:c r="S655" s="13" t="str"/>
      <x:c r="T655" s="13" t="str">
        <x:v>UNRESOLVED</x:v>
      </x:c>
      <x:c r="U655" s="13" t="str"/>
      <x:c r="V655" s="13" t="str"/>
      <x:c r="W655" s="13" t="str"/>
      <x:c r="X655" s="13" t="str">
        <x:f>IF(L655&lt;&gt;"COVERED","HELD — COVERAGE",IF(N655="YES — SENSITIVE","C ACTIONABLE","CHAPTER 5 DEFAULT"))</x:f>
        <x:v>HELD — COVERAGE</x:v>
      </x:c>
      <x:c r="Y655" s="13" t="str">
        <x:f>IF(L655&lt;&gt;"COVERED","HELD — COVERAGE",IF(P655="YES — MANAGED ACCESS","D ACTIONABLE","NO D FIELD"))</x:f>
        <x:v>HELD — COVERAGE</x:v>
      </x:c>
      <x:c r="Z655" s="13" t="str">
        <x:f>IF(L655&lt;&gt;"COVERED","HELD — COVERAGE",IF(OR(R655="PAIRED SYNCHRONIZED",R655="TRILATERAL SYNCHRONIZED"),"E ACTIONABLE","INDEPENDENT"))</x:f>
        <x:v>HELD — COVERAGE</x:v>
      </x:c>
      <x:c r="AA655" s="13" t="str">
        <x:f>IF(L655&lt;&gt;"COVERED","HELD — COVERAGE","WAIT FOR UPSTREAM COMPLETION")</x:f>
        <x:v>HELD — COVERAGE</x:v>
      </x:c>
      <x:c r="AB655" s="13" t="str">
        <x:f>IF(L655&lt;&gt;"COVERED","HELD — COVERAGE",IF(T655="UNRESOLVED","G DECISION REQUIRED",IF(T655="NOT APPLICABLE","G N/A","G ACTIONABLE")))</x:f>
        <x:v>HELD — COVERAGE</x:v>
      </x:c>
      <x:c r="AC655" s="13" t="str">
        <x:f>IF(L655="UNRESOLVED","COVERAGE FIRST",IF(OR(L655="EXCLUDED",L655="OUT OF SCOPE"),"CLOSED BY COVERAGE",IF(AND(L655="COVERED",T655&lt;&gt;"UNRESOLVED"),"PARTIALLY ADOPTED","DECISIONS REMAIN")))</x:f>
        <x:v>COVERAGE FIRST</x:v>
      </x:c>
    </x:row>
    <x:row r="656">
      <x:c r="A656" s="13" t="str">
        <x:v>NAAFTC-HS6-120991</x:v>
      </x:c>
      <x:c r="B656" s="13" t="str">
        <x:v>120991</x:v>
      </x:c>
      <x:c r="C656" s="13" t="str">
        <x:v>12</x:v>
      </x:c>
      <x:c r="D656" s="13" t="str">
        <x:v>TRILATERAL_SPLIT_MERGE</x:v>
      </x:c>
      <x:c r="E656" s="13" t="str">
        <x:v>Pending</x:v>
      </x:c>
      <x:c r="F656" s="13" t="n">
        <x:v>22</x:v>
      </x:c>
      <x:c r="G656" s="13" t="n">
        <x:v>13</x:v>
      </x:c>
      <x:c r="H656" s="13" t="n">
        <x:v>2</x:v>
      </x:c>
      <x:c r="I656" s="13" t="str">
        <x:v>1209911000; 1209912000; 1209914000; 1209915000; 1209916010; 1209916090; +16 more</x:v>
      </x:c>
      <x:c r="J656" s="13" t="str">
        <x:v>1209911501; 1209911502; 1209911503; 1209911504; 1209911505; 1209911506; +7 more</x:v>
      </x:c>
      <x:c r="K656" s="13" t="str">
        <x:v>12099110; 1209919000</x:v>
      </x:c>
      <x:c r="L656" s="13" t="str">
        <x:v>UNRESOLVED</x:v>
      </x:c>
      <x:c r="M656" s="13" t="str"/>
      <x:c r="N656" s="13" t="str">
        <x:v>NO / DEFAULT</x:v>
      </x:c>
      <x:c r="O656" s="13" t="str"/>
      <x:c r="P656" s="13" t="str">
        <x:v>NO / DEFAULT</x:v>
      </x:c>
      <x:c r="Q656" s="13" t="str"/>
      <x:c r="R656" s="13" t="str">
        <x:v>INDEPENDENT / DEFAULT</x:v>
      </x:c>
      <x:c r="S656" s="13" t="str"/>
      <x:c r="T656" s="13" t="str">
        <x:v>UNRESOLVED</x:v>
      </x:c>
      <x:c r="U656" s="13" t="str"/>
      <x:c r="V656" s="13" t="str"/>
      <x:c r="W656" s="13" t="str"/>
      <x:c r="X656" s="13" t="str">
        <x:f>IF(L656&lt;&gt;"COVERED","HELD — COVERAGE",IF(N656="YES — SENSITIVE","C ACTIONABLE","CHAPTER 5 DEFAULT"))</x:f>
        <x:v>HELD — COVERAGE</x:v>
      </x:c>
      <x:c r="Y656" s="13" t="str">
        <x:f>IF(L656&lt;&gt;"COVERED","HELD — COVERAGE",IF(P656="YES — MANAGED ACCESS","D ACTIONABLE","NO D FIELD"))</x:f>
        <x:v>HELD — COVERAGE</x:v>
      </x:c>
      <x:c r="Z656" s="13" t="str">
        <x:f>IF(L656&lt;&gt;"COVERED","HELD — COVERAGE",IF(OR(R656="PAIRED SYNCHRONIZED",R656="TRILATERAL SYNCHRONIZED"),"E ACTIONABLE","INDEPENDENT"))</x:f>
        <x:v>HELD — COVERAGE</x:v>
      </x:c>
      <x:c r="AA656" s="13" t="str">
        <x:f>IF(L656&lt;&gt;"COVERED","HELD — COVERAGE","WAIT FOR UPSTREAM COMPLETION")</x:f>
        <x:v>HELD — COVERAGE</x:v>
      </x:c>
      <x:c r="AB656" s="13" t="str">
        <x:f>IF(L656&lt;&gt;"COVERED","HELD — COVERAGE",IF(T656="UNRESOLVED","G DECISION REQUIRED",IF(T656="NOT APPLICABLE","G N/A","G ACTIONABLE")))</x:f>
        <x:v>HELD — COVERAGE</x:v>
      </x:c>
      <x:c r="AC656" s="13" t="str">
        <x:f>IF(L656="UNRESOLVED","COVERAGE FIRST",IF(OR(L656="EXCLUDED",L656="OUT OF SCOPE"),"CLOSED BY COVERAGE",IF(AND(L656="COVERED",T656&lt;&gt;"UNRESOLVED"),"PARTIALLY ADOPTED","DECISIONS REMAIN")))</x:f>
        <x:v>COVERAGE FIRST</x:v>
      </x:c>
    </x:row>
    <x:row r="657">
      <x:c r="A657" s="13" t="str">
        <x:v>NAAFTC-HS6-120999</x:v>
      </x:c>
      <x:c r="B657" s="13" t="str">
        <x:v>120999</x:v>
      </x:c>
      <x:c r="C657" s="13" t="str">
        <x:v>12</x:v>
      </x:c>
      <x:c r="D657" s="13" t="str">
        <x:v>TRILATERAL_SPLIT_MERGE</x:v>
      </x:c>
      <x:c r="E657" s="13" t="str">
        <x:v>Pending</x:v>
      </x:c>
      <x:c r="F657" s="13" t="n">
        <x:v>3</x:v>
      </x:c>
      <x:c r="G657" s="13" t="n">
        <x:v>3</x:v>
      </x:c>
      <x:c r="H657" s="13" t="n">
        <x:v>1</x:v>
      </x:c>
      <x:c r="I657" s="13" t="str">
        <x:v>1209992000; 1209994170; 1209994190</x:v>
      </x:c>
      <x:c r="J657" s="13" t="str">
        <x:v>1209999901; 1209999902; 1209999999</x:v>
      </x:c>
      <x:c r="K657" s="13" t="str">
        <x:v>12099910</x:v>
      </x:c>
      <x:c r="L657" s="13" t="str">
        <x:v>UNRESOLVED</x:v>
      </x:c>
      <x:c r="M657" s="13" t="str"/>
      <x:c r="N657" s="13" t="str">
        <x:v>NO / DEFAULT</x:v>
      </x:c>
      <x:c r="O657" s="13" t="str"/>
      <x:c r="P657" s="13" t="str">
        <x:v>NO / DEFAULT</x:v>
      </x:c>
      <x:c r="Q657" s="13" t="str"/>
      <x:c r="R657" s="13" t="str">
        <x:v>INDEPENDENT / DEFAULT</x:v>
      </x:c>
      <x:c r="S657" s="13" t="str"/>
      <x:c r="T657" s="13" t="str">
        <x:v>UNRESOLVED</x:v>
      </x:c>
      <x:c r="U657" s="13" t="str"/>
      <x:c r="V657" s="13" t="str"/>
      <x:c r="W657" s="13" t="str"/>
      <x:c r="X657" s="13" t="str">
        <x:f>IF(L657&lt;&gt;"COVERED","HELD — COVERAGE",IF(N657="YES — SENSITIVE","C ACTIONABLE","CHAPTER 5 DEFAULT"))</x:f>
        <x:v>HELD — COVERAGE</x:v>
      </x:c>
      <x:c r="Y657" s="13" t="str">
        <x:f>IF(L657&lt;&gt;"COVERED","HELD — COVERAGE",IF(P657="YES — MANAGED ACCESS","D ACTIONABLE","NO D FIELD"))</x:f>
        <x:v>HELD — COVERAGE</x:v>
      </x:c>
      <x:c r="Z657" s="13" t="str">
        <x:f>IF(L657&lt;&gt;"COVERED","HELD — COVERAGE",IF(OR(R657="PAIRED SYNCHRONIZED",R657="TRILATERAL SYNCHRONIZED"),"E ACTIONABLE","INDEPENDENT"))</x:f>
        <x:v>HELD — COVERAGE</x:v>
      </x:c>
      <x:c r="AA657" s="13" t="str">
        <x:f>IF(L657&lt;&gt;"COVERED","HELD — COVERAGE","WAIT FOR UPSTREAM COMPLETION")</x:f>
        <x:v>HELD — COVERAGE</x:v>
      </x:c>
      <x:c r="AB657" s="13" t="str">
        <x:f>IF(L657&lt;&gt;"COVERED","HELD — COVERAGE",IF(T657="UNRESOLVED","G DECISION REQUIRED",IF(T657="NOT APPLICABLE","G N/A","G ACTIONABLE")))</x:f>
        <x:v>HELD — COVERAGE</x:v>
      </x:c>
      <x:c r="AC657" s="13" t="str">
        <x:f>IF(L657="UNRESOLVED","COVERAGE FIRST",IF(OR(L657="EXCLUDED",L657="OUT OF SCOPE"),"CLOSED BY COVERAGE",IF(AND(L657="COVERED",T657&lt;&gt;"UNRESOLVED"),"PARTIALLY ADOPTED","DECISIONS REMAIN")))</x:f>
        <x:v>COVERAGE FIRST</x:v>
      </x:c>
    </x:row>
    <x:row r="658">
      <x:c r="A658" s="13" t="str">
        <x:v>NAAFTC-HS6-121010</x:v>
      </x:c>
      <x:c r="B658" s="13" t="str">
        <x:v>121010</x:v>
      </x:c>
      <x:c r="C658" s="13" t="str">
        <x:v>12</x:v>
      </x:c>
      <x:c r="D658" s="13" t="str">
        <x:v>TRILATERAL_1_TO_1_TO_1</x:v>
      </x:c>
      <x:c r="E658" s="13" t="str">
        <x:v>Pending</x:v>
      </x:c>
      <x:c r="F658" s="13" t="n">
        <x:v>1</x:v>
      </x:c>
      <x:c r="G658" s="13" t="n">
        <x:v>1</x:v>
      </x:c>
      <x:c r="H658" s="13" t="n">
        <x:v>1</x:v>
      </x:c>
      <x:c r="I658" s="13" t="str">
        <x:v>1210100000</x:v>
      </x:c>
      <x:c r="J658" s="13" t="str">
        <x:v>1210100100</x:v>
      </x:c>
      <x:c r="K658" s="13" t="str">
        <x:v>1210100000</x:v>
      </x:c>
      <x:c r="L658" s="13" t="str">
        <x:v>UNRESOLVED</x:v>
      </x:c>
      <x:c r="M658" s="13" t="str"/>
      <x:c r="N658" s="13" t="str">
        <x:v>NO / DEFAULT</x:v>
      </x:c>
      <x:c r="O658" s="13" t="str"/>
      <x:c r="P658" s="13" t="str">
        <x:v>NO / DEFAULT</x:v>
      </x:c>
      <x:c r="Q658" s="13" t="str"/>
      <x:c r="R658" s="13" t="str">
        <x:v>INDEPENDENT / DEFAULT</x:v>
      </x:c>
      <x:c r="S658" s="13" t="str"/>
      <x:c r="T658" s="13" t="str">
        <x:v>UNRESOLVED</x:v>
      </x:c>
      <x:c r="U658" s="13" t="str"/>
      <x:c r="V658" s="13" t="str"/>
      <x:c r="W658" s="13" t="str"/>
      <x:c r="X658" s="13" t="str">
        <x:f>IF(L658&lt;&gt;"COVERED","HELD — COVERAGE",IF(N658="YES — SENSITIVE","C ACTIONABLE","CHAPTER 5 DEFAULT"))</x:f>
        <x:v>HELD — COVERAGE</x:v>
      </x:c>
      <x:c r="Y658" s="13" t="str">
        <x:f>IF(L658&lt;&gt;"COVERED","HELD — COVERAGE",IF(P658="YES — MANAGED ACCESS","D ACTIONABLE","NO D FIELD"))</x:f>
        <x:v>HELD — COVERAGE</x:v>
      </x:c>
      <x:c r="Z658" s="13" t="str">
        <x:f>IF(L658&lt;&gt;"COVERED","HELD — COVERAGE",IF(OR(R658="PAIRED SYNCHRONIZED",R658="TRILATERAL SYNCHRONIZED"),"E ACTIONABLE","INDEPENDENT"))</x:f>
        <x:v>HELD — COVERAGE</x:v>
      </x:c>
      <x:c r="AA658" s="13" t="str">
        <x:f>IF(L658&lt;&gt;"COVERED","HELD — COVERAGE","WAIT FOR UPSTREAM COMPLETION")</x:f>
        <x:v>HELD — COVERAGE</x:v>
      </x:c>
      <x:c r="AB658" s="13" t="str">
        <x:f>IF(L658&lt;&gt;"COVERED","HELD — COVERAGE",IF(T658="UNRESOLVED","G DECISION REQUIRED",IF(T658="NOT APPLICABLE","G N/A","G ACTIONABLE")))</x:f>
        <x:v>HELD — COVERAGE</x:v>
      </x:c>
      <x:c r="AC658" s="13" t="str">
        <x:f>IF(L658="UNRESOLVED","COVERAGE FIRST",IF(OR(L658="EXCLUDED",L658="OUT OF SCOPE"),"CLOSED BY COVERAGE",IF(AND(L658="COVERED",T658&lt;&gt;"UNRESOLVED"),"PARTIALLY ADOPTED","DECISIONS REMAIN")))</x:f>
        <x:v>COVERAGE FIRST</x:v>
      </x:c>
    </x:row>
    <x:row r="659">
      <x:c r="A659" s="13" t="str">
        <x:v>NAAFTC-HS6-121020</x:v>
      </x:c>
      <x:c r="B659" s="13" t="str">
        <x:v>121020</x:v>
      </x:c>
      <x:c r="C659" s="13" t="str">
        <x:v>12</x:v>
      </x:c>
      <x:c r="D659" s="13" t="str">
        <x:v>TRILATERAL_SPLIT_MERGE</x:v>
      </x:c>
      <x:c r="E659" s="13" t="str">
        <x:v>Pending</x:v>
      </x:c>
      <x:c r="F659" s="13" t="n">
        <x:v>2</x:v>
      </x:c>
      <x:c r="G659" s="13" t="n">
        <x:v>1</x:v>
      </x:c>
      <x:c r="H659" s="13" t="n">
        <x:v>1</x:v>
      </x:c>
      <x:c r="I659" s="13" t="str">
        <x:v>1210200020; 1210200040</x:v>
      </x:c>
      <x:c r="J659" s="13" t="str">
        <x:v>1210200100</x:v>
      </x:c>
      <x:c r="K659" s="13" t="str">
        <x:v>12102000</x:v>
      </x:c>
      <x:c r="L659" s="13" t="str">
        <x:v>UNRESOLVED</x:v>
      </x:c>
      <x:c r="M659" s="13" t="str"/>
      <x:c r="N659" s="13" t="str">
        <x:v>NO / DEFAULT</x:v>
      </x:c>
      <x:c r="O659" s="13" t="str"/>
      <x:c r="P659" s="13" t="str">
        <x:v>NO / DEFAULT</x:v>
      </x:c>
      <x:c r="Q659" s="13" t="str"/>
      <x:c r="R659" s="13" t="str">
        <x:v>INDEPENDENT / DEFAULT</x:v>
      </x:c>
      <x:c r="S659" s="13" t="str"/>
      <x:c r="T659" s="13" t="str">
        <x:v>UNRESOLVED</x:v>
      </x:c>
      <x:c r="U659" s="13" t="str"/>
      <x:c r="V659" s="13" t="str"/>
      <x:c r="W659" s="13" t="str"/>
      <x:c r="X659" s="13" t="str">
        <x:f>IF(L659&lt;&gt;"COVERED","HELD — COVERAGE",IF(N659="YES — SENSITIVE","C ACTIONABLE","CHAPTER 5 DEFAULT"))</x:f>
        <x:v>HELD — COVERAGE</x:v>
      </x:c>
      <x:c r="Y659" s="13" t="str">
        <x:f>IF(L659&lt;&gt;"COVERED","HELD — COVERAGE",IF(P659="YES — MANAGED ACCESS","D ACTIONABLE","NO D FIELD"))</x:f>
        <x:v>HELD — COVERAGE</x:v>
      </x:c>
      <x:c r="Z659" s="13" t="str">
        <x:f>IF(L659&lt;&gt;"COVERED","HELD — COVERAGE",IF(OR(R659="PAIRED SYNCHRONIZED",R659="TRILATERAL SYNCHRONIZED"),"E ACTIONABLE","INDEPENDENT"))</x:f>
        <x:v>HELD — COVERAGE</x:v>
      </x:c>
      <x:c r="AA659" s="13" t="str">
        <x:f>IF(L659&lt;&gt;"COVERED","HELD — COVERAGE","WAIT FOR UPSTREAM COMPLETION")</x:f>
        <x:v>HELD — COVERAGE</x:v>
      </x:c>
      <x:c r="AB659" s="13" t="str">
        <x:f>IF(L659&lt;&gt;"COVERED","HELD — COVERAGE",IF(T659="UNRESOLVED","G DECISION REQUIRED",IF(T659="NOT APPLICABLE","G N/A","G ACTIONABLE")))</x:f>
        <x:v>HELD — COVERAGE</x:v>
      </x:c>
      <x:c r="AC659" s="13" t="str">
        <x:f>IF(L659="UNRESOLVED","COVERAGE FIRST",IF(OR(L659="EXCLUDED",L659="OUT OF SCOPE"),"CLOSED BY COVERAGE",IF(AND(L659="COVERED",T659&lt;&gt;"UNRESOLVED"),"PARTIALLY ADOPTED","DECISIONS REMAIN")))</x:f>
        <x:v>COVERAGE FIRST</x:v>
      </x:c>
    </x:row>
    <x:row r="660">
      <x:c r="A660" s="13" t="str">
        <x:v>NAAFTC-HS6-121120</x:v>
      </x:c>
      <x:c r="B660" s="13" t="str">
        <x:v>121120</x:v>
      </x:c>
      <x:c r="C660" s="13" t="str">
        <x:v>12</x:v>
      </x:c>
      <x:c r="D660" s="13" t="str">
        <x:v>TRILATERAL_SPLIT_MERGE</x:v>
      </x:c>
      <x:c r="E660" s="13" t="str">
        <x:v>Pending</x:v>
      </x:c>
      <x:c r="F660" s="13" t="n">
        <x:v>3</x:v>
      </x:c>
      <x:c r="G660" s="13" t="n">
        <x:v>2</x:v>
      </x:c>
      <x:c r="H660" s="13" t="n">
        <x:v>2</x:v>
      </x:c>
      <x:c r="I660" s="13" t="str">
        <x:v>1211201020; 1211201090; 1211201500</x:v>
      </x:c>
      <x:c r="J660" s="13" t="str">
        <x:v>1211200100; 1211200200</x:v>
      </x:c>
      <x:c r="K660" s="13" t="str">
        <x:v>1211201000; 1211209000</x:v>
      </x:c>
      <x:c r="L660" s="13" t="str">
        <x:v>UNRESOLVED</x:v>
      </x:c>
      <x:c r="M660" s="13" t="str"/>
      <x:c r="N660" s="13" t="str">
        <x:v>NO / DEFAULT</x:v>
      </x:c>
      <x:c r="O660" s="13" t="str"/>
      <x:c r="P660" s="13" t="str">
        <x:v>NO / DEFAULT</x:v>
      </x:c>
      <x:c r="Q660" s="13" t="str"/>
      <x:c r="R660" s="13" t="str">
        <x:v>INDEPENDENT / DEFAULT</x:v>
      </x:c>
      <x:c r="S660" s="13" t="str"/>
      <x:c r="T660" s="13" t="str">
        <x:v>UNRESOLVED</x:v>
      </x:c>
      <x:c r="U660" s="13" t="str"/>
      <x:c r="V660" s="13" t="str"/>
      <x:c r="W660" s="13" t="str"/>
      <x:c r="X660" s="13" t="str">
        <x:f>IF(L660&lt;&gt;"COVERED","HELD — COVERAGE",IF(N660="YES — SENSITIVE","C ACTIONABLE","CHAPTER 5 DEFAULT"))</x:f>
        <x:v>HELD — COVERAGE</x:v>
      </x:c>
      <x:c r="Y660" s="13" t="str">
        <x:f>IF(L660&lt;&gt;"COVERED","HELD — COVERAGE",IF(P660="YES — MANAGED ACCESS","D ACTIONABLE","NO D FIELD"))</x:f>
        <x:v>HELD — COVERAGE</x:v>
      </x:c>
      <x:c r="Z660" s="13" t="str">
        <x:f>IF(L660&lt;&gt;"COVERED","HELD — COVERAGE",IF(OR(R660="PAIRED SYNCHRONIZED",R660="TRILATERAL SYNCHRONIZED"),"E ACTIONABLE","INDEPENDENT"))</x:f>
        <x:v>HELD — COVERAGE</x:v>
      </x:c>
      <x:c r="AA660" s="13" t="str">
        <x:f>IF(L660&lt;&gt;"COVERED","HELD — COVERAGE","WAIT FOR UPSTREAM COMPLETION")</x:f>
        <x:v>HELD — COVERAGE</x:v>
      </x:c>
      <x:c r="AB660" s="13" t="str">
        <x:f>IF(L660&lt;&gt;"COVERED","HELD — COVERAGE",IF(T660="UNRESOLVED","G DECISION REQUIRED",IF(T660="NOT APPLICABLE","G N/A","G ACTIONABLE")))</x:f>
        <x:v>HELD — COVERAGE</x:v>
      </x:c>
      <x:c r="AC660" s="13" t="str">
        <x:f>IF(L660="UNRESOLVED","COVERAGE FIRST",IF(OR(L660="EXCLUDED",L660="OUT OF SCOPE"),"CLOSED BY COVERAGE",IF(AND(L660="COVERED",T660&lt;&gt;"UNRESOLVED"),"PARTIALLY ADOPTED","DECISIONS REMAIN")))</x:f>
        <x:v>COVERAGE FIRST</x:v>
      </x:c>
    </x:row>
    <x:row r="661">
      <x:c r="A661" s="13" t="str">
        <x:v>NAAFTC-HS6-121130</x:v>
      </x:c>
      <x:c r="B661" s="13" t="str">
        <x:v>121130</x:v>
      </x:c>
      <x:c r="C661" s="13" t="str">
        <x:v>12</x:v>
      </x:c>
      <x:c r="D661" s="13" t="str">
        <x:v>TRILATERAL_SPLIT_MERGE</x:v>
      </x:c>
      <x:c r="E661" s="13" t="str">
        <x:v>Pending</x:v>
      </x:c>
      <x:c r="F661" s="13" t="n">
        <x:v>1</x:v>
      </x:c>
      <x:c r="G661" s="13" t="n">
        <x:v>2</x:v>
      </x:c>
      <x:c r="H661" s="13" t="n">
        <x:v>1</x:v>
      </x:c>
      <x:c r="I661" s="13" t="str">
        <x:v>1211300000</x:v>
      </x:c>
      <x:c r="J661" s="13" t="str">
        <x:v>1211300100; 1211300200</x:v>
      </x:c>
      <x:c r="K661" s="13" t="str">
        <x:v>1211300000</x:v>
      </x:c>
      <x:c r="L661" s="13" t="str">
        <x:v>UNRESOLVED</x:v>
      </x:c>
      <x:c r="M661" s="13" t="str"/>
      <x:c r="N661" s="13" t="str">
        <x:v>NO / DEFAULT</x:v>
      </x:c>
      <x:c r="O661" s="13" t="str"/>
      <x:c r="P661" s="13" t="str">
        <x:v>NO / DEFAULT</x:v>
      </x:c>
      <x:c r="Q661" s="13" t="str"/>
      <x:c r="R661" s="13" t="str">
        <x:v>INDEPENDENT / DEFAULT</x:v>
      </x:c>
      <x:c r="S661" s="13" t="str"/>
      <x:c r="T661" s="13" t="str">
        <x:v>UNRESOLVED</x:v>
      </x:c>
      <x:c r="U661" s="13" t="str"/>
      <x:c r="V661" s="13" t="str"/>
      <x:c r="W661" s="13" t="str"/>
      <x:c r="X661" s="13" t="str">
        <x:f>IF(L661&lt;&gt;"COVERED","HELD — COVERAGE",IF(N661="YES — SENSITIVE","C ACTIONABLE","CHAPTER 5 DEFAULT"))</x:f>
        <x:v>HELD — COVERAGE</x:v>
      </x:c>
      <x:c r="Y661" s="13" t="str">
        <x:f>IF(L661&lt;&gt;"COVERED","HELD — COVERAGE",IF(P661="YES — MANAGED ACCESS","D ACTIONABLE","NO D FIELD"))</x:f>
        <x:v>HELD — COVERAGE</x:v>
      </x:c>
      <x:c r="Z661" s="13" t="str">
        <x:f>IF(L661&lt;&gt;"COVERED","HELD — COVERAGE",IF(OR(R661="PAIRED SYNCHRONIZED",R661="TRILATERAL SYNCHRONIZED"),"E ACTIONABLE","INDEPENDENT"))</x:f>
        <x:v>HELD — COVERAGE</x:v>
      </x:c>
      <x:c r="AA661" s="13" t="str">
        <x:f>IF(L661&lt;&gt;"COVERED","HELD — COVERAGE","WAIT FOR UPSTREAM COMPLETION")</x:f>
        <x:v>HELD — COVERAGE</x:v>
      </x:c>
      <x:c r="AB661" s="13" t="str">
        <x:f>IF(L661&lt;&gt;"COVERED","HELD — COVERAGE",IF(T661="UNRESOLVED","G DECISION REQUIRED",IF(T661="NOT APPLICABLE","G N/A","G ACTIONABLE")))</x:f>
        <x:v>HELD — COVERAGE</x:v>
      </x:c>
      <x:c r="AC661" s="13" t="str">
        <x:f>IF(L661="UNRESOLVED","COVERAGE FIRST",IF(OR(L661="EXCLUDED",L661="OUT OF SCOPE"),"CLOSED BY COVERAGE",IF(AND(L661="COVERED",T661&lt;&gt;"UNRESOLVED"),"PARTIALLY ADOPTED","DECISIONS REMAIN")))</x:f>
        <x:v>COVERAGE FIRST</x:v>
      </x:c>
    </x:row>
    <x:row r="662">
      <x:c r="A662" s="13" t="str">
        <x:v>NAAFTC-HS6-121140</x:v>
      </x:c>
      <x:c r="B662" s="13" t="str">
        <x:v>121140</x:v>
      </x:c>
      <x:c r="C662" s="13" t="str">
        <x:v>12</x:v>
      </x:c>
      <x:c r="D662" s="13" t="str">
        <x:v>TRILATERAL_1_TO_1_TO_1</x:v>
      </x:c>
      <x:c r="E662" s="13" t="str">
        <x:v>Pending</x:v>
      </x:c>
      <x:c r="F662" s="13" t="n">
        <x:v>1</x:v>
      </x:c>
      <x:c r="G662" s="13" t="n">
        <x:v>1</x:v>
      </x:c>
      <x:c r="H662" s="13" t="n">
        <x:v>1</x:v>
      </x:c>
      <x:c r="I662" s="13" t="str">
        <x:v>1211400000</x:v>
      </x:c>
      <x:c r="J662" s="13" t="str">
        <x:v>1211400100</x:v>
      </x:c>
      <x:c r="K662" s="13" t="str">
        <x:v>1211400000</x:v>
      </x:c>
      <x:c r="L662" s="13" t="str">
        <x:v>UNRESOLVED</x:v>
      </x:c>
      <x:c r="M662" s="13" t="str"/>
      <x:c r="N662" s="13" t="str">
        <x:v>NO / DEFAULT</x:v>
      </x:c>
      <x:c r="O662" s="13" t="str"/>
      <x:c r="P662" s="13" t="str">
        <x:v>NO / DEFAULT</x:v>
      </x:c>
      <x:c r="Q662" s="13" t="str"/>
      <x:c r="R662" s="13" t="str">
        <x:v>INDEPENDENT / DEFAULT</x:v>
      </x:c>
      <x:c r="S662" s="13" t="str"/>
      <x:c r="T662" s="13" t="str">
        <x:v>UNRESOLVED</x:v>
      </x:c>
      <x:c r="U662" s="13" t="str"/>
      <x:c r="V662" s="13" t="str"/>
      <x:c r="W662" s="13" t="str"/>
      <x:c r="X662" s="13" t="str">
        <x:f>IF(L662&lt;&gt;"COVERED","HELD — COVERAGE",IF(N662="YES — SENSITIVE","C ACTIONABLE","CHAPTER 5 DEFAULT"))</x:f>
        <x:v>HELD — COVERAGE</x:v>
      </x:c>
      <x:c r="Y662" s="13" t="str">
        <x:f>IF(L662&lt;&gt;"COVERED","HELD — COVERAGE",IF(P662="YES — MANAGED ACCESS","D ACTIONABLE","NO D FIELD"))</x:f>
        <x:v>HELD — COVERAGE</x:v>
      </x:c>
      <x:c r="Z662" s="13" t="str">
        <x:f>IF(L662&lt;&gt;"COVERED","HELD — COVERAGE",IF(OR(R662="PAIRED SYNCHRONIZED",R662="TRILATERAL SYNCHRONIZED"),"E ACTIONABLE","INDEPENDENT"))</x:f>
        <x:v>HELD — COVERAGE</x:v>
      </x:c>
      <x:c r="AA662" s="13" t="str">
        <x:f>IF(L662&lt;&gt;"COVERED","HELD — COVERAGE","WAIT FOR UPSTREAM COMPLETION")</x:f>
        <x:v>HELD — COVERAGE</x:v>
      </x:c>
      <x:c r="AB662" s="13" t="str">
        <x:f>IF(L662&lt;&gt;"COVERED","HELD — COVERAGE",IF(T662="UNRESOLVED","G DECISION REQUIRED",IF(T662="NOT APPLICABLE","G N/A","G ACTIONABLE")))</x:f>
        <x:v>HELD — COVERAGE</x:v>
      </x:c>
      <x:c r="AC662" s="13" t="str">
        <x:f>IF(L662="UNRESOLVED","COVERAGE FIRST",IF(OR(L662="EXCLUDED",L662="OUT OF SCOPE"),"CLOSED BY COVERAGE",IF(AND(L662="COVERED",T662&lt;&gt;"UNRESOLVED"),"PARTIALLY ADOPTED","DECISIONS REMAIN")))</x:f>
        <x:v>COVERAGE FIRST</x:v>
      </x:c>
    </x:row>
    <x:row r="663">
      <x:c r="A663" s="13" t="str">
        <x:v>NAAFTC-HS6-121150</x:v>
      </x:c>
      <x:c r="B663" s="13" t="str">
        <x:v>121150</x:v>
      </x:c>
      <x:c r="C663" s="13" t="str">
        <x:v>12</x:v>
      </x:c>
      <x:c r="D663" s="13" t="str">
        <x:v>TRILATERAL_1_TO_1_TO_1</x:v>
      </x:c>
      <x:c r="E663" s="13" t="str">
        <x:v>Pending</x:v>
      </x:c>
      <x:c r="F663" s="13" t="n">
        <x:v>1</x:v>
      </x:c>
      <x:c r="G663" s="13" t="n">
        <x:v>1</x:v>
      </x:c>
      <x:c r="H663" s="13" t="n">
        <x:v>1</x:v>
      </x:c>
      <x:c r="I663" s="13" t="str">
        <x:v>1211500000</x:v>
      </x:c>
      <x:c r="J663" s="13" t="str">
        <x:v>1211500100</x:v>
      </x:c>
      <x:c r="K663" s="13" t="str">
        <x:v>1211500000</x:v>
      </x:c>
      <x:c r="L663" s="13" t="str">
        <x:v>UNRESOLVED</x:v>
      </x:c>
      <x:c r="M663" s="13" t="str"/>
      <x:c r="N663" s="13" t="str">
        <x:v>NO / DEFAULT</x:v>
      </x:c>
      <x:c r="O663" s="13" t="str"/>
      <x:c r="P663" s="13" t="str">
        <x:v>NO / DEFAULT</x:v>
      </x:c>
      <x:c r="Q663" s="13" t="str"/>
      <x:c r="R663" s="13" t="str">
        <x:v>INDEPENDENT / DEFAULT</x:v>
      </x:c>
      <x:c r="S663" s="13" t="str"/>
      <x:c r="T663" s="13" t="str">
        <x:v>UNRESOLVED</x:v>
      </x:c>
      <x:c r="U663" s="13" t="str"/>
      <x:c r="V663" s="13" t="str"/>
      <x:c r="W663" s="13" t="str"/>
      <x:c r="X663" s="13" t="str">
        <x:f>IF(L663&lt;&gt;"COVERED","HELD — COVERAGE",IF(N663="YES — SENSITIVE","C ACTIONABLE","CHAPTER 5 DEFAULT"))</x:f>
        <x:v>HELD — COVERAGE</x:v>
      </x:c>
      <x:c r="Y663" s="13" t="str">
        <x:f>IF(L663&lt;&gt;"COVERED","HELD — COVERAGE",IF(P663="YES — MANAGED ACCESS","D ACTIONABLE","NO D FIELD"))</x:f>
        <x:v>HELD — COVERAGE</x:v>
      </x:c>
      <x:c r="Z663" s="13" t="str">
        <x:f>IF(L663&lt;&gt;"COVERED","HELD — COVERAGE",IF(OR(R663="PAIRED SYNCHRONIZED",R663="TRILATERAL SYNCHRONIZED"),"E ACTIONABLE","INDEPENDENT"))</x:f>
        <x:v>HELD — COVERAGE</x:v>
      </x:c>
      <x:c r="AA663" s="13" t="str">
        <x:f>IF(L663&lt;&gt;"COVERED","HELD — COVERAGE","WAIT FOR UPSTREAM COMPLETION")</x:f>
        <x:v>HELD — COVERAGE</x:v>
      </x:c>
      <x:c r="AB663" s="13" t="str">
        <x:f>IF(L663&lt;&gt;"COVERED","HELD — COVERAGE",IF(T663="UNRESOLVED","G DECISION REQUIRED",IF(T663="NOT APPLICABLE","G N/A","G ACTIONABLE")))</x:f>
        <x:v>HELD — COVERAGE</x:v>
      </x:c>
      <x:c r="AC663" s="13" t="str">
        <x:f>IF(L663="UNRESOLVED","COVERAGE FIRST",IF(OR(L663="EXCLUDED",L663="OUT OF SCOPE"),"CLOSED BY COVERAGE",IF(AND(L663="COVERED",T663&lt;&gt;"UNRESOLVED"),"PARTIALLY ADOPTED","DECISIONS REMAIN")))</x:f>
        <x:v>COVERAGE FIRST</x:v>
      </x:c>
    </x:row>
    <x:row r="664">
      <x:c r="A664" s="13" t="str">
        <x:v>NAAFTC-HS6-121160</x:v>
      </x:c>
      <x:c r="B664" s="13" t="str">
        <x:v>121160</x:v>
      </x:c>
      <x:c r="C664" s="13" t="str">
        <x:v>12</x:v>
      </x:c>
      <x:c r="D664" s="13" t="str">
        <x:v>TRILATERAL_SPLIT_MERGE</x:v>
      </x:c>
      <x:c r="E664" s="13" t="str">
        <x:v>Pending</x:v>
      </x:c>
      <x:c r="F664" s="13" t="n">
        <x:v>1</x:v>
      </x:c>
      <x:c r="G664" s="13" t="n">
        <x:v>1</x:v>
      </x:c>
      <x:c r="H664" s="13" t="n">
        <x:v>2</x:v>
      </x:c>
      <x:c r="I664" s="13" t="str">
        <x:v>1211600000</x:v>
      </x:c>
      <x:c r="J664" s="13" t="str">
        <x:v>1211600100</x:v>
      </x:c>
      <x:c r="K664" s="13" t="str">
        <x:v>1211601000; 1211609000</x:v>
      </x:c>
      <x:c r="L664" s="13" t="str">
        <x:v>UNRESOLVED</x:v>
      </x:c>
      <x:c r="M664" s="13" t="str"/>
      <x:c r="N664" s="13" t="str">
        <x:v>NO / DEFAULT</x:v>
      </x:c>
      <x:c r="O664" s="13" t="str"/>
      <x:c r="P664" s="13" t="str">
        <x:v>NO / DEFAULT</x:v>
      </x:c>
      <x:c r="Q664" s="13" t="str"/>
      <x:c r="R664" s="13" t="str">
        <x:v>INDEPENDENT / DEFAULT</x:v>
      </x:c>
      <x:c r="S664" s="13" t="str"/>
      <x:c r="T664" s="13" t="str">
        <x:v>UNRESOLVED</x:v>
      </x:c>
      <x:c r="U664" s="13" t="str"/>
      <x:c r="V664" s="13" t="str"/>
      <x:c r="W664" s="13" t="str"/>
      <x:c r="X664" s="13" t="str">
        <x:f>IF(L664&lt;&gt;"COVERED","HELD — COVERAGE",IF(N664="YES — SENSITIVE","C ACTIONABLE","CHAPTER 5 DEFAULT"))</x:f>
        <x:v>HELD — COVERAGE</x:v>
      </x:c>
      <x:c r="Y664" s="13" t="str">
        <x:f>IF(L664&lt;&gt;"COVERED","HELD — COVERAGE",IF(P664="YES — MANAGED ACCESS","D ACTIONABLE","NO D FIELD"))</x:f>
        <x:v>HELD — COVERAGE</x:v>
      </x:c>
      <x:c r="Z664" s="13" t="str">
        <x:f>IF(L664&lt;&gt;"COVERED","HELD — COVERAGE",IF(OR(R664="PAIRED SYNCHRONIZED",R664="TRILATERAL SYNCHRONIZED"),"E ACTIONABLE","INDEPENDENT"))</x:f>
        <x:v>HELD — COVERAGE</x:v>
      </x:c>
      <x:c r="AA664" s="13" t="str">
        <x:f>IF(L664&lt;&gt;"COVERED","HELD — COVERAGE","WAIT FOR UPSTREAM COMPLETION")</x:f>
        <x:v>HELD — COVERAGE</x:v>
      </x:c>
      <x:c r="AB664" s="13" t="str">
        <x:f>IF(L664&lt;&gt;"COVERED","HELD — COVERAGE",IF(T664="UNRESOLVED","G DECISION REQUIRED",IF(T664="NOT APPLICABLE","G N/A","G ACTIONABLE")))</x:f>
        <x:v>HELD — COVERAGE</x:v>
      </x:c>
      <x:c r="AC664" s="13" t="str">
        <x:f>IF(L664="UNRESOLVED","COVERAGE FIRST",IF(OR(L664="EXCLUDED",L664="OUT OF SCOPE"),"CLOSED BY COVERAGE",IF(AND(L664="COVERED",T664&lt;&gt;"UNRESOLVED"),"PARTIALLY ADOPTED","DECISIONS REMAIN")))</x:f>
        <x:v>COVERAGE FIRST</x:v>
      </x:c>
    </x:row>
    <x:row r="665">
      <x:c r="A665" s="13" t="str">
        <x:v>NAAFTC-HS6-121190</x:v>
      </x:c>
      <x:c r="B665" s="13" t="str">
        <x:v>121190</x:v>
      </x:c>
      <x:c r="C665" s="13" t="str">
        <x:v>12</x:v>
      </x:c>
      <x:c r="D665" s="13" t="str">
        <x:v>TRILATERAL_SPLIT_MERGE</x:v>
      </x:c>
      <x:c r="E665" s="13" t="str">
        <x:v>Pending</x:v>
      </x:c>
      <x:c r="F665" s="13" t="n">
        <x:v>12</x:v>
      </x:c>
      <x:c r="G665" s="13" t="n">
        <x:v>5</x:v>
      </x:c>
      <x:c r="H665" s="13" t="n">
        <x:v>2</x:v>
      </x:c>
      <x:c r="I665" s="13" t="str">
        <x:v>1211902000; 1211904020; 1211904040; 1211906000; 1211908920; 1211908931; +6 more</x:v>
      </x:c>
      <x:c r="J665" s="13" t="str">
        <x:v>1211909100; 1211909901; 1211909902; 1211909903; 1211909999</x:v>
      </x:c>
      <x:c r="K665" s="13" t="str">
        <x:v>12119010; 12119090</x:v>
      </x:c>
      <x:c r="L665" s="13" t="str">
        <x:v>UNRESOLVED</x:v>
      </x:c>
      <x:c r="M665" s="13" t="str"/>
      <x:c r="N665" s="13" t="str">
        <x:v>NO / DEFAULT</x:v>
      </x:c>
      <x:c r="O665" s="13" t="str"/>
      <x:c r="P665" s="13" t="str">
        <x:v>NO / DEFAULT</x:v>
      </x:c>
      <x:c r="Q665" s="13" t="str"/>
      <x:c r="R665" s="13" t="str">
        <x:v>INDEPENDENT / DEFAULT</x:v>
      </x:c>
      <x:c r="S665" s="13" t="str"/>
      <x:c r="T665" s="13" t="str">
        <x:v>UNRESOLVED</x:v>
      </x:c>
      <x:c r="U665" s="13" t="str"/>
      <x:c r="V665" s="13" t="str"/>
      <x:c r="W665" s="13" t="str"/>
      <x:c r="X665" s="13" t="str">
        <x:f>IF(L665&lt;&gt;"COVERED","HELD — COVERAGE",IF(N665="YES — SENSITIVE","C ACTIONABLE","CHAPTER 5 DEFAULT"))</x:f>
        <x:v>HELD — COVERAGE</x:v>
      </x:c>
      <x:c r="Y665" s="13" t="str">
        <x:f>IF(L665&lt;&gt;"COVERED","HELD — COVERAGE",IF(P665="YES — MANAGED ACCESS","D ACTIONABLE","NO D FIELD"))</x:f>
        <x:v>HELD — COVERAGE</x:v>
      </x:c>
      <x:c r="Z665" s="13" t="str">
        <x:f>IF(L665&lt;&gt;"COVERED","HELD — COVERAGE",IF(OR(R665="PAIRED SYNCHRONIZED",R665="TRILATERAL SYNCHRONIZED"),"E ACTIONABLE","INDEPENDENT"))</x:f>
        <x:v>HELD — COVERAGE</x:v>
      </x:c>
      <x:c r="AA665" s="13" t="str">
        <x:f>IF(L665&lt;&gt;"COVERED","HELD — COVERAGE","WAIT FOR UPSTREAM COMPLETION")</x:f>
        <x:v>HELD — COVERAGE</x:v>
      </x:c>
      <x:c r="AB665" s="13" t="str">
        <x:f>IF(L665&lt;&gt;"COVERED","HELD — COVERAGE",IF(T665="UNRESOLVED","G DECISION REQUIRED",IF(T665="NOT APPLICABLE","G N/A","G ACTIONABLE")))</x:f>
        <x:v>HELD — COVERAGE</x:v>
      </x:c>
      <x:c r="AC665" s="13" t="str">
        <x:f>IF(L665="UNRESOLVED","COVERAGE FIRST",IF(OR(L665="EXCLUDED",L665="OUT OF SCOPE"),"CLOSED BY COVERAGE",IF(AND(L665="COVERED",T665&lt;&gt;"UNRESOLVED"),"PARTIALLY ADOPTED","DECISIONS REMAIN")))</x:f>
        <x:v>COVERAGE FIRST</x:v>
      </x:c>
    </x:row>
    <x:row r="666">
      <x:c r="A666" s="13" t="str">
        <x:v>NAAFTC-HS6-121221</x:v>
      </x:c>
      <x:c r="B666" s="13" t="str">
        <x:v>121221</x:v>
      </x:c>
      <x:c r="C666" s="13" t="str">
        <x:v>12</x:v>
      </x:c>
      <x:c r="D666" s="13" t="str">
        <x:v>TRILATERAL_SPLIT_MERGE</x:v>
      </x:c>
      <x:c r="E666" s="13" t="str">
        <x:v>Pending</x:v>
      </x:c>
      <x:c r="F666" s="13" t="n">
        <x:v>1</x:v>
      </x:c>
      <x:c r="G666" s="13" t="n">
        <x:v>3</x:v>
      </x:c>
      <x:c r="H666" s="13" t="n">
        <x:v>1</x:v>
      </x:c>
      <x:c r="I666" s="13" t="str">
        <x:v>1212210000</x:v>
      </x:c>
      <x:c r="J666" s="13" t="str">
        <x:v>1212210100; 1212210200; 1212219900</x:v>
      </x:c>
      <x:c r="K666" s="13" t="str">
        <x:v>1212210000</x:v>
      </x:c>
      <x:c r="L666" s="13" t="str">
        <x:v>UNRESOLVED</x:v>
      </x:c>
      <x:c r="M666" s="13" t="str"/>
      <x:c r="N666" s="13" t="str">
        <x:v>NO / DEFAULT</x:v>
      </x:c>
      <x:c r="O666" s="13" t="str"/>
      <x:c r="P666" s="13" t="str">
        <x:v>NO / DEFAULT</x:v>
      </x:c>
      <x:c r="Q666" s="13" t="str"/>
      <x:c r="R666" s="13" t="str">
        <x:v>INDEPENDENT / DEFAULT</x:v>
      </x:c>
      <x:c r="S666" s="13" t="str"/>
      <x:c r="T666" s="13" t="str">
        <x:v>UNRESOLVED</x:v>
      </x:c>
      <x:c r="U666" s="13" t="str"/>
      <x:c r="V666" s="13" t="str"/>
      <x:c r="W666" s="13" t="str"/>
      <x:c r="X666" s="13" t="str">
        <x:f>IF(L666&lt;&gt;"COVERED","HELD — COVERAGE",IF(N666="YES — SENSITIVE","C ACTIONABLE","CHAPTER 5 DEFAULT"))</x:f>
        <x:v>HELD — COVERAGE</x:v>
      </x:c>
      <x:c r="Y666" s="13" t="str">
        <x:f>IF(L666&lt;&gt;"COVERED","HELD — COVERAGE",IF(P666="YES — MANAGED ACCESS","D ACTIONABLE","NO D FIELD"))</x:f>
        <x:v>HELD — COVERAGE</x:v>
      </x:c>
      <x:c r="Z666" s="13" t="str">
        <x:f>IF(L666&lt;&gt;"COVERED","HELD — COVERAGE",IF(OR(R666="PAIRED SYNCHRONIZED",R666="TRILATERAL SYNCHRONIZED"),"E ACTIONABLE","INDEPENDENT"))</x:f>
        <x:v>HELD — COVERAGE</x:v>
      </x:c>
      <x:c r="AA666" s="13" t="str">
        <x:f>IF(L666&lt;&gt;"COVERED","HELD — COVERAGE","WAIT FOR UPSTREAM COMPLETION")</x:f>
        <x:v>HELD — COVERAGE</x:v>
      </x:c>
      <x:c r="AB666" s="13" t="str">
        <x:f>IF(L666&lt;&gt;"COVERED","HELD — COVERAGE",IF(T666="UNRESOLVED","G DECISION REQUIRED",IF(T666="NOT APPLICABLE","G N/A","G ACTIONABLE")))</x:f>
        <x:v>HELD — COVERAGE</x:v>
      </x:c>
      <x:c r="AC666" s="13" t="str">
        <x:f>IF(L666="UNRESOLVED","COVERAGE FIRST",IF(OR(L666="EXCLUDED",L666="OUT OF SCOPE"),"CLOSED BY COVERAGE",IF(AND(L666="COVERED",T666&lt;&gt;"UNRESOLVED"),"PARTIALLY ADOPTED","DECISIONS REMAIN")))</x:f>
        <x:v>COVERAGE FIRST</x:v>
      </x:c>
    </x:row>
    <x:row r="667">
      <x:c r="A667" s="13" t="str">
        <x:v>NAAFTC-HS6-121229</x:v>
      </x:c>
      <x:c r="B667" s="13" t="str">
        <x:v>121229</x:v>
      </x:c>
      <x:c r="C667" s="13" t="str">
        <x:v>12</x:v>
      </x:c>
      <x:c r="D667" s="13" t="str">
        <x:v>TRILATERAL_SPLIT_MERGE</x:v>
      </x:c>
      <x:c r="E667" s="13" t="str">
        <x:v>Pending</x:v>
      </x:c>
      <x:c r="F667" s="13" t="n">
        <x:v>1</x:v>
      </x:c>
      <x:c r="G667" s="13" t="n">
        <x:v>2</x:v>
      </x:c>
      <x:c r="H667" s="13" t="n">
        <x:v>1</x:v>
      </x:c>
      <x:c r="I667" s="13" t="str">
        <x:v>1212290000</x:v>
      </x:c>
      <x:c r="J667" s="13" t="str">
        <x:v>1212290100; 1212299900</x:v>
      </x:c>
      <x:c r="K667" s="13" t="str">
        <x:v>1212290000</x:v>
      </x:c>
      <x:c r="L667" s="13" t="str">
        <x:v>UNRESOLVED</x:v>
      </x:c>
      <x:c r="M667" s="13" t="str"/>
      <x:c r="N667" s="13" t="str">
        <x:v>NO / DEFAULT</x:v>
      </x:c>
      <x:c r="O667" s="13" t="str"/>
      <x:c r="P667" s="13" t="str">
        <x:v>NO / DEFAULT</x:v>
      </x:c>
      <x:c r="Q667" s="13" t="str"/>
      <x:c r="R667" s="13" t="str">
        <x:v>INDEPENDENT / DEFAULT</x:v>
      </x:c>
      <x:c r="S667" s="13" t="str"/>
      <x:c r="T667" s="13" t="str">
        <x:v>UNRESOLVED</x:v>
      </x:c>
      <x:c r="U667" s="13" t="str"/>
      <x:c r="V667" s="13" t="str"/>
      <x:c r="W667" s="13" t="str"/>
      <x:c r="X667" s="13" t="str">
        <x:f>IF(L667&lt;&gt;"COVERED","HELD — COVERAGE",IF(N667="YES — SENSITIVE","C ACTIONABLE","CHAPTER 5 DEFAULT"))</x:f>
        <x:v>HELD — COVERAGE</x:v>
      </x:c>
      <x:c r="Y667" s="13" t="str">
        <x:f>IF(L667&lt;&gt;"COVERED","HELD — COVERAGE",IF(P667="YES — MANAGED ACCESS","D ACTIONABLE","NO D FIELD"))</x:f>
        <x:v>HELD — COVERAGE</x:v>
      </x:c>
      <x:c r="Z667" s="13" t="str">
        <x:f>IF(L667&lt;&gt;"COVERED","HELD — COVERAGE",IF(OR(R667="PAIRED SYNCHRONIZED",R667="TRILATERAL SYNCHRONIZED"),"E ACTIONABLE","INDEPENDENT"))</x:f>
        <x:v>HELD — COVERAGE</x:v>
      </x:c>
      <x:c r="AA667" s="13" t="str">
        <x:f>IF(L667&lt;&gt;"COVERED","HELD — COVERAGE","WAIT FOR UPSTREAM COMPLETION")</x:f>
        <x:v>HELD — COVERAGE</x:v>
      </x:c>
      <x:c r="AB667" s="13" t="str">
        <x:f>IF(L667&lt;&gt;"COVERED","HELD — COVERAGE",IF(T667="UNRESOLVED","G DECISION REQUIRED",IF(T667="NOT APPLICABLE","G N/A","G ACTIONABLE")))</x:f>
        <x:v>HELD — COVERAGE</x:v>
      </x:c>
      <x:c r="AC667" s="13" t="str">
        <x:f>IF(L667="UNRESOLVED","COVERAGE FIRST",IF(OR(L667="EXCLUDED",L667="OUT OF SCOPE"),"CLOSED BY COVERAGE",IF(AND(L667="COVERED",T667&lt;&gt;"UNRESOLVED"),"PARTIALLY ADOPTED","DECISIONS REMAIN")))</x:f>
        <x:v>COVERAGE FIRST</x:v>
      </x:c>
    </x:row>
    <x:row r="668">
      <x:c r="A668" s="13" t="str">
        <x:v>NAAFTC-HS6-121291</x:v>
      </x:c>
      <x:c r="B668" s="13" t="str">
        <x:v>121291</x:v>
      </x:c>
      <x:c r="C668" s="13" t="str">
        <x:v>12</x:v>
      </x:c>
      <x:c r="D668" s="13" t="str">
        <x:v>TRILATERAL_1_TO_1_TO_1</x:v>
      </x:c>
      <x:c r="E668" s="13" t="str">
        <x:v>Pending</x:v>
      </x:c>
      <x:c r="F668" s="13" t="n">
        <x:v>1</x:v>
      </x:c>
      <x:c r="G668" s="13" t="n">
        <x:v>1</x:v>
      </x:c>
      <x:c r="H668" s="13" t="n">
        <x:v>1</x:v>
      </x:c>
      <x:c r="I668" s="13" t="str">
        <x:v>1212910000</x:v>
      </x:c>
      <x:c r="J668" s="13" t="str">
        <x:v>1212910100</x:v>
      </x:c>
      <x:c r="K668" s="13" t="str">
        <x:v>1212910000</x:v>
      </x:c>
      <x:c r="L668" s="13" t="str">
        <x:v>UNRESOLVED</x:v>
      </x:c>
      <x:c r="M668" s="13" t="str"/>
      <x:c r="N668" s="13" t="str">
        <x:v>NO / DEFAULT</x:v>
      </x:c>
      <x:c r="O668" s="13" t="str"/>
      <x:c r="P668" s="13" t="str">
        <x:v>NO / DEFAULT</x:v>
      </x:c>
      <x:c r="Q668" s="13" t="str"/>
      <x:c r="R668" s="13" t="str">
        <x:v>INDEPENDENT / DEFAULT</x:v>
      </x:c>
      <x:c r="S668" s="13" t="str"/>
      <x:c r="T668" s="13" t="str">
        <x:v>UNRESOLVED</x:v>
      </x:c>
      <x:c r="U668" s="13" t="str"/>
      <x:c r="V668" s="13" t="str"/>
      <x:c r="W668" s="13" t="str"/>
      <x:c r="X668" s="13" t="str">
        <x:f>IF(L668&lt;&gt;"COVERED","HELD — COVERAGE",IF(N668="YES — SENSITIVE","C ACTIONABLE","CHAPTER 5 DEFAULT"))</x:f>
        <x:v>HELD — COVERAGE</x:v>
      </x:c>
      <x:c r="Y668" s="13" t="str">
        <x:f>IF(L668&lt;&gt;"COVERED","HELD — COVERAGE",IF(P668="YES — MANAGED ACCESS","D ACTIONABLE","NO D FIELD"))</x:f>
        <x:v>HELD — COVERAGE</x:v>
      </x:c>
      <x:c r="Z668" s="13" t="str">
        <x:f>IF(L668&lt;&gt;"COVERED","HELD — COVERAGE",IF(OR(R668="PAIRED SYNCHRONIZED",R668="TRILATERAL SYNCHRONIZED"),"E ACTIONABLE","INDEPENDENT"))</x:f>
        <x:v>HELD — COVERAGE</x:v>
      </x:c>
      <x:c r="AA668" s="13" t="str">
        <x:f>IF(L668&lt;&gt;"COVERED","HELD — COVERAGE","WAIT FOR UPSTREAM COMPLETION")</x:f>
        <x:v>HELD — COVERAGE</x:v>
      </x:c>
      <x:c r="AB668" s="13" t="str">
        <x:f>IF(L668&lt;&gt;"COVERED","HELD — COVERAGE",IF(T668="UNRESOLVED","G DECISION REQUIRED",IF(T668="NOT APPLICABLE","G N/A","G ACTIONABLE")))</x:f>
        <x:v>HELD — COVERAGE</x:v>
      </x:c>
      <x:c r="AC668" s="13" t="str">
        <x:f>IF(L668="UNRESOLVED","COVERAGE FIRST",IF(OR(L668="EXCLUDED",L668="OUT OF SCOPE"),"CLOSED BY COVERAGE",IF(AND(L668="COVERED",T668&lt;&gt;"UNRESOLVED"),"PARTIALLY ADOPTED","DECISIONS REMAIN")))</x:f>
        <x:v>COVERAGE FIRST</x:v>
      </x:c>
    </x:row>
    <x:row r="669">
      <x:c r="A669" s="13" t="str">
        <x:v>NAAFTC-HS6-121292</x:v>
      </x:c>
      <x:c r="B669" s="13" t="str">
        <x:v>121292</x:v>
      </x:c>
      <x:c r="C669" s="13" t="str">
        <x:v>12</x:v>
      </x:c>
      <x:c r="D669" s="13" t="str">
        <x:v>TRILATERAL_1_TO_1_TO_1</x:v>
      </x:c>
      <x:c r="E669" s="13" t="str">
        <x:v>Pending</x:v>
      </x:c>
      <x:c r="F669" s="13" t="n">
        <x:v>1</x:v>
      </x:c>
      <x:c r="G669" s="13" t="n">
        <x:v>1</x:v>
      </x:c>
      <x:c r="H669" s="13" t="n">
        <x:v>1</x:v>
      </x:c>
      <x:c r="I669" s="13" t="str">
        <x:v>1212920000</x:v>
      </x:c>
      <x:c r="J669" s="13" t="str">
        <x:v>1212920200</x:v>
      </x:c>
      <x:c r="K669" s="13" t="str">
        <x:v>1212920000</x:v>
      </x:c>
      <x:c r="L669" s="13" t="str">
        <x:v>UNRESOLVED</x:v>
      </x:c>
      <x:c r="M669" s="13" t="str"/>
      <x:c r="N669" s="13" t="str">
        <x:v>NO / DEFAULT</x:v>
      </x:c>
      <x:c r="O669" s="13" t="str"/>
      <x:c r="P669" s="13" t="str">
        <x:v>NO / DEFAULT</x:v>
      </x:c>
      <x:c r="Q669" s="13" t="str"/>
      <x:c r="R669" s="13" t="str">
        <x:v>INDEPENDENT / DEFAULT</x:v>
      </x:c>
      <x:c r="S669" s="13" t="str"/>
      <x:c r="T669" s="13" t="str">
        <x:v>UNRESOLVED</x:v>
      </x:c>
      <x:c r="U669" s="13" t="str"/>
      <x:c r="V669" s="13" t="str"/>
      <x:c r="W669" s="13" t="str"/>
      <x:c r="X669" s="13" t="str">
        <x:f>IF(L669&lt;&gt;"COVERED","HELD — COVERAGE",IF(N669="YES — SENSITIVE","C ACTIONABLE","CHAPTER 5 DEFAULT"))</x:f>
        <x:v>HELD — COVERAGE</x:v>
      </x:c>
      <x:c r="Y669" s="13" t="str">
        <x:f>IF(L669&lt;&gt;"COVERED","HELD — COVERAGE",IF(P669="YES — MANAGED ACCESS","D ACTIONABLE","NO D FIELD"))</x:f>
        <x:v>HELD — COVERAGE</x:v>
      </x:c>
      <x:c r="Z669" s="13" t="str">
        <x:f>IF(L669&lt;&gt;"COVERED","HELD — COVERAGE",IF(OR(R669="PAIRED SYNCHRONIZED",R669="TRILATERAL SYNCHRONIZED"),"E ACTIONABLE","INDEPENDENT"))</x:f>
        <x:v>HELD — COVERAGE</x:v>
      </x:c>
      <x:c r="AA669" s="13" t="str">
        <x:f>IF(L669&lt;&gt;"COVERED","HELD — COVERAGE","WAIT FOR UPSTREAM COMPLETION")</x:f>
        <x:v>HELD — COVERAGE</x:v>
      </x:c>
      <x:c r="AB669" s="13" t="str">
        <x:f>IF(L669&lt;&gt;"COVERED","HELD — COVERAGE",IF(T669="UNRESOLVED","G DECISION REQUIRED",IF(T669="NOT APPLICABLE","G N/A","G ACTIONABLE")))</x:f>
        <x:v>HELD — COVERAGE</x:v>
      </x:c>
      <x:c r="AC669" s="13" t="str">
        <x:f>IF(L669="UNRESOLVED","COVERAGE FIRST",IF(OR(L669="EXCLUDED",L669="OUT OF SCOPE"),"CLOSED BY COVERAGE",IF(AND(L669="COVERED",T669&lt;&gt;"UNRESOLVED"),"PARTIALLY ADOPTED","DECISIONS REMAIN")))</x:f>
        <x:v>COVERAGE FIRST</x:v>
      </x:c>
    </x:row>
    <x:row r="670">
      <x:c r="A670" s="13" t="str">
        <x:v>NAAFTC-HS6-121293</x:v>
      </x:c>
      <x:c r="B670" s="13" t="str">
        <x:v>121293</x:v>
      </x:c>
      <x:c r="C670" s="13" t="str">
        <x:v>12</x:v>
      </x:c>
      <x:c r="D670" s="13" t="str">
        <x:v>TRILATERAL_1_TO_1_TO_1</x:v>
      </x:c>
      <x:c r="E670" s="13" t="str">
        <x:v>Pending</x:v>
      </x:c>
      <x:c r="F670" s="13" t="n">
        <x:v>1</x:v>
      </x:c>
      <x:c r="G670" s="13" t="n">
        <x:v>1</x:v>
      </x:c>
      <x:c r="H670" s="13" t="n">
        <x:v>1</x:v>
      </x:c>
      <x:c r="I670" s="13" t="str">
        <x:v>1212930000</x:v>
      </x:c>
      <x:c r="J670" s="13" t="str">
        <x:v>1212930100</x:v>
      </x:c>
      <x:c r="K670" s="13" t="str">
        <x:v>1212930000</x:v>
      </x:c>
      <x:c r="L670" s="13" t="str">
        <x:v>UNRESOLVED</x:v>
      </x:c>
      <x:c r="M670" s="13" t="str"/>
      <x:c r="N670" s="13" t="str">
        <x:v>NO / DEFAULT</x:v>
      </x:c>
      <x:c r="O670" s="13" t="str"/>
      <x:c r="P670" s="13" t="str">
        <x:v>NO / DEFAULT</x:v>
      </x:c>
      <x:c r="Q670" s="13" t="str"/>
      <x:c r="R670" s="13" t="str">
        <x:v>INDEPENDENT / DEFAULT</x:v>
      </x:c>
      <x:c r="S670" s="13" t="str"/>
      <x:c r="T670" s="13" t="str">
        <x:v>UNRESOLVED</x:v>
      </x:c>
      <x:c r="U670" s="13" t="str"/>
      <x:c r="V670" s="13" t="str"/>
      <x:c r="W670" s="13" t="str"/>
      <x:c r="X670" s="13" t="str">
        <x:f>IF(L670&lt;&gt;"COVERED","HELD — COVERAGE",IF(N670="YES — SENSITIVE","C ACTIONABLE","CHAPTER 5 DEFAULT"))</x:f>
        <x:v>HELD — COVERAGE</x:v>
      </x:c>
      <x:c r="Y670" s="13" t="str">
        <x:f>IF(L670&lt;&gt;"COVERED","HELD — COVERAGE",IF(P670="YES — MANAGED ACCESS","D ACTIONABLE","NO D FIELD"))</x:f>
        <x:v>HELD — COVERAGE</x:v>
      </x:c>
      <x:c r="Z670" s="13" t="str">
        <x:f>IF(L670&lt;&gt;"COVERED","HELD — COVERAGE",IF(OR(R670="PAIRED SYNCHRONIZED",R670="TRILATERAL SYNCHRONIZED"),"E ACTIONABLE","INDEPENDENT"))</x:f>
        <x:v>HELD — COVERAGE</x:v>
      </x:c>
      <x:c r="AA670" s="13" t="str">
        <x:f>IF(L670&lt;&gt;"COVERED","HELD — COVERAGE","WAIT FOR UPSTREAM COMPLETION")</x:f>
        <x:v>HELD — COVERAGE</x:v>
      </x:c>
      <x:c r="AB670" s="13" t="str">
        <x:f>IF(L670&lt;&gt;"COVERED","HELD — COVERAGE",IF(T670="UNRESOLVED","G DECISION REQUIRED",IF(T670="NOT APPLICABLE","G N/A","G ACTIONABLE")))</x:f>
        <x:v>HELD — COVERAGE</x:v>
      </x:c>
      <x:c r="AC670" s="13" t="str">
        <x:f>IF(L670="UNRESOLVED","COVERAGE FIRST",IF(OR(L670="EXCLUDED",L670="OUT OF SCOPE"),"CLOSED BY COVERAGE",IF(AND(L670="COVERED",T670&lt;&gt;"UNRESOLVED"),"PARTIALLY ADOPTED","DECISIONS REMAIN")))</x:f>
        <x:v>COVERAGE FIRST</x:v>
      </x:c>
    </x:row>
    <x:row r="671">
      <x:c r="A671" s="13" t="str">
        <x:v>NAAFTC-HS6-121294</x:v>
      </x:c>
      <x:c r="B671" s="13" t="str">
        <x:v>121294</x:v>
      </x:c>
      <x:c r="C671" s="13" t="str">
        <x:v>12</x:v>
      </x:c>
      <x:c r="D671" s="13" t="str">
        <x:v>TRILATERAL_1_TO_1_TO_1</x:v>
      </x:c>
      <x:c r="E671" s="13" t="str">
        <x:v>Pending</x:v>
      </x:c>
      <x:c r="F671" s="13" t="n">
        <x:v>1</x:v>
      </x:c>
      <x:c r="G671" s="13" t="n">
        <x:v>1</x:v>
      </x:c>
      <x:c r="H671" s="13" t="n">
        <x:v>1</x:v>
      </x:c>
      <x:c r="I671" s="13" t="str">
        <x:v>1212940000</x:v>
      </x:c>
      <x:c r="J671" s="13" t="str">
        <x:v>1212940200</x:v>
      </x:c>
      <x:c r="K671" s="13" t="str">
        <x:v>1212940000</x:v>
      </x:c>
      <x:c r="L671" s="13" t="str">
        <x:v>UNRESOLVED</x:v>
      </x:c>
      <x:c r="M671" s="13" t="str"/>
      <x:c r="N671" s="13" t="str">
        <x:v>NO / DEFAULT</x:v>
      </x:c>
      <x:c r="O671" s="13" t="str"/>
      <x:c r="P671" s="13" t="str">
        <x:v>NO / DEFAULT</x:v>
      </x:c>
      <x:c r="Q671" s="13" t="str"/>
      <x:c r="R671" s="13" t="str">
        <x:v>INDEPENDENT / DEFAULT</x:v>
      </x:c>
      <x:c r="S671" s="13" t="str"/>
      <x:c r="T671" s="13" t="str">
        <x:v>UNRESOLVED</x:v>
      </x:c>
      <x:c r="U671" s="13" t="str"/>
      <x:c r="V671" s="13" t="str"/>
      <x:c r="W671" s="13" t="str"/>
      <x:c r="X671" s="13" t="str">
        <x:f>IF(L671&lt;&gt;"COVERED","HELD — COVERAGE",IF(N671="YES — SENSITIVE","C ACTIONABLE","CHAPTER 5 DEFAULT"))</x:f>
        <x:v>HELD — COVERAGE</x:v>
      </x:c>
      <x:c r="Y671" s="13" t="str">
        <x:f>IF(L671&lt;&gt;"COVERED","HELD — COVERAGE",IF(P671="YES — MANAGED ACCESS","D ACTIONABLE","NO D FIELD"))</x:f>
        <x:v>HELD — COVERAGE</x:v>
      </x:c>
      <x:c r="Z671" s="13" t="str">
        <x:f>IF(L671&lt;&gt;"COVERED","HELD — COVERAGE",IF(OR(R671="PAIRED SYNCHRONIZED",R671="TRILATERAL SYNCHRONIZED"),"E ACTIONABLE","INDEPENDENT"))</x:f>
        <x:v>HELD — COVERAGE</x:v>
      </x:c>
      <x:c r="AA671" s="13" t="str">
        <x:f>IF(L671&lt;&gt;"COVERED","HELD — COVERAGE","WAIT FOR UPSTREAM COMPLETION")</x:f>
        <x:v>HELD — COVERAGE</x:v>
      </x:c>
      <x:c r="AB671" s="13" t="str">
        <x:f>IF(L671&lt;&gt;"COVERED","HELD — COVERAGE",IF(T671="UNRESOLVED","G DECISION REQUIRED",IF(T671="NOT APPLICABLE","G N/A","G ACTIONABLE")))</x:f>
        <x:v>HELD — COVERAGE</x:v>
      </x:c>
      <x:c r="AC671" s="13" t="str">
        <x:f>IF(L671="UNRESOLVED","COVERAGE FIRST",IF(OR(L671="EXCLUDED",L671="OUT OF SCOPE"),"CLOSED BY COVERAGE",IF(AND(L671="COVERED",T671&lt;&gt;"UNRESOLVED"),"PARTIALLY ADOPTED","DECISIONS REMAIN")))</x:f>
        <x:v>COVERAGE FIRST</x:v>
      </x:c>
    </x:row>
    <x:row r="672">
      <x:c r="A672" s="13" t="str">
        <x:v>NAAFTC-HS6-121299</x:v>
      </x:c>
      <x:c r="B672" s="13" t="str">
        <x:v>121299</x:v>
      </x:c>
      <x:c r="C672" s="13" t="str">
        <x:v>12</x:v>
      </x:c>
      <x:c r="D672" s="13" t="str">
        <x:v>TRILATERAL_SPLIT_MERGE</x:v>
      </x:c>
      <x:c r="E672" s="13" t="str">
        <x:v>Pending</x:v>
      </x:c>
      <x:c r="F672" s="13" t="n">
        <x:v>3</x:v>
      </x:c>
      <x:c r="G672" s="13" t="n">
        <x:v>1</x:v>
      </x:c>
      <x:c r="H672" s="13" t="n">
        <x:v>1</x:v>
      </x:c>
      <x:c r="I672" s="13" t="str">
        <x:v>1212992000; 1212993000; 1212999200</x:v>
      </x:c>
      <x:c r="J672" s="13" t="str">
        <x:v>1212999900</x:v>
      </x:c>
      <x:c r="K672" s="13" t="str">
        <x:v>1212990000</x:v>
      </x:c>
      <x:c r="L672" s="13" t="str">
        <x:v>UNRESOLVED</x:v>
      </x:c>
      <x:c r="M672" s="13" t="str"/>
      <x:c r="N672" s="13" t="str">
        <x:v>NO / DEFAULT</x:v>
      </x:c>
      <x:c r="O672" s="13" t="str"/>
      <x:c r="P672" s="13" t="str">
        <x:v>NO / DEFAULT</x:v>
      </x:c>
      <x:c r="Q672" s="13" t="str"/>
      <x:c r="R672" s="13" t="str">
        <x:v>INDEPENDENT / DEFAULT</x:v>
      </x:c>
      <x:c r="S672" s="13" t="str"/>
      <x:c r="T672" s="13" t="str">
        <x:v>UNRESOLVED</x:v>
      </x:c>
      <x:c r="U672" s="13" t="str"/>
      <x:c r="V672" s="13" t="str"/>
      <x:c r="W672" s="13" t="str"/>
      <x:c r="X672" s="13" t="str">
        <x:f>IF(L672&lt;&gt;"COVERED","HELD — COVERAGE",IF(N672="YES — SENSITIVE","C ACTIONABLE","CHAPTER 5 DEFAULT"))</x:f>
        <x:v>HELD — COVERAGE</x:v>
      </x:c>
      <x:c r="Y672" s="13" t="str">
        <x:f>IF(L672&lt;&gt;"COVERED","HELD — COVERAGE",IF(P672="YES — MANAGED ACCESS","D ACTIONABLE","NO D FIELD"))</x:f>
        <x:v>HELD — COVERAGE</x:v>
      </x:c>
      <x:c r="Z672" s="13" t="str">
        <x:f>IF(L672&lt;&gt;"COVERED","HELD — COVERAGE",IF(OR(R672="PAIRED SYNCHRONIZED",R672="TRILATERAL SYNCHRONIZED"),"E ACTIONABLE","INDEPENDENT"))</x:f>
        <x:v>HELD — COVERAGE</x:v>
      </x:c>
      <x:c r="AA672" s="13" t="str">
        <x:f>IF(L672&lt;&gt;"COVERED","HELD — COVERAGE","WAIT FOR UPSTREAM COMPLETION")</x:f>
        <x:v>HELD — COVERAGE</x:v>
      </x:c>
      <x:c r="AB672" s="13" t="str">
        <x:f>IF(L672&lt;&gt;"COVERED","HELD — COVERAGE",IF(T672="UNRESOLVED","G DECISION REQUIRED",IF(T672="NOT APPLICABLE","G N/A","G ACTIONABLE")))</x:f>
        <x:v>HELD — COVERAGE</x:v>
      </x:c>
      <x:c r="AC672" s="13" t="str">
        <x:f>IF(L672="UNRESOLVED","COVERAGE FIRST",IF(OR(L672="EXCLUDED",L672="OUT OF SCOPE"),"CLOSED BY COVERAGE",IF(AND(L672="COVERED",T672&lt;&gt;"UNRESOLVED"),"PARTIALLY ADOPTED","DECISIONS REMAIN")))</x:f>
        <x:v>COVERAGE FIRST</x:v>
      </x:c>
    </x:row>
    <x:row r="673">
      <x:c r="A673" s="13" t="str">
        <x:v>NAAFTC-HS6-121300</x:v>
      </x:c>
      <x:c r="B673" s="13" t="str">
        <x:v>121300</x:v>
      </x:c>
      <x:c r="C673" s="13" t="str">
        <x:v>12</x:v>
      </x:c>
      <x:c r="D673" s="13" t="str">
        <x:v>TRILATERAL_1_TO_1_TO_1</x:v>
      </x:c>
      <x:c r="E673" s="13" t="str">
        <x:v>Pending</x:v>
      </x:c>
      <x:c r="F673" s="13" t="n">
        <x:v>1</x:v>
      </x:c>
      <x:c r="G673" s="13" t="n">
        <x:v>1</x:v>
      </x:c>
      <x:c r="H673" s="13" t="n">
        <x:v>1</x:v>
      </x:c>
      <x:c r="I673" s="13" t="str">
        <x:v>1213000000</x:v>
      </x:c>
      <x:c r="J673" s="13" t="str">
        <x:v>1213000100</x:v>
      </x:c>
      <x:c r="K673" s="13" t="str">
        <x:v>1213000000</x:v>
      </x:c>
      <x:c r="L673" s="13" t="str">
        <x:v>UNRESOLVED</x:v>
      </x:c>
      <x:c r="M673" s="13" t="str"/>
      <x:c r="N673" s="13" t="str">
        <x:v>NO / DEFAULT</x:v>
      </x:c>
      <x:c r="O673" s="13" t="str"/>
      <x:c r="P673" s="13" t="str">
        <x:v>NO / DEFAULT</x:v>
      </x:c>
      <x:c r="Q673" s="13" t="str"/>
      <x:c r="R673" s="13" t="str">
        <x:v>INDEPENDENT / DEFAULT</x:v>
      </x:c>
      <x:c r="S673" s="13" t="str"/>
      <x:c r="T673" s="13" t="str">
        <x:v>UNRESOLVED</x:v>
      </x:c>
      <x:c r="U673" s="13" t="str"/>
      <x:c r="V673" s="13" t="str"/>
      <x:c r="W673" s="13" t="str"/>
      <x:c r="X673" s="13" t="str">
        <x:f>IF(L673&lt;&gt;"COVERED","HELD — COVERAGE",IF(N673="YES — SENSITIVE","C ACTIONABLE","CHAPTER 5 DEFAULT"))</x:f>
        <x:v>HELD — COVERAGE</x:v>
      </x:c>
      <x:c r="Y673" s="13" t="str">
        <x:f>IF(L673&lt;&gt;"COVERED","HELD — COVERAGE",IF(P673="YES — MANAGED ACCESS","D ACTIONABLE","NO D FIELD"))</x:f>
        <x:v>HELD — COVERAGE</x:v>
      </x:c>
      <x:c r="Z673" s="13" t="str">
        <x:f>IF(L673&lt;&gt;"COVERED","HELD — COVERAGE",IF(OR(R673="PAIRED SYNCHRONIZED",R673="TRILATERAL SYNCHRONIZED"),"E ACTIONABLE","INDEPENDENT"))</x:f>
        <x:v>HELD — COVERAGE</x:v>
      </x:c>
      <x:c r="AA673" s="13" t="str">
        <x:f>IF(L673&lt;&gt;"COVERED","HELD — COVERAGE","WAIT FOR UPSTREAM COMPLETION")</x:f>
        <x:v>HELD — COVERAGE</x:v>
      </x:c>
      <x:c r="AB673" s="13" t="str">
        <x:f>IF(L673&lt;&gt;"COVERED","HELD — COVERAGE",IF(T673="UNRESOLVED","G DECISION REQUIRED",IF(T673="NOT APPLICABLE","G N/A","G ACTIONABLE")))</x:f>
        <x:v>HELD — COVERAGE</x:v>
      </x:c>
      <x:c r="AC673" s="13" t="str">
        <x:f>IF(L673="UNRESOLVED","COVERAGE FIRST",IF(OR(L673="EXCLUDED",L673="OUT OF SCOPE"),"CLOSED BY COVERAGE",IF(AND(L673="COVERED",T673&lt;&gt;"UNRESOLVED"),"PARTIALLY ADOPTED","DECISIONS REMAIN")))</x:f>
        <x:v>COVERAGE FIRST</x:v>
      </x:c>
    </x:row>
    <x:row r="674">
      <x:c r="A674" s="13" t="str">
        <x:v>NAAFTC-HS6-121410</x:v>
      </x:c>
      <x:c r="B674" s="13" t="str">
        <x:v>121410</x:v>
      </x:c>
      <x:c r="C674" s="13" t="str">
        <x:v>12</x:v>
      </x:c>
      <x:c r="D674" s="13" t="str">
        <x:v>TRILATERAL_SPLIT_MERGE</x:v>
      </x:c>
      <x:c r="E674" s="13" t="str">
        <x:v>Pending</x:v>
      </x:c>
      <x:c r="F674" s="13" t="n">
        <x:v>5</x:v>
      </x:c>
      <x:c r="G674" s="13" t="n">
        <x:v>1</x:v>
      </x:c>
      <x:c r="H674" s="13" t="n">
        <x:v>1</x:v>
      </x:c>
      <x:c r="I674" s="13" t="str">
        <x:v>1214100010; 1214100015; 1214100030; 1214100050; 1214100060</x:v>
      </x:c>
      <x:c r="J674" s="13" t="str">
        <x:v>1214100100</x:v>
      </x:c>
      <x:c r="K674" s="13" t="str">
        <x:v>1214100000</x:v>
      </x:c>
      <x:c r="L674" s="13" t="str">
        <x:v>UNRESOLVED</x:v>
      </x:c>
      <x:c r="M674" s="13" t="str"/>
      <x:c r="N674" s="13" t="str">
        <x:v>NO / DEFAULT</x:v>
      </x:c>
      <x:c r="O674" s="13" t="str"/>
      <x:c r="P674" s="13" t="str">
        <x:v>NO / DEFAULT</x:v>
      </x:c>
      <x:c r="Q674" s="13" t="str"/>
      <x:c r="R674" s="13" t="str">
        <x:v>INDEPENDENT / DEFAULT</x:v>
      </x:c>
      <x:c r="S674" s="13" t="str"/>
      <x:c r="T674" s="13" t="str">
        <x:v>UNRESOLVED</x:v>
      </x:c>
      <x:c r="U674" s="13" t="str"/>
      <x:c r="V674" s="13" t="str"/>
      <x:c r="W674" s="13" t="str"/>
      <x:c r="X674" s="13" t="str">
        <x:f>IF(L674&lt;&gt;"COVERED","HELD — COVERAGE",IF(N674="YES — SENSITIVE","C ACTIONABLE","CHAPTER 5 DEFAULT"))</x:f>
        <x:v>HELD — COVERAGE</x:v>
      </x:c>
      <x:c r="Y674" s="13" t="str">
        <x:f>IF(L674&lt;&gt;"COVERED","HELD — COVERAGE",IF(P674="YES — MANAGED ACCESS","D ACTIONABLE","NO D FIELD"))</x:f>
        <x:v>HELD — COVERAGE</x:v>
      </x:c>
      <x:c r="Z674" s="13" t="str">
        <x:f>IF(L674&lt;&gt;"COVERED","HELD — COVERAGE",IF(OR(R674="PAIRED SYNCHRONIZED",R674="TRILATERAL SYNCHRONIZED"),"E ACTIONABLE","INDEPENDENT"))</x:f>
        <x:v>HELD — COVERAGE</x:v>
      </x:c>
      <x:c r="AA674" s="13" t="str">
        <x:f>IF(L674&lt;&gt;"COVERED","HELD — COVERAGE","WAIT FOR UPSTREAM COMPLETION")</x:f>
        <x:v>HELD — COVERAGE</x:v>
      </x:c>
      <x:c r="AB674" s="13" t="str">
        <x:f>IF(L674&lt;&gt;"COVERED","HELD — COVERAGE",IF(T674="UNRESOLVED","G DECISION REQUIRED",IF(T674="NOT APPLICABLE","G N/A","G ACTIONABLE")))</x:f>
        <x:v>HELD — COVERAGE</x:v>
      </x:c>
      <x:c r="AC674" s="13" t="str">
        <x:f>IF(L674="UNRESOLVED","COVERAGE FIRST",IF(OR(L674="EXCLUDED",L674="OUT OF SCOPE"),"CLOSED BY COVERAGE",IF(AND(L674="COVERED",T674&lt;&gt;"UNRESOLVED"),"PARTIALLY ADOPTED","DECISIONS REMAIN")))</x:f>
        <x:v>COVERAGE FIRST</x:v>
      </x:c>
    </x:row>
    <x:row r="675">
      <x:c r="A675" s="13" t="str">
        <x:v>NAAFTC-HS6-121490</x:v>
      </x:c>
      <x:c r="B675" s="13" t="str">
        <x:v>121490</x:v>
      </x:c>
      <x:c r="C675" s="13" t="str">
        <x:v>12</x:v>
      </x:c>
      <x:c r="D675" s="13" t="str">
        <x:v>TRILATERAL_SPLIT_MERGE</x:v>
      </x:c>
      <x:c r="E675" s="13" t="str">
        <x:v>Pending</x:v>
      </x:c>
      <x:c r="F675" s="13" t="n">
        <x:v>5</x:v>
      </x:c>
      <x:c r="G675" s="13" t="n">
        <x:v>2</x:v>
      </x:c>
      <x:c r="H675" s="13" t="n">
        <x:v>1</x:v>
      </x:c>
      <x:c r="I675" s="13" t="str">
        <x:v>1214900010; 1214900018; 1214900025; 1214900030; 1214900090</x:v>
      </x:c>
      <x:c r="J675" s="13" t="str">
        <x:v>1214900100; 1214909900</x:v>
      </x:c>
      <x:c r="K675" s="13" t="str">
        <x:v>12149000</x:v>
      </x:c>
      <x:c r="L675" s="13" t="str">
        <x:v>UNRESOLVED</x:v>
      </x:c>
      <x:c r="M675" s="13" t="str"/>
      <x:c r="N675" s="13" t="str">
        <x:v>NO / DEFAULT</x:v>
      </x:c>
      <x:c r="O675" s="13" t="str"/>
      <x:c r="P675" s="13" t="str">
        <x:v>NO / DEFAULT</x:v>
      </x:c>
      <x:c r="Q675" s="13" t="str"/>
      <x:c r="R675" s="13" t="str">
        <x:v>INDEPENDENT / DEFAULT</x:v>
      </x:c>
      <x:c r="S675" s="13" t="str"/>
      <x:c r="T675" s="13" t="str">
        <x:v>UNRESOLVED</x:v>
      </x:c>
      <x:c r="U675" s="13" t="str"/>
      <x:c r="V675" s="13" t="str"/>
      <x:c r="W675" s="13" t="str"/>
      <x:c r="X675" s="13" t="str">
        <x:f>IF(L675&lt;&gt;"COVERED","HELD — COVERAGE",IF(N675="YES — SENSITIVE","C ACTIONABLE","CHAPTER 5 DEFAULT"))</x:f>
        <x:v>HELD — COVERAGE</x:v>
      </x:c>
      <x:c r="Y675" s="13" t="str">
        <x:f>IF(L675&lt;&gt;"COVERED","HELD — COVERAGE",IF(P675="YES — MANAGED ACCESS","D ACTIONABLE","NO D FIELD"))</x:f>
        <x:v>HELD — COVERAGE</x:v>
      </x:c>
      <x:c r="Z675" s="13" t="str">
        <x:f>IF(L675&lt;&gt;"COVERED","HELD — COVERAGE",IF(OR(R675="PAIRED SYNCHRONIZED",R675="TRILATERAL SYNCHRONIZED"),"E ACTIONABLE","INDEPENDENT"))</x:f>
        <x:v>HELD — COVERAGE</x:v>
      </x:c>
      <x:c r="AA675" s="13" t="str">
        <x:f>IF(L675&lt;&gt;"COVERED","HELD — COVERAGE","WAIT FOR UPSTREAM COMPLETION")</x:f>
        <x:v>HELD — COVERAGE</x:v>
      </x:c>
      <x:c r="AB675" s="13" t="str">
        <x:f>IF(L675&lt;&gt;"COVERED","HELD — COVERAGE",IF(T675="UNRESOLVED","G DECISION REQUIRED",IF(T675="NOT APPLICABLE","G N/A","G ACTIONABLE")))</x:f>
        <x:v>HELD — COVERAGE</x:v>
      </x:c>
      <x:c r="AC675" s="13" t="str">
        <x:f>IF(L675="UNRESOLVED","COVERAGE FIRST",IF(OR(L675="EXCLUDED",L675="OUT OF SCOPE"),"CLOSED BY COVERAGE",IF(AND(L675="COVERED",T675&lt;&gt;"UNRESOLVED"),"PARTIALLY ADOPTED","DECISIONS REMAIN")))</x:f>
        <x:v>COVERAGE FIRST</x:v>
      </x:c>
    </x:row>
    <x:row r="676">
      <x:c r="A676" s="13" t="str">
        <x:v>NAAFTC-HS6-130120</x:v>
      </x:c>
      <x:c r="B676" s="13" t="str">
        <x:v>130120</x:v>
      </x:c>
      <x:c r="C676" s="13" t="str">
        <x:v>13</x:v>
      </x:c>
      <x:c r="D676" s="13" t="str">
        <x:v>TRILATERAL_1_TO_1_TO_1</x:v>
      </x:c>
      <x:c r="E676" s="13" t="str">
        <x:v>Pending</x:v>
      </x:c>
      <x:c r="F676" s="13" t="n">
        <x:v>1</x:v>
      </x:c>
      <x:c r="G676" s="13" t="n">
        <x:v>1</x:v>
      </x:c>
      <x:c r="H676" s="13" t="n">
        <x:v>1</x:v>
      </x:c>
      <x:c r="I676" s="13" t="str">
        <x:v>1301200000</x:v>
      </x:c>
      <x:c r="J676" s="13" t="str">
        <x:v>1301200100</x:v>
      </x:c>
      <x:c r="K676" s="13" t="str">
        <x:v>1301200000</x:v>
      </x:c>
      <x:c r="L676" s="13" t="str">
        <x:v>UNRESOLVED</x:v>
      </x:c>
      <x:c r="M676" s="13" t="str"/>
      <x:c r="N676" s="13" t="str">
        <x:v>NO / DEFAULT</x:v>
      </x:c>
      <x:c r="O676" s="13" t="str"/>
      <x:c r="P676" s="13" t="str">
        <x:v>NO / DEFAULT</x:v>
      </x:c>
      <x:c r="Q676" s="13" t="str"/>
      <x:c r="R676" s="13" t="str">
        <x:v>INDEPENDENT / DEFAULT</x:v>
      </x:c>
      <x:c r="S676" s="13" t="str"/>
      <x:c r="T676" s="13" t="str">
        <x:v>UNRESOLVED</x:v>
      </x:c>
      <x:c r="U676" s="13" t="str"/>
      <x:c r="V676" s="13" t="str"/>
      <x:c r="W676" s="13" t="str"/>
      <x:c r="X676" s="13" t="str">
        <x:f>IF(L676&lt;&gt;"COVERED","HELD — COVERAGE",IF(N676="YES — SENSITIVE","C ACTIONABLE","CHAPTER 5 DEFAULT"))</x:f>
        <x:v>HELD — COVERAGE</x:v>
      </x:c>
      <x:c r="Y676" s="13" t="str">
        <x:f>IF(L676&lt;&gt;"COVERED","HELD — COVERAGE",IF(P676="YES — MANAGED ACCESS","D ACTIONABLE","NO D FIELD"))</x:f>
        <x:v>HELD — COVERAGE</x:v>
      </x:c>
      <x:c r="Z676" s="13" t="str">
        <x:f>IF(L676&lt;&gt;"COVERED","HELD — COVERAGE",IF(OR(R676="PAIRED SYNCHRONIZED",R676="TRILATERAL SYNCHRONIZED"),"E ACTIONABLE","INDEPENDENT"))</x:f>
        <x:v>HELD — COVERAGE</x:v>
      </x:c>
      <x:c r="AA676" s="13" t="str">
        <x:f>IF(L676&lt;&gt;"COVERED","HELD — COVERAGE","WAIT FOR UPSTREAM COMPLETION")</x:f>
        <x:v>HELD — COVERAGE</x:v>
      </x:c>
      <x:c r="AB676" s="13" t="str">
        <x:f>IF(L676&lt;&gt;"COVERED","HELD — COVERAGE",IF(T676="UNRESOLVED","G DECISION REQUIRED",IF(T676="NOT APPLICABLE","G N/A","G ACTIONABLE")))</x:f>
        <x:v>HELD — COVERAGE</x:v>
      </x:c>
      <x:c r="AC676" s="13" t="str">
        <x:f>IF(L676="UNRESOLVED","COVERAGE FIRST",IF(OR(L676="EXCLUDED",L676="OUT OF SCOPE"),"CLOSED BY COVERAGE",IF(AND(L676="COVERED",T676&lt;&gt;"UNRESOLVED"),"PARTIALLY ADOPTED","DECISIONS REMAIN")))</x:f>
        <x:v>COVERAGE FIRST</x:v>
      </x:c>
    </x:row>
    <x:row r="677">
      <x:c r="A677" s="13" t="str">
        <x:v>NAAFTC-HS6-130190</x:v>
      </x:c>
      <x:c r="B677" s="13" t="str">
        <x:v>130190</x:v>
      </x:c>
      <x:c r="C677" s="13" t="str">
        <x:v>13</x:v>
      </x:c>
      <x:c r="D677" s="13" t="str">
        <x:v>TRILATERAL_SPLIT_MERGE</x:v>
      </x:c>
      <x:c r="E677" s="13" t="str">
        <x:v>Pending</x:v>
      </x:c>
      <x:c r="F677" s="13" t="n">
        <x:v>7</x:v>
      </x:c>
      <x:c r="G677" s="13" t="n">
        <x:v>1</x:v>
      </x:c>
      <x:c r="H677" s="13" t="n">
        <x:v>1</x:v>
      </x:c>
      <x:c r="I677" s="13" t="str">
        <x:v>1301904000; 1301909105; 1301909110; 1301909120; 1301909130; 1301909140; +1 more</x:v>
      </x:c>
      <x:c r="J677" s="13" t="str">
        <x:v>1301909900</x:v>
      </x:c>
      <x:c r="K677" s="13" t="str">
        <x:v>13019000</x:v>
      </x:c>
      <x:c r="L677" s="13" t="str">
        <x:v>UNRESOLVED</x:v>
      </x:c>
      <x:c r="M677" s="13" t="str"/>
      <x:c r="N677" s="13" t="str">
        <x:v>NO / DEFAULT</x:v>
      </x:c>
      <x:c r="O677" s="13" t="str"/>
      <x:c r="P677" s="13" t="str">
        <x:v>NO / DEFAULT</x:v>
      </x:c>
      <x:c r="Q677" s="13" t="str"/>
      <x:c r="R677" s="13" t="str">
        <x:v>INDEPENDENT / DEFAULT</x:v>
      </x:c>
      <x:c r="S677" s="13" t="str"/>
      <x:c r="T677" s="13" t="str">
        <x:v>UNRESOLVED</x:v>
      </x:c>
      <x:c r="U677" s="13" t="str"/>
      <x:c r="V677" s="13" t="str"/>
      <x:c r="W677" s="13" t="str"/>
      <x:c r="X677" s="13" t="str">
        <x:f>IF(L677&lt;&gt;"COVERED","HELD — COVERAGE",IF(N677="YES — SENSITIVE","C ACTIONABLE","CHAPTER 5 DEFAULT"))</x:f>
        <x:v>HELD — COVERAGE</x:v>
      </x:c>
      <x:c r="Y677" s="13" t="str">
        <x:f>IF(L677&lt;&gt;"COVERED","HELD — COVERAGE",IF(P677="YES — MANAGED ACCESS","D ACTIONABLE","NO D FIELD"))</x:f>
        <x:v>HELD — COVERAGE</x:v>
      </x:c>
      <x:c r="Z677" s="13" t="str">
        <x:f>IF(L677&lt;&gt;"COVERED","HELD — COVERAGE",IF(OR(R677="PAIRED SYNCHRONIZED",R677="TRILATERAL SYNCHRONIZED"),"E ACTIONABLE","INDEPENDENT"))</x:f>
        <x:v>HELD — COVERAGE</x:v>
      </x:c>
      <x:c r="AA677" s="13" t="str">
        <x:f>IF(L677&lt;&gt;"COVERED","HELD — COVERAGE","WAIT FOR UPSTREAM COMPLETION")</x:f>
        <x:v>HELD — COVERAGE</x:v>
      </x:c>
      <x:c r="AB677" s="13" t="str">
        <x:f>IF(L677&lt;&gt;"COVERED","HELD — COVERAGE",IF(T677="UNRESOLVED","G DECISION REQUIRED",IF(T677="NOT APPLICABLE","G N/A","G ACTIONABLE")))</x:f>
        <x:v>HELD — COVERAGE</x:v>
      </x:c>
      <x:c r="AC677" s="13" t="str">
        <x:f>IF(L677="UNRESOLVED","COVERAGE FIRST",IF(OR(L677="EXCLUDED",L677="OUT OF SCOPE"),"CLOSED BY COVERAGE",IF(AND(L677="COVERED",T677&lt;&gt;"UNRESOLVED"),"PARTIALLY ADOPTED","DECISIONS REMAIN")))</x:f>
        <x:v>COVERAGE FIRST</x:v>
      </x:c>
    </x:row>
    <x:row r="678">
      <x:c r="A678" s="13" t="str">
        <x:v>NAAFTC-HS6-130211</x:v>
      </x:c>
      <x:c r="B678" s="13" t="str">
        <x:v>130211</x:v>
      </x:c>
      <x:c r="C678" s="13" t="str">
        <x:v>13</x:v>
      </x:c>
      <x:c r="D678" s="13" t="str">
        <x:v>TRILATERAL_1_TO_1_TO_1</x:v>
      </x:c>
      <x:c r="E678" s="13" t="str">
        <x:v>Pending</x:v>
      </x:c>
      <x:c r="F678" s="13" t="n">
        <x:v>1</x:v>
      </x:c>
      <x:c r="G678" s="13" t="n">
        <x:v>1</x:v>
      </x:c>
      <x:c r="H678" s="13" t="n">
        <x:v>1</x:v>
      </x:c>
      <x:c r="I678" s="13" t="str">
        <x:v>1302110000</x:v>
      </x:c>
      <x:c r="J678" s="13" t="str">
        <x:v>1302119900</x:v>
      </x:c>
      <x:c r="K678" s="13" t="str">
        <x:v>1302110000</x:v>
      </x:c>
      <x:c r="L678" s="13" t="str">
        <x:v>UNRESOLVED</x:v>
      </x:c>
      <x:c r="M678" s="13" t="str"/>
      <x:c r="N678" s="13" t="str">
        <x:v>NO / DEFAULT</x:v>
      </x:c>
      <x:c r="O678" s="13" t="str"/>
      <x:c r="P678" s="13" t="str">
        <x:v>NO / DEFAULT</x:v>
      </x:c>
      <x:c r="Q678" s="13" t="str"/>
      <x:c r="R678" s="13" t="str">
        <x:v>INDEPENDENT / DEFAULT</x:v>
      </x:c>
      <x:c r="S678" s="13" t="str"/>
      <x:c r="T678" s="13" t="str">
        <x:v>UNRESOLVED</x:v>
      </x:c>
      <x:c r="U678" s="13" t="str"/>
      <x:c r="V678" s="13" t="str"/>
      <x:c r="W678" s="13" t="str"/>
      <x:c r="X678" s="13" t="str">
        <x:f>IF(L678&lt;&gt;"COVERED","HELD — COVERAGE",IF(N678="YES — SENSITIVE","C ACTIONABLE","CHAPTER 5 DEFAULT"))</x:f>
        <x:v>HELD — COVERAGE</x:v>
      </x:c>
      <x:c r="Y678" s="13" t="str">
        <x:f>IF(L678&lt;&gt;"COVERED","HELD — COVERAGE",IF(P678="YES — MANAGED ACCESS","D ACTIONABLE","NO D FIELD"))</x:f>
        <x:v>HELD — COVERAGE</x:v>
      </x:c>
      <x:c r="Z678" s="13" t="str">
        <x:f>IF(L678&lt;&gt;"COVERED","HELD — COVERAGE",IF(OR(R678="PAIRED SYNCHRONIZED",R678="TRILATERAL SYNCHRONIZED"),"E ACTIONABLE","INDEPENDENT"))</x:f>
        <x:v>HELD — COVERAGE</x:v>
      </x:c>
      <x:c r="AA678" s="13" t="str">
        <x:f>IF(L678&lt;&gt;"COVERED","HELD — COVERAGE","WAIT FOR UPSTREAM COMPLETION")</x:f>
        <x:v>HELD — COVERAGE</x:v>
      </x:c>
      <x:c r="AB678" s="13" t="str">
        <x:f>IF(L678&lt;&gt;"COVERED","HELD — COVERAGE",IF(T678="UNRESOLVED","G DECISION REQUIRED",IF(T678="NOT APPLICABLE","G N/A","G ACTIONABLE")))</x:f>
        <x:v>HELD — COVERAGE</x:v>
      </x:c>
      <x:c r="AC678" s="13" t="str">
        <x:f>IF(L678="UNRESOLVED","COVERAGE FIRST",IF(OR(L678="EXCLUDED",L678="OUT OF SCOPE"),"CLOSED BY COVERAGE",IF(AND(L678="COVERED",T678&lt;&gt;"UNRESOLVED"),"PARTIALLY ADOPTED","DECISIONS REMAIN")))</x:f>
        <x:v>COVERAGE FIRST</x:v>
      </x:c>
    </x:row>
    <x:row r="679">
      <x:c r="A679" s="13" t="str">
        <x:v>NAAFTC-HS6-130212</x:v>
      </x:c>
      <x:c r="B679" s="13" t="str">
        <x:v>130212</x:v>
      </x:c>
      <x:c r="C679" s="13" t="str">
        <x:v>13</x:v>
      </x:c>
      <x:c r="D679" s="13" t="str">
        <x:v>TRILATERAL_SPLIT_MERGE</x:v>
      </x:c>
      <x:c r="E679" s="13" t="str">
        <x:v>Pending</x:v>
      </x:c>
      <x:c r="F679" s="13" t="n">
        <x:v>1</x:v>
      </x:c>
      <x:c r="G679" s="13" t="n">
        <x:v>2</x:v>
      </x:c>
      <x:c r="H679" s="13" t="n">
        <x:v>1</x:v>
      </x:c>
      <x:c r="I679" s="13" t="str">
        <x:v>1302120000</x:v>
      </x:c>
      <x:c r="J679" s="13" t="str">
        <x:v>1302120201; 1302120299</x:v>
      </x:c>
      <x:c r="K679" s="13" t="str">
        <x:v>1302120000</x:v>
      </x:c>
      <x:c r="L679" s="13" t="str">
        <x:v>UNRESOLVED</x:v>
      </x:c>
      <x:c r="M679" s="13" t="str"/>
      <x:c r="N679" s="13" t="str">
        <x:v>NO / DEFAULT</x:v>
      </x:c>
      <x:c r="O679" s="13" t="str"/>
      <x:c r="P679" s="13" t="str">
        <x:v>NO / DEFAULT</x:v>
      </x:c>
      <x:c r="Q679" s="13" t="str"/>
      <x:c r="R679" s="13" t="str">
        <x:v>INDEPENDENT / DEFAULT</x:v>
      </x:c>
      <x:c r="S679" s="13" t="str"/>
      <x:c r="T679" s="13" t="str">
        <x:v>UNRESOLVED</x:v>
      </x:c>
      <x:c r="U679" s="13" t="str"/>
      <x:c r="V679" s="13" t="str"/>
      <x:c r="W679" s="13" t="str"/>
      <x:c r="X679" s="13" t="str">
        <x:f>IF(L679&lt;&gt;"COVERED","HELD — COVERAGE",IF(N679="YES — SENSITIVE","C ACTIONABLE","CHAPTER 5 DEFAULT"))</x:f>
        <x:v>HELD — COVERAGE</x:v>
      </x:c>
      <x:c r="Y679" s="13" t="str">
        <x:f>IF(L679&lt;&gt;"COVERED","HELD — COVERAGE",IF(P679="YES — MANAGED ACCESS","D ACTIONABLE","NO D FIELD"))</x:f>
        <x:v>HELD — COVERAGE</x:v>
      </x:c>
      <x:c r="Z679" s="13" t="str">
        <x:f>IF(L679&lt;&gt;"COVERED","HELD — COVERAGE",IF(OR(R679="PAIRED SYNCHRONIZED",R679="TRILATERAL SYNCHRONIZED"),"E ACTIONABLE","INDEPENDENT"))</x:f>
        <x:v>HELD — COVERAGE</x:v>
      </x:c>
      <x:c r="AA679" s="13" t="str">
        <x:f>IF(L679&lt;&gt;"COVERED","HELD — COVERAGE","WAIT FOR UPSTREAM COMPLETION")</x:f>
        <x:v>HELD — COVERAGE</x:v>
      </x:c>
      <x:c r="AB679" s="13" t="str">
        <x:f>IF(L679&lt;&gt;"COVERED","HELD — COVERAGE",IF(T679="UNRESOLVED","G DECISION REQUIRED",IF(T679="NOT APPLICABLE","G N/A","G ACTIONABLE")))</x:f>
        <x:v>HELD — COVERAGE</x:v>
      </x:c>
      <x:c r="AC679" s="13" t="str">
        <x:f>IF(L679="UNRESOLVED","COVERAGE FIRST",IF(OR(L679="EXCLUDED",L679="OUT OF SCOPE"),"CLOSED BY COVERAGE",IF(AND(L679="COVERED",T679&lt;&gt;"UNRESOLVED"),"PARTIALLY ADOPTED","DECISIONS REMAIN")))</x:f>
        <x:v>COVERAGE FIRST</x:v>
      </x:c>
    </x:row>
    <x:row r="680">
      <x:c r="A680" s="13" t="str">
        <x:v>NAAFTC-HS6-130213</x:v>
      </x:c>
      <x:c r="B680" s="13" t="str">
        <x:v>130213</x:v>
      </x:c>
      <x:c r="C680" s="13" t="str">
        <x:v>13</x:v>
      </x:c>
      <x:c r="D680" s="13" t="str">
        <x:v>TRILATERAL_1_TO_1_TO_1</x:v>
      </x:c>
      <x:c r="E680" s="13" t="str">
        <x:v>Pending</x:v>
      </x:c>
      <x:c r="F680" s="13" t="n">
        <x:v>1</x:v>
      </x:c>
      <x:c r="G680" s="13" t="n">
        <x:v>1</x:v>
      </x:c>
      <x:c r="H680" s="13" t="n">
        <x:v>1</x:v>
      </x:c>
      <x:c r="I680" s="13" t="str">
        <x:v>1302130000</x:v>
      </x:c>
      <x:c r="J680" s="13" t="str">
        <x:v>1302130100</x:v>
      </x:c>
      <x:c r="K680" s="13" t="str">
        <x:v>1302130000</x:v>
      </x:c>
      <x:c r="L680" s="13" t="str">
        <x:v>UNRESOLVED</x:v>
      </x:c>
      <x:c r="M680" s="13" t="str"/>
      <x:c r="N680" s="13" t="str">
        <x:v>NO / DEFAULT</x:v>
      </x:c>
      <x:c r="O680" s="13" t="str"/>
      <x:c r="P680" s="13" t="str">
        <x:v>NO / DEFAULT</x:v>
      </x:c>
      <x:c r="Q680" s="13" t="str"/>
      <x:c r="R680" s="13" t="str">
        <x:v>INDEPENDENT / DEFAULT</x:v>
      </x:c>
      <x:c r="S680" s="13" t="str"/>
      <x:c r="T680" s="13" t="str">
        <x:v>UNRESOLVED</x:v>
      </x:c>
      <x:c r="U680" s="13" t="str"/>
      <x:c r="V680" s="13" t="str"/>
      <x:c r="W680" s="13" t="str"/>
      <x:c r="X680" s="13" t="str">
        <x:f>IF(L680&lt;&gt;"COVERED","HELD — COVERAGE",IF(N680="YES — SENSITIVE","C ACTIONABLE","CHAPTER 5 DEFAULT"))</x:f>
        <x:v>HELD — COVERAGE</x:v>
      </x:c>
      <x:c r="Y680" s="13" t="str">
        <x:f>IF(L680&lt;&gt;"COVERED","HELD — COVERAGE",IF(P680="YES — MANAGED ACCESS","D ACTIONABLE","NO D FIELD"))</x:f>
        <x:v>HELD — COVERAGE</x:v>
      </x:c>
      <x:c r="Z680" s="13" t="str">
        <x:f>IF(L680&lt;&gt;"COVERED","HELD — COVERAGE",IF(OR(R680="PAIRED SYNCHRONIZED",R680="TRILATERAL SYNCHRONIZED"),"E ACTIONABLE","INDEPENDENT"))</x:f>
        <x:v>HELD — COVERAGE</x:v>
      </x:c>
      <x:c r="AA680" s="13" t="str">
        <x:f>IF(L680&lt;&gt;"COVERED","HELD — COVERAGE","WAIT FOR UPSTREAM COMPLETION")</x:f>
        <x:v>HELD — COVERAGE</x:v>
      </x:c>
      <x:c r="AB680" s="13" t="str">
        <x:f>IF(L680&lt;&gt;"COVERED","HELD — COVERAGE",IF(T680="UNRESOLVED","G DECISION REQUIRED",IF(T680="NOT APPLICABLE","G N/A","G ACTIONABLE")))</x:f>
        <x:v>HELD — COVERAGE</x:v>
      </x:c>
      <x:c r="AC680" s="13" t="str">
        <x:f>IF(L680="UNRESOLVED","COVERAGE FIRST",IF(OR(L680="EXCLUDED",L680="OUT OF SCOPE"),"CLOSED BY COVERAGE",IF(AND(L680="COVERED",T680&lt;&gt;"UNRESOLVED"),"PARTIALLY ADOPTED","DECISIONS REMAIN")))</x:f>
        <x:v>COVERAGE FIRST</x:v>
      </x:c>
    </x:row>
    <x:row r="681">
      <x:c r="A681" s="13" t="str">
        <x:v>NAAFTC-HS6-130214</x:v>
      </x:c>
      <x:c r="B681" s="13" t="str">
        <x:v>130214</x:v>
      </x:c>
      <x:c r="C681" s="13" t="str">
        <x:v>13</x:v>
      </x:c>
      <x:c r="D681" s="13" t="str">
        <x:v>TRILATERAL_1_TO_1_TO_1</x:v>
      </x:c>
      <x:c r="E681" s="13" t="str">
        <x:v>Pending</x:v>
      </x:c>
      <x:c r="F681" s="13" t="n">
        <x:v>1</x:v>
      </x:c>
      <x:c r="G681" s="13" t="n">
        <x:v>1</x:v>
      </x:c>
      <x:c r="H681" s="13" t="n">
        <x:v>1</x:v>
      </x:c>
      <x:c r="I681" s="13" t="str">
        <x:v>1302140100</x:v>
      </x:c>
      <x:c r="J681" s="13" t="str">
        <x:v>1302140100</x:v>
      </x:c>
      <x:c r="K681" s="13" t="str">
        <x:v>1302140000</x:v>
      </x:c>
      <x:c r="L681" s="13" t="str">
        <x:v>UNRESOLVED</x:v>
      </x:c>
      <x:c r="M681" s="13" t="str"/>
      <x:c r="N681" s="13" t="str">
        <x:v>NO / DEFAULT</x:v>
      </x:c>
      <x:c r="O681" s="13" t="str"/>
      <x:c r="P681" s="13" t="str">
        <x:v>NO / DEFAULT</x:v>
      </x:c>
      <x:c r="Q681" s="13" t="str"/>
      <x:c r="R681" s="13" t="str">
        <x:v>INDEPENDENT / DEFAULT</x:v>
      </x:c>
      <x:c r="S681" s="13" t="str"/>
      <x:c r="T681" s="13" t="str">
        <x:v>UNRESOLVED</x:v>
      </x:c>
      <x:c r="U681" s="13" t="str"/>
      <x:c r="V681" s="13" t="str"/>
      <x:c r="W681" s="13" t="str"/>
      <x:c r="X681" s="13" t="str">
        <x:f>IF(L681&lt;&gt;"COVERED","HELD — COVERAGE",IF(N681="YES — SENSITIVE","C ACTIONABLE","CHAPTER 5 DEFAULT"))</x:f>
        <x:v>HELD — COVERAGE</x:v>
      </x:c>
      <x:c r="Y681" s="13" t="str">
        <x:f>IF(L681&lt;&gt;"COVERED","HELD — COVERAGE",IF(P681="YES — MANAGED ACCESS","D ACTIONABLE","NO D FIELD"))</x:f>
        <x:v>HELD — COVERAGE</x:v>
      </x:c>
      <x:c r="Z681" s="13" t="str">
        <x:f>IF(L681&lt;&gt;"COVERED","HELD — COVERAGE",IF(OR(R681="PAIRED SYNCHRONIZED",R681="TRILATERAL SYNCHRONIZED"),"E ACTIONABLE","INDEPENDENT"))</x:f>
        <x:v>HELD — COVERAGE</x:v>
      </x:c>
      <x:c r="AA681" s="13" t="str">
        <x:f>IF(L681&lt;&gt;"COVERED","HELD — COVERAGE","WAIT FOR UPSTREAM COMPLETION")</x:f>
        <x:v>HELD — COVERAGE</x:v>
      </x:c>
      <x:c r="AB681" s="13" t="str">
        <x:f>IF(L681&lt;&gt;"COVERED","HELD — COVERAGE",IF(T681="UNRESOLVED","G DECISION REQUIRED",IF(T681="NOT APPLICABLE","G N/A","G ACTIONABLE")))</x:f>
        <x:v>HELD — COVERAGE</x:v>
      </x:c>
      <x:c r="AC681" s="13" t="str">
        <x:f>IF(L681="UNRESOLVED","COVERAGE FIRST",IF(OR(L681="EXCLUDED",L681="OUT OF SCOPE"),"CLOSED BY COVERAGE",IF(AND(L681="COVERED",T681&lt;&gt;"UNRESOLVED"),"PARTIALLY ADOPTED","DECISIONS REMAIN")))</x:f>
        <x:v>COVERAGE FIRST</x:v>
      </x:c>
    </x:row>
    <x:row r="682">
      <x:c r="A682" s="13" t="str">
        <x:v>NAAFTC-HS6-130219</x:v>
      </x:c>
      <x:c r="B682" s="13" t="str">
        <x:v>130219</x:v>
      </x:c>
      <x:c r="C682" s="13" t="str">
        <x:v>13</x:v>
      </x:c>
      <x:c r="D682" s="13" t="str">
        <x:v>TRILATERAL_SPLIT_MERGE</x:v>
      </x:c>
      <x:c r="E682" s="13" t="str">
        <x:v>Pending</x:v>
      </x:c>
      <x:c r="F682" s="13" t="n">
        <x:v>6</x:v>
      </x:c>
      <x:c r="G682" s="13" t="n">
        <x:v>13</x:v>
      </x:c>
      <x:c r="H682" s="13" t="n">
        <x:v>1</x:v>
      </x:c>
      <x:c r="I682" s="13" t="str">
        <x:v>1302192100; 1302194120; 1302194140; 1302199120; 1302199145; 1302199155</x:v>
      </x:c>
      <x:c r="J682" s="13" t="str">
        <x:v>1302190100; 1302190300; 1302190400; 1302190500; 1302190600; 1302190700; +7 more</x:v>
      </x:c>
      <x:c r="K682" s="13" t="str">
        <x:v>13021900</x:v>
      </x:c>
      <x:c r="L682" s="13" t="str">
        <x:v>UNRESOLVED</x:v>
      </x:c>
      <x:c r="M682" s="13" t="str"/>
      <x:c r="N682" s="13" t="str">
        <x:v>NO / DEFAULT</x:v>
      </x:c>
      <x:c r="O682" s="13" t="str"/>
      <x:c r="P682" s="13" t="str">
        <x:v>NO / DEFAULT</x:v>
      </x:c>
      <x:c r="Q682" s="13" t="str"/>
      <x:c r="R682" s="13" t="str">
        <x:v>INDEPENDENT / DEFAULT</x:v>
      </x:c>
      <x:c r="S682" s="13" t="str"/>
      <x:c r="T682" s="13" t="str">
        <x:v>UNRESOLVED</x:v>
      </x:c>
      <x:c r="U682" s="13" t="str"/>
      <x:c r="V682" s="13" t="str"/>
      <x:c r="W682" s="13" t="str"/>
      <x:c r="X682" s="13" t="str">
        <x:f>IF(L682&lt;&gt;"COVERED","HELD — COVERAGE",IF(N682="YES — SENSITIVE","C ACTIONABLE","CHAPTER 5 DEFAULT"))</x:f>
        <x:v>HELD — COVERAGE</x:v>
      </x:c>
      <x:c r="Y682" s="13" t="str">
        <x:f>IF(L682&lt;&gt;"COVERED","HELD — COVERAGE",IF(P682="YES — MANAGED ACCESS","D ACTIONABLE","NO D FIELD"))</x:f>
        <x:v>HELD — COVERAGE</x:v>
      </x:c>
      <x:c r="Z682" s="13" t="str">
        <x:f>IF(L682&lt;&gt;"COVERED","HELD — COVERAGE",IF(OR(R682="PAIRED SYNCHRONIZED",R682="TRILATERAL SYNCHRONIZED"),"E ACTIONABLE","INDEPENDENT"))</x:f>
        <x:v>HELD — COVERAGE</x:v>
      </x:c>
      <x:c r="AA682" s="13" t="str">
        <x:f>IF(L682&lt;&gt;"COVERED","HELD — COVERAGE","WAIT FOR UPSTREAM COMPLETION")</x:f>
        <x:v>HELD — COVERAGE</x:v>
      </x:c>
      <x:c r="AB682" s="13" t="str">
        <x:f>IF(L682&lt;&gt;"COVERED","HELD — COVERAGE",IF(T682="UNRESOLVED","G DECISION REQUIRED",IF(T682="NOT APPLICABLE","G N/A","G ACTIONABLE")))</x:f>
        <x:v>HELD — COVERAGE</x:v>
      </x:c>
      <x:c r="AC682" s="13" t="str">
        <x:f>IF(L682="UNRESOLVED","COVERAGE FIRST",IF(OR(L682="EXCLUDED",L682="OUT OF SCOPE"),"CLOSED BY COVERAGE",IF(AND(L682="COVERED",T682&lt;&gt;"UNRESOLVED"),"PARTIALLY ADOPTED","DECISIONS REMAIN")))</x:f>
        <x:v>COVERAGE FIRST</x:v>
      </x:c>
    </x:row>
    <x:row r="683">
      <x:c r="A683" s="13" t="str">
        <x:v>NAAFTC-HS6-130220</x:v>
      </x:c>
      <x:c r="B683" s="13" t="str">
        <x:v>130220</x:v>
      </x:c>
      <x:c r="C683" s="13" t="str">
        <x:v>13</x:v>
      </x:c>
      <x:c r="D683" s="13" t="str">
        <x:v>TRILATERAL_SPLIT_MERGE</x:v>
      </x:c>
      <x:c r="E683" s="13" t="str">
        <x:v>Pending</x:v>
      </x:c>
      <x:c r="F683" s="13" t="n">
        <x:v>1</x:v>
      </x:c>
      <x:c r="G683" s="13" t="n">
        <x:v>2</x:v>
      </x:c>
      <x:c r="H683" s="13" t="n">
        <x:v>1</x:v>
      </x:c>
      <x:c r="I683" s="13" t="str">
        <x:v>1302200000</x:v>
      </x:c>
      <x:c r="J683" s="13" t="str">
        <x:v>1302200201; 1302200299</x:v>
      </x:c>
      <x:c r="K683" s="13" t="str">
        <x:v>1302200000</x:v>
      </x:c>
      <x:c r="L683" s="13" t="str">
        <x:v>UNRESOLVED</x:v>
      </x:c>
      <x:c r="M683" s="13" t="str"/>
      <x:c r="N683" s="13" t="str">
        <x:v>NO / DEFAULT</x:v>
      </x:c>
      <x:c r="O683" s="13" t="str"/>
      <x:c r="P683" s="13" t="str">
        <x:v>NO / DEFAULT</x:v>
      </x:c>
      <x:c r="Q683" s="13" t="str"/>
      <x:c r="R683" s="13" t="str">
        <x:v>INDEPENDENT / DEFAULT</x:v>
      </x:c>
      <x:c r="S683" s="13" t="str"/>
      <x:c r="T683" s="13" t="str">
        <x:v>UNRESOLVED</x:v>
      </x:c>
      <x:c r="U683" s="13" t="str"/>
      <x:c r="V683" s="13" t="str"/>
      <x:c r="W683" s="13" t="str"/>
      <x:c r="X683" s="13" t="str">
        <x:f>IF(L683&lt;&gt;"COVERED","HELD — COVERAGE",IF(N683="YES — SENSITIVE","C ACTIONABLE","CHAPTER 5 DEFAULT"))</x:f>
        <x:v>HELD — COVERAGE</x:v>
      </x:c>
      <x:c r="Y683" s="13" t="str">
        <x:f>IF(L683&lt;&gt;"COVERED","HELD — COVERAGE",IF(P683="YES — MANAGED ACCESS","D ACTIONABLE","NO D FIELD"))</x:f>
        <x:v>HELD — COVERAGE</x:v>
      </x:c>
      <x:c r="Z683" s="13" t="str">
        <x:f>IF(L683&lt;&gt;"COVERED","HELD — COVERAGE",IF(OR(R683="PAIRED SYNCHRONIZED",R683="TRILATERAL SYNCHRONIZED"),"E ACTIONABLE","INDEPENDENT"))</x:f>
        <x:v>HELD — COVERAGE</x:v>
      </x:c>
      <x:c r="AA683" s="13" t="str">
        <x:f>IF(L683&lt;&gt;"COVERED","HELD — COVERAGE","WAIT FOR UPSTREAM COMPLETION")</x:f>
        <x:v>HELD — COVERAGE</x:v>
      </x:c>
      <x:c r="AB683" s="13" t="str">
        <x:f>IF(L683&lt;&gt;"COVERED","HELD — COVERAGE",IF(T683="UNRESOLVED","G DECISION REQUIRED",IF(T683="NOT APPLICABLE","G N/A","G ACTIONABLE")))</x:f>
        <x:v>HELD — COVERAGE</x:v>
      </x:c>
      <x:c r="AC683" s="13" t="str">
        <x:f>IF(L683="UNRESOLVED","COVERAGE FIRST",IF(OR(L683="EXCLUDED",L683="OUT OF SCOPE"),"CLOSED BY COVERAGE",IF(AND(L683="COVERED",T683&lt;&gt;"UNRESOLVED"),"PARTIALLY ADOPTED","DECISIONS REMAIN")))</x:f>
        <x:v>COVERAGE FIRST</x:v>
      </x:c>
    </x:row>
    <x:row r="684">
      <x:c r="A684" s="13" t="str">
        <x:v>NAAFTC-HS6-130231</x:v>
      </x:c>
      <x:c r="B684" s="13" t="str">
        <x:v>130231</x:v>
      </x:c>
      <x:c r="C684" s="13" t="str">
        <x:v>13</x:v>
      </x:c>
      <x:c r="D684" s="13" t="str">
        <x:v>TRILATERAL_1_TO_1_TO_1</x:v>
      </x:c>
      <x:c r="E684" s="13" t="str">
        <x:v>Pending</x:v>
      </x:c>
      <x:c r="F684" s="13" t="n">
        <x:v>1</x:v>
      </x:c>
      <x:c r="G684" s="13" t="n">
        <x:v>1</x:v>
      </x:c>
      <x:c r="H684" s="13" t="n">
        <x:v>1</x:v>
      </x:c>
      <x:c r="I684" s="13" t="str">
        <x:v>1302310000</x:v>
      </x:c>
      <x:c r="J684" s="13" t="str">
        <x:v>1302310100</x:v>
      </x:c>
      <x:c r="K684" s="13" t="str">
        <x:v>1302310000</x:v>
      </x:c>
      <x:c r="L684" s="13" t="str">
        <x:v>UNRESOLVED</x:v>
      </x:c>
      <x:c r="M684" s="13" t="str"/>
      <x:c r="N684" s="13" t="str">
        <x:v>NO / DEFAULT</x:v>
      </x:c>
      <x:c r="O684" s="13" t="str"/>
      <x:c r="P684" s="13" t="str">
        <x:v>NO / DEFAULT</x:v>
      </x:c>
      <x:c r="Q684" s="13" t="str"/>
      <x:c r="R684" s="13" t="str">
        <x:v>INDEPENDENT / DEFAULT</x:v>
      </x:c>
      <x:c r="S684" s="13" t="str"/>
      <x:c r="T684" s="13" t="str">
        <x:v>UNRESOLVED</x:v>
      </x:c>
      <x:c r="U684" s="13" t="str"/>
      <x:c r="V684" s="13" t="str"/>
      <x:c r="W684" s="13" t="str"/>
      <x:c r="X684" s="13" t="str">
        <x:f>IF(L684&lt;&gt;"COVERED","HELD — COVERAGE",IF(N684="YES — SENSITIVE","C ACTIONABLE","CHAPTER 5 DEFAULT"))</x:f>
        <x:v>HELD — COVERAGE</x:v>
      </x:c>
      <x:c r="Y684" s="13" t="str">
        <x:f>IF(L684&lt;&gt;"COVERED","HELD — COVERAGE",IF(P684="YES — MANAGED ACCESS","D ACTIONABLE","NO D FIELD"))</x:f>
        <x:v>HELD — COVERAGE</x:v>
      </x:c>
      <x:c r="Z684" s="13" t="str">
        <x:f>IF(L684&lt;&gt;"COVERED","HELD — COVERAGE",IF(OR(R684="PAIRED SYNCHRONIZED",R684="TRILATERAL SYNCHRONIZED"),"E ACTIONABLE","INDEPENDENT"))</x:f>
        <x:v>HELD — COVERAGE</x:v>
      </x:c>
      <x:c r="AA684" s="13" t="str">
        <x:f>IF(L684&lt;&gt;"COVERED","HELD — COVERAGE","WAIT FOR UPSTREAM COMPLETION")</x:f>
        <x:v>HELD — COVERAGE</x:v>
      </x:c>
      <x:c r="AB684" s="13" t="str">
        <x:f>IF(L684&lt;&gt;"COVERED","HELD — COVERAGE",IF(T684="UNRESOLVED","G DECISION REQUIRED",IF(T684="NOT APPLICABLE","G N/A","G ACTIONABLE")))</x:f>
        <x:v>HELD — COVERAGE</x:v>
      </x:c>
      <x:c r="AC684" s="13" t="str">
        <x:f>IF(L684="UNRESOLVED","COVERAGE FIRST",IF(OR(L684="EXCLUDED",L684="OUT OF SCOPE"),"CLOSED BY COVERAGE",IF(AND(L684="COVERED",T684&lt;&gt;"UNRESOLVED"),"PARTIALLY ADOPTED","DECISIONS REMAIN")))</x:f>
        <x:v>COVERAGE FIRST</x:v>
      </x:c>
    </x:row>
    <x:row r="685">
      <x:c r="A685" s="13" t="str">
        <x:v>NAAFTC-HS6-130232</x:v>
      </x:c>
      <x:c r="B685" s="13" t="str">
        <x:v>130232</x:v>
      </x:c>
      <x:c r="C685" s="13" t="str">
        <x:v>13</x:v>
      </x:c>
      <x:c r="D685" s="13" t="str">
        <x:v>TRILATERAL_SPLIT_MERGE</x:v>
      </x:c>
      <x:c r="E685" s="13" t="str">
        <x:v>Pending</x:v>
      </x:c>
      <x:c r="F685" s="13" t="n">
        <x:v>2</x:v>
      </x:c>
      <x:c r="G685" s="13" t="n">
        <x:v>3</x:v>
      </x:c>
      <x:c r="H685" s="13" t="n">
        <x:v>1</x:v>
      </x:c>
      <x:c r="I685" s="13" t="str">
        <x:v>1302320020; 1302320040</x:v>
      </x:c>
      <x:c r="J685" s="13" t="str">
        <x:v>1302320100; 1302320200; 1302329900</x:v>
      </x:c>
      <x:c r="K685" s="13" t="str">
        <x:v>13023200</x:v>
      </x:c>
      <x:c r="L685" s="13" t="str">
        <x:v>UNRESOLVED</x:v>
      </x:c>
      <x:c r="M685" s="13" t="str"/>
      <x:c r="N685" s="13" t="str">
        <x:v>NO / DEFAULT</x:v>
      </x:c>
      <x:c r="O685" s="13" t="str"/>
      <x:c r="P685" s="13" t="str">
        <x:v>NO / DEFAULT</x:v>
      </x:c>
      <x:c r="Q685" s="13" t="str"/>
      <x:c r="R685" s="13" t="str">
        <x:v>INDEPENDENT / DEFAULT</x:v>
      </x:c>
      <x:c r="S685" s="13" t="str"/>
      <x:c r="T685" s="13" t="str">
        <x:v>UNRESOLVED</x:v>
      </x:c>
      <x:c r="U685" s="13" t="str"/>
      <x:c r="V685" s="13" t="str"/>
      <x:c r="W685" s="13" t="str"/>
      <x:c r="X685" s="13" t="str">
        <x:f>IF(L685&lt;&gt;"COVERED","HELD — COVERAGE",IF(N685="YES — SENSITIVE","C ACTIONABLE","CHAPTER 5 DEFAULT"))</x:f>
        <x:v>HELD — COVERAGE</x:v>
      </x:c>
      <x:c r="Y685" s="13" t="str">
        <x:f>IF(L685&lt;&gt;"COVERED","HELD — COVERAGE",IF(P685="YES — MANAGED ACCESS","D ACTIONABLE","NO D FIELD"))</x:f>
        <x:v>HELD — COVERAGE</x:v>
      </x:c>
      <x:c r="Z685" s="13" t="str">
        <x:f>IF(L685&lt;&gt;"COVERED","HELD — COVERAGE",IF(OR(R685="PAIRED SYNCHRONIZED",R685="TRILATERAL SYNCHRONIZED"),"E ACTIONABLE","INDEPENDENT"))</x:f>
        <x:v>HELD — COVERAGE</x:v>
      </x:c>
      <x:c r="AA685" s="13" t="str">
        <x:f>IF(L685&lt;&gt;"COVERED","HELD — COVERAGE","WAIT FOR UPSTREAM COMPLETION")</x:f>
        <x:v>HELD — COVERAGE</x:v>
      </x:c>
      <x:c r="AB685" s="13" t="str">
        <x:f>IF(L685&lt;&gt;"COVERED","HELD — COVERAGE",IF(T685="UNRESOLVED","G DECISION REQUIRED",IF(T685="NOT APPLICABLE","G N/A","G ACTIONABLE")))</x:f>
        <x:v>HELD — COVERAGE</x:v>
      </x:c>
      <x:c r="AC685" s="13" t="str">
        <x:f>IF(L685="UNRESOLVED","COVERAGE FIRST",IF(OR(L685="EXCLUDED",L685="OUT OF SCOPE"),"CLOSED BY COVERAGE",IF(AND(L685="COVERED",T685&lt;&gt;"UNRESOLVED"),"PARTIALLY ADOPTED","DECISIONS REMAIN")))</x:f>
        <x:v>COVERAGE FIRST</x:v>
      </x:c>
    </x:row>
    <x:row r="686">
      <x:c r="A686" s="13" t="str">
        <x:v>NAAFTC-HS6-130239</x:v>
      </x:c>
      <x:c r="B686" s="13" t="str">
        <x:v>130239</x:v>
      </x:c>
      <x:c r="C686" s="13" t="str">
        <x:v>13</x:v>
      </x:c>
      <x:c r="D686" s="13" t="str">
        <x:v>TRILATERAL_SPLIT_MERGE</x:v>
      </x:c>
      <x:c r="E686" s="13" t="str">
        <x:v>Pending</x:v>
      </x:c>
      <x:c r="F686" s="13" t="n">
        <x:v>2</x:v>
      </x:c>
      <x:c r="G686" s="13" t="n">
        <x:v>3</x:v>
      </x:c>
      <x:c r="H686" s="13" t="n">
        <x:v>1</x:v>
      </x:c>
      <x:c r="I686" s="13" t="str">
        <x:v>1302390010; 1302390090</x:v>
      </x:c>
      <x:c r="J686" s="13" t="str">
        <x:v>1302390100; 1302390200; 1302399900</x:v>
      </x:c>
      <x:c r="K686" s="13" t="str">
        <x:v>13023900</x:v>
      </x:c>
      <x:c r="L686" s="13" t="str">
        <x:v>UNRESOLVED</x:v>
      </x:c>
      <x:c r="M686" s="13" t="str"/>
      <x:c r="N686" s="13" t="str">
        <x:v>NO / DEFAULT</x:v>
      </x:c>
      <x:c r="O686" s="13" t="str"/>
      <x:c r="P686" s="13" t="str">
        <x:v>NO / DEFAULT</x:v>
      </x:c>
      <x:c r="Q686" s="13" t="str"/>
      <x:c r="R686" s="13" t="str">
        <x:v>INDEPENDENT / DEFAULT</x:v>
      </x:c>
      <x:c r="S686" s="13" t="str"/>
      <x:c r="T686" s="13" t="str">
        <x:v>UNRESOLVED</x:v>
      </x:c>
      <x:c r="U686" s="13" t="str"/>
      <x:c r="V686" s="13" t="str"/>
      <x:c r="W686" s="13" t="str"/>
      <x:c r="X686" s="13" t="str">
        <x:f>IF(L686&lt;&gt;"COVERED","HELD — COVERAGE",IF(N686="YES — SENSITIVE","C ACTIONABLE","CHAPTER 5 DEFAULT"))</x:f>
        <x:v>HELD — COVERAGE</x:v>
      </x:c>
      <x:c r="Y686" s="13" t="str">
        <x:f>IF(L686&lt;&gt;"COVERED","HELD — COVERAGE",IF(P686="YES — MANAGED ACCESS","D ACTIONABLE","NO D FIELD"))</x:f>
        <x:v>HELD — COVERAGE</x:v>
      </x:c>
      <x:c r="Z686" s="13" t="str">
        <x:f>IF(L686&lt;&gt;"COVERED","HELD — COVERAGE",IF(OR(R686="PAIRED SYNCHRONIZED",R686="TRILATERAL SYNCHRONIZED"),"E ACTIONABLE","INDEPENDENT"))</x:f>
        <x:v>HELD — COVERAGE</x:v>
      </x:c>
      <x:c r="AA686" s="13" t="str">
        <x:f>IF(L686&lt;&gt;"COVERED","HELD — COVERAGE","WAIT FOR UPSTREAM COMPLETION")</x:f>
        <x:v>HELD — COVERAGE</x:v>
      </x:c>
      <x:c r="AB686" s="13" t="str">
        <x:f>IF(L686&lt;&gt;"COVERED","HELD — COVERAGE",IF(T686="UNRESOLVED","G DECISION REQUIRED",IF(T686="NOT APPLICABLE","G N/A","G ACTIONABLE")))</x:f>
        <x:v>HELD — COVERAGE</x:v>
      </x:c>
      <x:c r="AC686" s="13" t="str">
        <x:f>IF(L686="UNRESOLVED","COVERAGE FIRST",IF(OR(L686="EXCLUDED",L686="OUT OF SCOPE"),"CLOSED BY COVERAGE",IF(AND(L686="COVERED",T686&lt;&gt;"UNRESOLVED"),"PARTIALLY ADOPTED","DECISIONS REMAIN")))</x:f>
        <x:v>COVERAGE FIRST</x:v>
      </x:c>
    </x:row>
    <x:row r="687">
      <x:c r="A687" s="13" t="str">
        <x:v>NAAFTC-HS6-140110</x:v>
      </x:c>
      <x:c r="B687" s="13" t="str">
        <x:v>140110</x:v>
      </x:c>
      <x:c r="C687" s="13" t="str">
        <x:v>14</x:v>
      </x:c>
      <x:c r="D687" s="13" t="str">
        <x:v>TRILATERAL_1_TO_1_TO_1</x:v>
      </x:c>
      <x:c r="E687" s="13" t="str">
        <x:v>Pending</x:v>
      </x:c>
      <x:c r="F687" s="13" t="n">
        <x:v>1</x:v>
      </x:c>
      <x:c r="G687" s="13" t="n">
        <x:v>1</x:v>
      </x:c>
      <x:c r="H687" s="13" t="n">
        <x:v>1</x:v>
      </x:c>
      <x:c r="I687" s="13" t="str">
        <x:v>1401100000</x:v>
      </x:c>
      <x:c r="J687" s="13" t="str">
        <x:v>1401100100</x:v>
      </x:c>
      <x:c r="K687" s="13" t="str">
        <x:v>1401100000</x:v>
      </x:c>
      <x:c r="L687" s="13" t="str">
        <x:v>UNRESOLVED</x:v>
      </x:c>
      <x:c r="M687" s="13" t="str"/>
      <x:c r="N687" s="13" t="str">
        <x:v>NO / DEFAULT</x:v>
      </x:c>
      <x:c r="O687" s="13" t="str"/>
      <x:c r="P687" s="13" t="str">
        <x:v>NO / DEFAULT</x:v>
      </x:c>
      <x:c r="Q687" s="13" t="str"/>
      <x:c r="R687" s="13" t="str">
        <x:v>INDEPENDENT / DEFAULT</x:v>
      </x:c>
      <x:c r="S687" s="13" t="str"/>
      <x:c r="T687" s="13" t="str">
        <x:v>UNRESOLVED</x:v>
      </x:c>
      <x:c r="U687" s="13" t="str"/>
      <x:c r="V687" s="13" t="str"/>
      <x:c r="W687" s="13" t="str"/>
      <x:c r="X687" s="13" t="str">
        <x:f>IF(L687&lt;&gt;"COVERED","HELD — COVERAGE",IF(N687="YES — SENSITIVE","C ACTIONABLE","CHAPTER 5 DEFAULT"))</x:f>
        <x:v>HELD — COVERAGE</x:v>
      </x:c>
      <x:c r="Y687" s="13" t="str">
        <x:f>IF(L687&lt;&gt;"COVERED","HELD — COVERAGE",IF(P687="YES — MANAGED ACCESS","D ACTIONABLE","NO D FIELD"))</x:f>
        <x:v>HELD — COVERAGE</x:v>
      </x:c>
      <x:c r="Z687" s="13" t="str">
        <x:f>IF(L687&lt;&gt;"COVERED","HELD — COVERAGE",IF(OR(R687="PAIRED SYNCHRONIZED",R687="TRILATERAL SYNCHRONIZED"),"E ACTIONABLE","INDEPENDENT"))</x:f>
        <x:v>HELD — COVERAGE</x:v>
      </x:c>
      <x:c r="AA687" s="13" t="str">
        <x:f>IF(L687&lt;&gt;"COVERED","HELD — COVERAGE","WAIT FOR UPSTREAM COMPLETION")</x:f>
        <x:v>HELD — COVERAGE</x:v>
      </x:c>
      <x:c r="AB687" s="13" t="str">
        <x:f>IF(L687&lt;&gt;"COVERED","HELD — COVERAGE",IF(T687="UNRESOLVED","G DECISION REQUIRED",IF(T687="NOT APPLICABLE","G N/A","G ACTIONABLE")))</x:f>
        <x:v>HELD — COVERAGE</x:v>
      </x:c>
      <x:c r="AC687" s="13" t="str">
        <x:f>IF(L687="UNRESOLVED","COVERAGE FIRST",IF(OR(L687="EXCLUDED",L687="OUT OF SCOPE"),"CLOSED BY COVERAGE",IF(AND(L687="COVERED",T687&lt;&gt;"UNRESOLVED"),"PARTIALLY ADOPTED","DECISIONS REMAIN")))</x:f>
        <x:v>COVERAGE FIRST</x:v>
      </x:c>
    </x:row>
    <x:row r="688">
      <x:c r="A688" s="13" t="str">
        <x:v>NAAFTC-HS6-140120</x:v>
      </x:c>
      <x:c r="B688" s="13" t="str">
        <x:v>140120</x:v>
      </x:c>
      <x:c r="C688" s="13" t="str">
        <x:v>14</x:v>
      </x:c>
      <x:c r="D688" s="13" t="str">
        <x:v>TRILATERAL_SPLIT_MERGE</x:v>
      </x:c>
      <x:c r="E688" s="13" t="str">
        <x:v>Pending</x:v>
      </x:c>
      <x:c r="F688" s="13" t="n">
        <x:v>3</x:v>
      </x:c>
      <x:c r="G688" s="13" t="n">
        <x:v>1</x:v>
      </x:c>
      <x:c r="H688" s="13" t="n">
        <x:v>1</x:v>
      </x:c>
      <x:c r="I688" s="13" t="str">
        <x:v>1401202010; 1401202090; 1401204000</x:v>
      </x:c>
      <x:c r="J688" s="13" t="str">
        <x:v>1401200100</x:v>
      </x:c>
      <x:c r="K688" s="13" t="str">
        <x:v>1401200000</x:v>
      </x:c>
      <x:c r="L688" s="13" t="str">
        <x:v>UNRESOLVED</x:v>
      </x:c>
      <x:c r="M688" s="13" t="str"/>
      <x:c r="N688" s="13" t="str">
        <x:v>NO / DEFAULT</x:v>
      </x:c>
      <x:c r="O688" s="13" t="str"/>
      <x:c r="P688" s="13" t="str">
        <x:v>NO / DEFAULT</x:v>
      </x:c>
      <x:c r="Q688" s="13" t="str"/>
      <x:c r="R688" s="13" t="str">
        <x:v>INDEPENDENT / DEFAULT</x:v>
      </x:c>
      <x:c r="S688" s="13" t="str"/>
      <x:c r="T688" s="13" t="str">
        <x:v>UNRESOLVED</x:v>
      </x:c>
      <x:c r="U688" s="13" t="str"/>
      <x:c r="V688" s="13" t="str"/>
      <x:c r="W688" s="13" t="str"/>
      <x:c r="X688" s="13" t="str">
        <x:f>IF(L688&lt;&gt;"COVERED","HELD — COVERAGE",IF(N688="YES — SENSITIVE","C ACTIONABLE","CHAPTER 5 DEFAULT"))</x:f>
        <x:v>HELD — COVERAGE</x:v>
      </x:c>
      <x:c r="Y688" s="13" t="str">
        <x:f>IF(L688&lt;&gt;"COVERED","HELD — COVERAGE",IF(P688="YES — MANAGED ACCESS","D ACTIONABLE","NO D FIELD"))</x:f>
        <x:v>HELD — COVERAGE</x:v>
      </x:c>
      <x:c r="Z688" s="13" t="str">
        <x:f>IF(L688&lt;&gt;"COVERED","HELD — COVERAGE",IF(OR(R688="PAIRED SYNCHRONIZED",R688="TRILATERAL SYNCHRONIZED"),"E ACTIONABLE","INDEPENDENT"))</x:f>
        <x:v>HELD — COVERAGE</x:v>
      </x:c>
      <x:c r="AA688" s="13" t="str">
        <x:f>IF(L688&lt;&gt;"COVERED","HELD — COVERAGE","WAIT FOR UPSTREAM COMPLETION")</x:f>
        <x:v>HELD — COVERAGE</x:v>
      </x:c>
      <x:c r="AB688" s="13" t="str">
        <x:f>IF(L688&lt;&gt;"COVERED","HELD — COVERAGE",IF(T688="UNRESOLVED","G DECISION REQUIRED",IF(T688="NOT APPLICABLE","G N/A","G ACTIONABLE")))</x:f>
        <x:v>HELD — COVERAGE</x:v>
      </x:c>
      <x:c r="AC688" s="13" t="str">
        <x:f>IF(L688="UNRESOLVED","COVERAGE FIRST",IF(OR(L688="EXCLUDED",L688="OUT OF SCOPE"),"CLOSED BY COVERAGE",IF(AND(L688="COVERED",T688&lt;&gt;"UNRESOLVED"),"PARTIALLY ADOPTED","DECISIONS REMAIN")))</x:f>
        <x:v>COVERAGE FIRST</x:v>
      </x:c>
    </x:row>
    <x:row r="689">
      <x:c r="A689" s="13" t="str">
        <x:v>NAAFTC-HS6-140190</x:v>
      </x:c>
      <x:c r="B689" s="13" t="str">
        <x:v>140190</x:v>
      </x:c>
      <x:c r="C689" s="13" t="str">
        <x:v>14</x:v>
      </x:c>
      <x:c r="D689" s="13" t="str">
        <x:v>TRILATERAL_SPLIT_MERGE</x:v>
      </x:c>
      <x:c r="E689" s="13" t="str">
        <x:v>Pending</x:v>
      </x:c>
      <x:c r="F689" s="13" t="n">
        <x:v>2</x:v>
      </x:c>
      <x:c r="G689" s="13" t="n">
        <x:v>1</x:v>
      </x:c>
      <x:c r="H689" s="13" t="n">
        <x:v>1</x:v>
      </x:c>
      <x:c r="I689" s="13" t="str">
        <x:v>1401902000; 1401904000</x:v>
      </x:c>
      <x:c r="J689" s="13" t="str">
        <x:v>1401909900</x:v>
      </x:c>
      <x:c r="K689" s="13" t="str">
        <x:v>1401900000</x:v>
      </x:c>
      <x:c r="L689" s="13" t="str">
        <x:v>UNRESOLVED</x:v>
      </x:c>
      <x:c r="M689" s="13" t="str"/>
      <x:c r="N689" s="13" t="str">
        <x:v>NO / DEFAULT</x:v>
      </x:c>
      <x:c r="O689" s="13" t="str"/>
      <x:c r="P689" s="13" t="str">
        <x:v>NO / DEFAULT</x:v>
      </x:c>
      <x:c r="Q689" s="13" t="str"/>
      <x:c r="R689" s="13" t="str">
        <x:v>INDEPENDENT / DEFAULT</x:v>
      </x:c>
      <x:c r="S689" s="13" t="str"/>
      <x:c r="T689" s="13" t="str">
        <x:v>UNRESOLVED</x:v>
      </x:c>
      <x:c r="U689" s="13" t="str"/>
      <x:c r="V689" s="13" t="str"/>
      <x:c r="W689" s="13" t="str"/>
      <x:c r="X689" s="13" t="str">
        <x:f>IF(L689&lt;&gt;"COVERED","HELD — COVERAGE",IF(N689="YES — SENSITIVE","C ACTIONABLE","CHAPTER 5 DEFAULT"))</x:f>
        <x:v>HELD — COVERAGE</x:v>
      </x:c>
      <x:c r="Y689" s="13" t="str">
        <x:f>IF(L689&lt;&gt;"COVERED","HELD — COVERAGE",IF(P689="YES — MANAGED ACCESS","D ACTIONABLE","NO D FIELD"))</x:f>
        <x:v>HELD — COVERAGE</x:v>
      </x:c>
      <x:c r="Z689" s="13" t="str">
        <x:f>IF(L689&lt;&gt;"COVERED","HELD — COVERAGE",IF(OR(R689="PAIRED SYNCHRONIZED",R689="TRILATERAL SYNCHRONIZED"),"E ACTIONABLE","INDEPENDENT"))</x:f>
        <x:v>HELD — COVERAGE</x:v>
      </x:c>
      <x:c r="AA689" s="13" t="str">
        <x:f>IF(L689&lt;&gt;"COVERED","HELD — COVERAGE","WAIT FOR UPSTREAM COMPLETION")</x:f>
        <x:v>HELD — COVERAGE</x:v>
      </x:c>
      <x:c r="AB689" s="13" t="str">
        <x:f>IF(L689&lt;&gt;"COVERED","HELD — COVERAGE",IF(T689="UNRESOLVED","G DECISION REQUIRED",IF(T689="NOT APPLICABLE","G N/A","G ACTIONABLE")))</x:f>
        <x:v>HELD — COVERAGE</x:v>
      </x:c>
      <x:c r="AC689" s="13" t="str">
        <x:f>IF(L689="UNRESOLVED","COVERAGE FIRST",IF(OR(L689="EXCLUDED",L689="OUT OF SCOPE"),"CLOSED BY COVERAGE",IF(AND(L689="COVERED",T689&lt;&gt;"UNRESOLVED"),"PARTIALLY ADOPTED","DECISIONS REMAIN")))</x:f>
        <x:v>COVERAGE FIRST</x:v>
      </x:c>
    </x:row>
    <x:row r="690">
      <x:c r="A690" s="13" t="str">
        <x:v>NAAFTC-HS6-140420</x:v>
      </x:c>
      <x:c r="B690" s="13" t="str">
        <x:v>140420</x:v>
      </x:c>
      <x:c r="C690" s="13" t="str">
        <x:v>14</x:v>
      </x:c>
      <x:c r="D690" s="13" t="str">
        <x:v>TRILATERAL_1_TO_1_TO_1</x:v>
      </x:c>
      <x:c r="E690" s="13" t="str">
        <x:v>Pending</x:v>
      </x:c>
      <x:c r="F690" s="13" t="n">
        <x:v>1</x:v>
      </x:c>
      <x:c r="G690" s="13" t="n">
        <x:v>1</x:v>
      </x:c>
      <x:c r="H690" s="13" t="n">
        <x:v>1</x:v>
      </x:c>
      <x:c r="I690" s="13" t="str">
        <x:v>1404200000</x:v>
      </x:c>
      <x:c r="J690" s="13" t="str">
        <x:v>1404200100</x:v>
      </x:c>
      <x:c r="K690" s="13" t="str">
        <x:v>1404200000</x:v>
      </x:c>
      <x:c r="L690" s="13" t="str">
        <x:v>UNRESOLVED</x:v>
      </x:c>
      <x:c r="M690" s="13" t="str"/>
      <x:c r="N690" s="13" t="str">
        <x:v>NO / DEFAULT</x:v>
      </x:c>
      <x:c r="O690" s="13" t="str"/>
      <x:c r="P690" s="13" t="str">
        <x:v>NO / DEFAULT</x:v>
      </x:c>
      <x:c r="Q690" s="13" t="str"/>
      <x:c r="R690" s="13" t="str">
        <x:v>INDEPENDENT / DEFAULT</x:v>
      </x:c>
      <x:c r="S690" s="13" t="str"/>
      <x:c r="T690" s="13" t="str">
        <x:v>UNRESOLVED</x:v>
      </x:c>
      <x:c r="U690" s="13" t="str"/>
      <x:c r="V690" s="13" t="str"/>
      <x:c r="W690" s="13" t="str"/>
      <x:c r="X690" s="13" t="str">
        <x:f>IF(L690&lt;&gt;"COVERED","HELD — COVERAGE",IF(N690="YES — SENSITIVE","C ACTIONABLE","CHAPTER 5 DEFAULT"))</x:f>
        <x:v>HELD — COVERAGE</x:v>
      </x:c>
      <x:c r="Y690" s="13" t="str">
        <x:f>IF(L690&lt;&gt;"COVERED","HELD — COVERAGE",IF(P690="YES — MANAGED ACCESS","D ACTIONABLE","NO D FIELD"))</x:f>
        <x:v>HELD — COVERAGE</x:v>
      </x:c>
      <x:c r="Z690" s="13" t="str">
        <x:f>IF(L690&lt;&gt;"COVERED","HELD — COVERAGE",IF(OR(R690="PAIRED SYNCHRONIZED",R690="TRILATERAL SYNCHRONIZED"),"E ACTIONABLE","INDEPENDENT"))</x:f>
        <x:v>HELD — COVERAGE</x:v>
      </x:c>
      <x:c r="AA690" s="13" t="str">
        <x:f>IF(L690&lt;&gt;"COVERED","HELD — COVERAGE","WAIT FOR UPSTREAM COMPLETION")</x:f>
        <x:v>HELD — COVERAGE</x:v>
      </x:c>
      <x:c r="AB690" s="13" t="str">
        <x:f>IF(L690&lt;&gt;"COVERED","HELD — COVERAGE",IF(T690="UNRESOLVED","G DECISION REQUIRED",IF(T690="NOT APPLICABLE","G N/A","G ACTIONABLE")))</x:f>
        <x:v>HELD — COVERAGE</x:v>
      </x:c>
      <x:c r="AC690" s="13" t="str">
        <x:f>IF(L690="UNRESOLVED","COVERAGE FIRST",IF(OR(L690="EXCLUDED",L690="OUT OF SCOPE"),"CLOSED BY COVERAGE",IF(AND(L690="COVERED",T690&lt;&gt;"UNRESOLVED"),"PARTIALLY ADOPTED","DECISIONS REMAIN")))</x:f>
        <x:v>COVERAGE FIRST</x:v>
      </x:c>
    </x:row>
    <x:row r="691">
      <x:c r="A691" s="13" t="str">
        <x:v>NAAFTC-HS6-140490</x:v>
      </x:c>
      <x:c r="B691" s="13" t="str">
        <x:v>140490</x:v>
      </x:c>
      <x:c r="C691" s="13" t="str">
        <x:v>14</x:v>
      </x:c>
      <x:c r="D691" s="13" t="str">
        <x:v>TRILATERAL_SPLIT_MERGE</x:v>
      </x:c>
      <x:c r="E691" s="13" t="str">
        <x:v>Pending</x:v>
      </x:c>
      <x:c r="F691" s="13" t="n">
        <x:v>7</x:v>
      </x:c>
      <x:c r="G691" s="13" t="n">
        <x:v>4</x:v>
      </x:c>
      <x:c r="H691" s="13" t="n">
        <x:v>1</x:v>
      </x:c>
      <x:c r="I691" s="13" t="str">
        <x:v>1404901000; 1404902000; 1404903000; 1404904000; 1404909020; 1404909040; +1 more</x:v>
      </x:c>
      <x:c r="J691" s="13" t="str">
        <x:v>1404909901; 1404909902; 1404909991; 1404909999</x:v>
      </x:c>
      <x:c r="K691" s="13" t="str">
        <x:v>1404900000</x:v>
      </x:c>
      <x:c r="L691" s="13" t="str">
        <x:v>UNRESOLVED</x:v>
      </x:c>
      <x:c r="M691" s="13" t="str"/>
      <x:c r="N691" s="13" t="str">
        <x:v>NO / DEFAULT</x:v>
      </x:c>
      <x:c r="O691" s="13" t="str"/>
      <x:c r="P691" s="13" t="str">
        <x:v>NO / DEFAULT</x:v>
      </x:c>
      <x:c r="Q691" s="13" t="str"/>
      <x:c r="R691" s="13" t="str">
        <x:v>INDEPENDENT / DEFAULT</x:v>
      </x:c>
      <x:c r="S691" s="13" t="str"/>
      <x:c r="T691" s="13" t="str">
        <x:v>UNRESOLVED</x:v>
      </x:c>
      <x:c r="U691" s="13" t="str"/>
      <x:c r="V691" s="13" t="str"/>
      <x:c r="W691" s="13" t="str"/>
      <x:c r="X691" s="13" t="str">
        <x:f>IF(L691&lt;&gt;"COVERED","HELD — COVERAGE",IF(N691="YES — SENSITIVE","C ACTIONABLE","CHAPTER 5 DEFAULT"))</x:f>
        <x:v>HELD — COVERAGE</x:v>
      </x:c>
      <x:c r="Y691" s="13" t="str">
        <x:f>IF(L691&lt;&gt;"COVERED","HELD — COVERAGE",IF(P691="YES — MANAGED ACCESS","D ACTIONABLE","NO D FIELD"))</x:f>
        <x:v>HELD — COVERAGE</x:v>
      </x:c>
      <x:c r="Z691" s="13" t="str">
        <x:f>IF(L691&lt;&gt;"COVERED","HELD — COVERAGE",IF(OR(R691="PAIRED SYNCHRONIZED",R691="TRILATERAL SYNCHRONIZED"),"E ACTIONABLE","INDEPENDENT"))</x:f>
        <x:v>HELD — COVERAGE</x:v>
      </x:c>
      <x:c r="AA691" s="13" t="str">
        <x:f>IF(L691&lt;&gt;"COVERED","HELD — COVERAGE","WAIT FOR UPSTREAM COMPLETION")</x:f>
        <x:v>HELD — COVERAGE</x:v>
      </x:c>
      <x:c r="AB691" s="13" t="str">
        <x:f>IF(L691&lt;&gt;"COVERED","HELD — COVERAGE",IF(T691="UNRESOLVED","G DECISION REQUIRED",IF(T691="NOT APPLICABLE","G N/A","G ACTIONABLE")))</x:f>
        <x:v>HELD — COVERAGE</x:v>
      </x:c>
      <x:c r="AC691" s="13" t="str">
        <x:f>IF(L691="UNRESOLVED","COVERAGE FIRST",IF(OR(L691="EXCLUDED",L691="OUT OF SCOPE"),"CLOSED BY COVERAGE",IF(AND(L691="COVERED",T691&lt;&gt;"UNRESOLVED"),"PARTIALLY ADOPTED","DECISIONS REMAIN")))</x:f>
        <x:v>COVERAGE FIRST</x:v>
      </x:c>
    </x:row>
    <x:row r="692">
      <x:c r="A692" s="13" t="str">
        <x:v>NAAFTC-HS6-150110</x:v>
      </x:c>
      <x:c r="B692" s="13" t="str">
        <x:v>150110</x:v>
      </x:c>
      <x:c r="C692" s="13" t="str">
        <x:v>15</x:v>
      </x:c>
      <x:c r="D692" s="13" t="str">
        <x:v>TRILATERAL_1_TO_1_TO_1</x:v>
      </x:c>
      <x:c r="E692" s="13" t="str">
        <x:v>Pending</x:v>
      </x:c>
      <x:c r="F692" s="13" t="n">
        <x:v>1</x:v>
      </x:c>
      <x:c r="G692" s="13" t="n">
        <x:v>1</x:v>
      </x:c>
      <x:c r="H692" s="13" t="n">
        <x:v>1</x:v>
      </x:c>
      <x:c r="I692" s="13" t="str">
        <x:v>1501100000</x:v>
      </x:c>
      <x:c r="J692" s="13" t="str">
        <x:v>1501100100</x:v>
      </x:c>
      <x:c r="K692" s="13" t="str">
        <x:v>1501100000</x:v>
      </x:c>
      <x:c r="L692" s="13" t="str">
        <x:v>UNRESOLVED</x:v>
      </x:c>
      <x:c r="M692" s="13" t="str"/>
      <x:c r="N692" s="13" t="str">
        <x:v>NO / DEFAULT</x:v>
      </x:c>
      <x:c r="O692" s="13" t="str"/>
      <x:c r="P692" s="13" t="str">
        <x:v>NO / DEFAULT</x:v>
      </x:c>
      <x:c r="Q692" s="13" t="str"/>
      <x:c r="R692" s="13" t="str">
        <x:v>INDEPENDENT / DEFAULT</x:v>
      </x:c>
      <x:c r="S692" s="13" t="str"/>
      <x:c r="T692" s="13" t="str">
        <x:v>UNRESOLVED</x:v>
      </x:c>
      <x:c r="U692" s="13" t="str"/>
      <x:c r="V692" s="13" t="str"/>
      <x:c r="W692" s="13" t="str"/>
      <x:c r="X692" s="13" t="str">
        <x:f>IF(L692&lt;&gt;"COVERED","HELD — COVERAGE",IF(N692="YES — SENSITIVE","C ACTIONABLE","CHAPTER 5 DEFAULT"))</x:f>
        <x:v>HELD — COVERAGE</x:v>
      </x:c>
      <x:c r="Y692" s="13" t="str">
        <x:f>IF(L692&lt;&gt;"COVERED","HELD — COVERAGE",IF(P692="YES — MANAGED ACCESS","D ACTIONABLE","NO D FIELD"))</x:f>
        <x:v>HELD — COVERAGE</x:v>
      </x:c>
      <x:c r="Z692" s="13" t="str">
        <x:f>IF(L692&lt;&gt;"COVERED","HELD — COVERAGE",IF(OR(R692="PAIRED SYNCHRONIZED",R692="TRILATERAL SYNCHRONIZED"),"E ACTIONABLE","INDEPENDENT"))</x:f>
        <x:v>HELD — COVERAGE</x:v>
      </x:c>
      <x:c r="AA692" s="13" t="str">
        <x:f>IF(L692&lt;&gt;"COVERED","HELD — COVERAGE","WAIT FOR UPSTREAM COMPLETION")</x:f>
        <x:v>HELD — COVERAGE</x:v>
      </x:c>
      <x:c r="AB692" s="13" t="str">
        <x:f>IF(L692&lt;&gt;"COVERED","HELD — COVERAGE",IF(T692="UNRESOLVED","G DECISION REQUIRED",IF(T692="NOT APPLICABLE","G N/A","G ACTIONABLE")))</x:f>
        <x:v>HELD — COVERAGE</x:v>
      </x:c>
      <x:c r="AC692" s="13" t="str">
        <x:f>IF(L692="UNRESOLVED","COVERAGE FIRST",IF(OR(L692="EXCLUDED",L692="OUT OF SCOPE"),"CLOSED BY COVERAGE",IF(AND(L692="COVERED",T692&lt;&gt;"UNRESOLVED"),"PARTIALLY ADOPTED","DECISIONS REMAIN")))</x:f>
        <x:v>COVERAGE FIRST</x:v>
      </x:c>
    </x:row>
    <x:row r="693">
      <x:c r="A693" s="13" t="str">
        <x:v>NAAFTC-HS6-150120</x:v>
      </x:c>
      <x:c r="B693" s="13" t="str">
        <x:v>150120</x:v>
      </x:c>
      <x:c r="C693" s="13" t="str">
        <x:v>15</x:v>
      </x:c>
      <x:c r="D693" s="13" t="str">
        <x:v>TRILATERAL_SPLIT_MERGE</x:v>
      </x:c>
      <x:c r="E693" s="13" t="str">
        <x:v>Pending</x:v>
      </x:c>
      <x:c r="F693" s="13" t="n">
        <x:v>3</x:v>
      </x:c>
      <x:c r="G693" s="13" t="n">
        <x:v>1</x:v>
      </x:c>
      <x:c r="H693" s="13" t="n">
        <x:v>1</x:v>
      </x:c>
      <x:c r="I693" s="13" t="str">
        <x:v>1501200040; 1501200060; 1501200080</x:v>
      </x:c>
      <x:c r="J693" s="13" t="str">
        <x:v>1501209100</x:v>
      </x:c>
      <x:c r="K693" s="13" t="str">
        <x:v>1501200000</x:v>
      </x:c>
      <x:c r="L693" s="13" t="str">
        <x:v>UNRESOLVED</x:v>
      </x:c>
      <x:c r="M693" s="13" t="str"/>
      <x:c r="N693" s="13" t="str">
        <x:v>NO / DEFAULT</x:v>
      </x:c>
      <x:c r="O693" s="13" t="str"/>
      <x:c r="P693" s="13" t="str">
        <x:v>NO / DEFAULT</x:v>
      </x:c>
      <x:c r="Q693" s="13" t="str"/>
      <x:c r="R693" s="13" t="str">
        <x:v>INDEPENDENT / DEFAULT</x:v>
      </x:c>
      <x:c r="S693" s="13" t="str"/>
      <x:c r="T693" s="13" t="str">
        <x:v>UNRESOLVED</x:v>
      </x:c>
      <x:c r="U693" s="13" t="str"/>
      <x:c r="V693" s="13" t="str"/>
      <x:c r="W693" s="13" t="str"/>
      <x:c r="X693" s="13" t="str">
        <x:f>IF(L693&lt;&gt;"COVERED","HELD — COVERAGE",IF(N693="YES — SENSITIVE","C ACTIONABLE","CHAPTER 5 DEFAULT"))</x:f>
        <x:v>HELD — COVERAGE</x:v>
      </x:c>
      <x:c r="Y693" s="13" t="str">
        <x:f>IF(L693&lt;&gt;"COVERED","HELD — COVERAGE",IF(P693="YES — MANAGED ACCESS","D ACTIONABLE","NO D FIELD"))</x:f>
        <x:v>HELD — COVERAGE</x:v>
      </x:c>
      <x:c r="Z693" s="13" t="str">
        <x:f>IF(L693&lt;&gt;"COVERED","HELD — COVERAGE",IF(OR(R693="PAIRED SYNCHRONIZED",R693="TRILATERAL SYNCHRONIZED"),"E ACTIONABLE","INDEPENDENT"))</x:f>
        <x:v>HELD — COVERAGE</x:v>
      </x:c>
      <x:c r="AA693" s="13" t="str">
        <x:f>IF(L693&lt;&gt;"COVERED","HELD — COVERAGE","WAIT FOR UPSTREAM COMPLETION")</x:f>
        <x:v>HELD — COVERAGE</x:v>
      </x:c>
      <x:c r="AB693" s="13" t="str">
        <x:f>IF(L693&lt;&gt;"COVERED","HELD — COVERAGE",IF(T693="UNRESOLVED","G DECISION REQUIRED",IF(T693="NOT APPLICABLE","G N/A","G ACTIONABLE")))</x:f>
        <x:v>HELD — COVERAGE</x:v>
      </x:c>
      <x:c r="AC693" s="13" t="str">
        <x:f>IF(L693="UNRESOLVED","COVERAGE FIRST",IF(OR(L693="EXCLUDED",L693="OUT OF SCOPE"),"CLOSED BY COVERAGE",IF(AND(L693="COVERED",T693&lt;&gt;"UNRESOLVED"),"PARTIALLY ADOPTED","DECISIONS REMAIN")))</x:f>
        <x:v>COVERAGE FIRST</x:v>
      </x:c>
    </x:row>
    <x:row r="694">
      <x:c r="A694" s="13" t="str">
        <x:v>NAAFTC-HS6-150190</x:v>
      </x:c>
      <x:c r="B694" s="13" t="str">
        <x:v>150190</x:v>
      </x:c>
      <x:c r="C694" s="13" t="str">
        <x:v>15</x:v>
      </x:c>
      <x:c r="D694" s="13" t="str">
        <x:v>TRILATERAL_1_TO_1_TO_1</x:v>
      </x:c>
      <x:c r="E694" s="13" t="str">
        <x:v>Pending</x:v>
      </x:c>
      <x:c r="F694" s="13" t="n">
        <x:v>1</x:v>
      </x:c>
      <x:c r="G694" s="13" t="n">
        <x:v>1</x:v>
      </x:c>
      <x:c r="H694" s="13" t="n">
        <x:v>1</x:v>
      </x:c>
      <x:c r="I694" s="13" t="str">
        <x:v>1501900000</x:v>
      </x:c>
      <x:c r="J694" s="13" t="str">
        <x:v>1501909900</x:v>
      </x:c>
      <x:c r="K694" s="13" t="str">
        <x:v>1501900000</x:v>
      </x:c>
      <x:c r="L694" s="13" t="str">
        <x:v>UNRESOLVED</x:v>
      </x:c>
      <x:c r="M694" s="13" t="str"/>
      <x:c r="N694" s="13" t="str">
        <x:v>NO / DEFAULT</x:v>
      </x:c>
      <x:c r="O694" s="13" t="str"/>
      <x:c r="P694" s="13" t="str">
        <x:v>NO / DEFAULT</x:v>
      </x:c>
      <x:c r="Q694" s="13" t="str"/>
      <x:c r="R694" s="13" t="str">
        <x:v>INDEPENDENT / DEFAULT</x:v>
      </x:c>
      <x:c r="S694" s="13" t="str"/>
      <x:c r="T694" s="13" t="str">
        <x:v>UNRESOLVED</x:v>
      </x:c>
      <x:c r="U694" s="13" t="str"/>
      <x:c r="V694" s="13" t="str"/>
      <x:c r="W694" s="13" t="str"/>
      <x:c r="X694" s="13" t="str">
        <x:f>IF(L694&lt;&gt;"COVERED","HELD — COVERAGE",IF(N694="YES — SENSITIVE","C ACTIONABLE","CHAPTER 5 DEFAULT"))</x:f>
        <x:v>HELD — COVERAGE</x:v>
      </x:c>
      <x:c r="Y694" s="13" t="str">
        <x:f>IF(L694&lt;&gt;"COVERED","HELD — COVERAGE",IF(P694="YES — MANAGED ACCESS","D ACTIONABLE","NO D FIELD"))</x:f>
        <x:v>HELD — COVERAGE</x:v>
      </x:c>
      <x:c r="Z694" s="13" t="str">
        <x:f>IF(L694&lt;&gt;"COVERED","HELD — COVERAGE",IF(OR(R694="PAIRED SYNCHRONIZED",R694="TRILATERAL SYNCHRONIZED"),"E ACTIONABLE","INDEPENDENT"))</x:f>
        <x:v>HELD — COVERAGE</x:v>
      </x:c>
      <x:c r="AA694" s="13" t="str">
        <x:f>IF(L694&lt;&gt;"COVERED","HELD — COVERAGE","WAIT FOR UPSTREAM COMPLETION")</x:f>
        <x:v>HELD — COVERAGE</x:v>
      </x:c>
      <x:c r="AB694" s="13" t="str">
        <x:f>IF(L694&lt;&gt;"COVERED","HELD — COVERAGE",IF(T694="UNRESOLVED","G DECISION REQUIRED",IF(T694="NOT APPLICABLE","G N/A","G ACTIONABLE")))</x:f>
        <x:v>HELD — COVERAGE</x:v>
      </x:c>
      <x:c r="AC694" s="13" t="str">
        <x:f>IF(L694="UNRESOLVED","COVERAGE FIRST",IF(OR(L694="EXCLUDED",L694="OUT OF SCOPE"),"CLOSED BY COVERAGE",IF(AND(L694="COVERED",T694&lt;&gt;"UNRESOLVED"),"PARTIALLY ADOPTED","DECISIONS REMAIN")))</x:f>
        <x:v>COVERAGE FIRST</x:v>
      </x:c>
    </x:row>
    <x:row r="695">
      <x:c r="A695" s="13" t="str">
        <x:v>NAAFTC-HS6-150210</x:v>
      </x:c>
      <x:c r="B695" s="13" t="str">
        <x:v>150210</x:v>
      </x:c>
      <x:c r="C695" s="13" t="str">
        <x:v>15</x:v>
      </x:c>
      <x:c r="D695" s="13" t="str">
        <x:v>TRILATERAL_SPLIT_MERGE</x:v>
      </x:c>
      <x:c r="E695" s="13" t="str">
        <x:v>Pending</x:v>
      </x:c>
      <x:c r="F695" s="13" t="n">
        <x:v>2</x:v>
      </x:c>
      <x:c r="G695" s="13" t="n">
        <x:v>1</x:v>
      </x:c>
      <x:c r="H695" s="13" t="n">
        <x:v>1</x:v>
      </x:c>
      <x:c r="I695" s="13" t="str">
        <x:v>1502100020; 1502100040</x:v>
      </x:c>
      <x:c r="J695" s="13" t="str">
        <x:v>1502100100</x:v>
      </x:c>
      <x:c r="K695" s="13" t="str">
        <x:v>15021000</x:v>
      </x:c>
      <x:c r="L695" s="13" t="str">
        <x:v>UNRESOLVED</x:v>
      </x:c>
      <x:c r="M695" s="13" t="str"/>
      <x:c r="N695" s="13" t="str">
        <x:v>NO / DEFAULT</x:v>
      </x:c>
      <x:c r="O695" s="13" t="str"/>
      <x:c r="P695" s="13" t="str">
        <x:v>NO / DEFAULT</x:v>
      </x:c>
      <x:c r="Q695" s="13" t="str"/>
      <x:c r="R695" s="13" t="str">
        <x:v>INDEPENDENT / DEFAULT</x:v>
      </x:c>
      <x:c r="S695" s="13" t="str"/>
      <x:c r="T695" s="13" t="str">
        <x:v>UNRESOLVED</x:v>
      </x:c>
      <x:c r="U695" s="13" t="str"/>
      <x:c r="V695" s="13" t="str"/>
      <x:c r="W695" s="13" t="str"/>
      <x:c r="X695" s="13" t="str">
        <x:f>IF(L695&lt;&gt;"COVERED","HELD — COVERAGE",IF(N695="YES — SENSITIVE","C ACTIONABLE","CHAPTER 5 DEFAULT"))</x:f>
        <x:v>HELD — COVERAGE</x:v>
      </x:c>
      <x:c r="Y695" s="13" t="str">
        <x:f>IF(L695&lt;&gt;"COVERED","HELD — COVERAGE",IF(P695="YES — MANAGED ACCESS","D ACTIONABLE","NO D FIELD"))</x:f>
        <x:v>HELD — COVERAGE</x:v>
      </x:c>
      <x:c r="Z695" s="13" t="str">
        <x:f>IF(L695&lt;&gt;"COVERED","HELD — COVERAGE",IF(OR(R695="PAIRED SYNCHRONIZED",R695="TRILATERAL SYNCHRONIZED"),"E ACTIONABLE","INDEPENDENT"))</x:f>
        <x:v>HELD — COVERAGE</x:v>
      </x:c>
      <x:c r="AA695" s="13" t="str">
        <x:f>IF(L695&lt;&gt;"COVERED","HELD — COVERAGE","WAIT FOR UPSTREAM COMPLETION")</x:f>
        <x:v>HELD — COVERAGE</x:v>
      </x:c>
      <x:c r="AB695" s="13" t="str">
        <x:f>IF(L695&lt;&gt;"COVERED","HELD — COVERAGE",IF(T695="UNRESOLVED","G DECISION REQUIRED",IF(T695="NOT APPLICABLE","G N/A","G ACTIONABLE")))</x:f>
        <x:v>HELD — COVERAGE</x:v>
      </x:c>
      <x:c r="AC695" s="13" t="str">
        <x:f>IF(L695="UNRESOLVED","COVERAGE FIRST",IF(OR(L695="EXCLUDED",L695="OUT OF SCOPE"),"CLOSED BY COVERAGE",IF(AND(L695="COVERED",T695&lt;&gt;"UNRESOLVED"),"PARTIALLY ADOPTED","DECISIONS REMAIN")))</x:f>
        <x:v>COVERAGE FIRST</x:v>
      </x:c>
    </x:row>
    <x:row r="696">
      <x:c r="A696" s="13" t="str">
        <x:v>NAAFTC-HS6-150290</x:v>
      </x:c>
      <x:c r="B696" s="13" t="str">
        <x:v>150290</x:v>
      </x:c>
      <x:c r="C696" s="13" t="str">
        <x:v>15</x:v>
      </x:c>
      <x:c r="D696" s="13" t="str">
        <x:v>TRILATERAL_1_TO_1_TO_1</x:v>
      </x:c>
      <x:c r="E696" s="13" t="str">
        <x:v>Pending</x:v>
      </x:c>
      <x:c r="F696" s="13" t="n">
        <x:v>1</x:v>
      </x:c>
      <x:c r="G696" s="13" t="n">
        <x:v>1</x:v>
      </x:c>
      <x:c r="H696" s="13" t="n">
        <x:v>1</x:v>
      </x:c>
      <x:c r="I696" s="13" t="str">
        <x:v>1502900000</x:v>
      </x:c>
      <x:c r="J696" s="13" t="str">
        <x:v>1502909900</x:v>
      </x:c>
      <x:c r="K696" s="13" t="str">
        <x:v>1502900000</x:v>
      </x:c>
      <x:c r="L696" s="13" t="str">
        <x:v>UNRESOLVED</x:v>
      </x:c>
      <x:c r="M696" s="13" t="str"/>
      <x:c r="N696" s="13" t="str">
        <x:v>NO / DEFAULT</x:v>
      </x:c>
      <x:c r="O696" s="13" t="str"/>
      <x:c r="P696" s="13" t="str">
        <x:v>NO / DEFAULT</x:v>
      </x:c>
      <x:c r="Q696" s="13" t="str"/>
      <x:c r="R696" s="13" t="str">
        <x:v>INDEPENDENT / DEFAULT</x:v>
      </x:c>
      <x:c r="S696" s="13" t="str"/>
      <x:c r="T696" s="13" t="str">
        <x:v>UNRESOLVED</x:v>
      </x:c>
      <x:c r="U696" s="13" t="str"/>
      <x:c r="V696" s="13" t="str"/>
      <x:c r="W696" s="13" t="str"/>
      <x:c r="X696" s="13" t="str">
        <x:f>IF(L696&lt;&gt;"COVERED","HELD — COVERAGE",IF(N696="YES — SENSITIVE","C ACTIONABLE","CHAPTER 5 DEFAULT"))</x:f>
        <x:v>HELD — COVERAGE</x:v>
      </x:c>
      <x:c r="Y696" s="13" t="str">
        <x:f>IF(L696&lt;&gt;"COVERED","HELD — COVERAGE",IF(P696="YES — MANAGED ACCESS","D ACTIONABLE","NO D FIELD"))</x:f>
        <x:v>HELD — COVERAGE</x:v>
      </x:c>
      <x:c r="Z696" s="13" t="str">
        <x:f>IF(L696&lt;&gt;"COVERED","HELD — COVERAGE",IF(OR(R696="PAIRED SYNCHRONIZED",R696="TRILATERAL SYNCHRONIZED"),"E ACTIONABLE","INDEPENDENT"))</x:f>
        <x:v>HELD — COVERAGE</x:v>
      </x:c>
      <x:c r="AA696" s="13" t="str">
        <x:f>IF(L696&lt;&gt;"COVERED","HELD — COVERAGE","WAIT FOR UPSTREAM COMPLETION")</x:f>
        <x:v>HELD — COVERAGE</x:v>
      </x:c>
      <x:c r="AB696" s="13" t="str">
        <x:f>IF(L696&lt;&gt;"COVERED","HELD — COVERAGE",IF(T696="UNRESOLVED","G DECISION REQUIRED",IF(T696="NOT APPLICABLE","G N/A","G ACTIONABLE")))</x:f>
        <x:v>HELD — COVERAGE</x:v>
      </x:c>
      <x:c r="AC696" s="13" t="str">
        <x:f>IF(L696="UNRESOLVED","COVERAGE FIRST",IF(OR(L696="EXCLUDED",L696="OUT OF SCOPE"),"CLOSED BY COVERAGE",IF(AND(L696="COVERED",T696&lt;&gt;"UNRESOLVED"),"PARTIALLY ADOPTED","DECISIONS REMAIN")))</x:f>
        <x:v>COVERAGE FIRST</x:v>
      </x:c>
    </x:row>
    <x:row r="697">
      <x:c r="A697" s="13" t="str">
        <x:v>NAAFTC-HS6-150300</x:v>
      </x:c>
      <x:c r="B697" s="13" t="str">
        <x:v>150300</x:v>
      </x:c>
      <x:c r="C697" s="13" t="str">
        <x:v>15</x:v>
      </x:c>
      <x:c r="D697" s="13" t="str">
        <x:v>TRILATERAL_1_TO_1_TO_1</x:v>
      </x:c>
      <x:c r="E697" s="13" t="str">
        <x:v>Pending</x:v>
      </x:c>
      <x:c r="F697" s="13" t="n">
        <x:v>1</x:v>
      </x:c>
      <x:c r="G697" s="13" t="n">
        <x:v>1</x:v>
      </x:c>
      <x:c r="H697" s="13" t="n">
        <x:v>1</x:v>
      </x:c>
      <x:c r="I697" s="13" t="str">
        <x:v>1503000000</x:v>
      </x:c>
      <x:c r="J697" s="13" t="str">
        <x:v>1503000200</x:v>
      </x:c>
      <x:c r="K697" s="13" t="str">
        <x:v>1503000000</x:v>
      </x:c>
      <x:c r="L697" s="13" t="str">
        <x:v>UNRESOLVED</x:v>
      </x:c>
      <x:c r="M697" s="13" t="str"/>
      <x:c r="N697" s="13" t="str">
        <x:v>NO / DEFAULT</x:v>
      </x:c>
      <x:c r="O697" s="13" t="str"/>
      <x:c r="P697" s="13" t="str">
        <x:v>NO / DEFAULT</x:v>
      </x:c>
      <x:c r="Q697" s="13" t="str"/>
      <x:c r="R697" s="13" t="str">
        <x:v>INDEPENDENT / DEFAULT</x:v>
      </x:c>
      <x:c r="S697" s="13" t="str"/>
      <x:c r="T697" s="13" t="str">
        <x:v>UNRESOLVED</x:v>
      </x:c>
      <x:c r="U697" s="13" t="str"/>
      <x:c r="V697" s="13" t="str"/>
      <x:c r="W697" s="13" t="str"/>
      <x:c r="X697" s="13" t="str">
        <x:f>IF(L697&lt;&gt;"COVERED","HELD — COVERAGE",IF(N697="YES — SENSITIVE","C ACTIONABLE","CHAPTER 5 DEFAULT"))</x:f>
        <x:v>HELD — COVERAGE</x:v>
      </x:c>
      <x:c r="Y697" s="13" t="str">
        <x:f>IF(L697&lt;&gt;"COVERED","HELD — COVERAGE",IF(P697="YES — MANAGED ACCESS","D ACTIONABLE","NO D FIELD"))</x:f>
        <x:v>HELD — COVERAGE</x:v>
      </x:c>
      <x:c r="Z697" s="13" t="str">
        <x:f>IF(L697&lt;&gt;"COVERED","HELD — COVERAGE",IF(OR(R697="PAIRED SYNCHRONIZED",R697="TRILATERAL SYNCHRONIZED"),"E ACTIONABLE","INDEPENDENT"))</x:f>
        <x:v>HELD — COVERAGE</x:v>
      </x:c>
      <x:c r="AA697" s="13" t="str">
        <x:f>IF(L697&lt;&gt;"COVERED","HELD — COVERAGE","WAIT FOR UPSTREAM COMPLETION")</x:f>
        <x:v>HELD — COVERAGE</x:v>
      </x:c>
      <x:c r="AB697" s="13" t="str">
        <x:f>IF(L697&lt;&gt;"COVERED","HELD — COVERAGE",IF(T697="UNRESOLVED","G DECISION REQUIRED",IF(T697="NOT APPLICABLE","G N/A","G ACTIONABLE")))</x:f>
        <x:v>HELD — COVERAGE</x:v>
      </x:c>
      <x:c r="AC697" s="13" t="str">
        <x:f>IF(L697="UNRESOLVED","COVERAGE FIRST",IF(OR(L697="EXCLUDED",L697="OUT OF SCOPE"),"CLOSED BY COVERAGE",IF(AND(L697="COVERED",T697&lt;&gt;"UNRESOLVED"),"PARTIALLY ADOPTED","DECISIONS REMAIN")))</x:f>
        <x:v>COVERAGE FIRST</x:v>
      </x:c>
    </x:row>
    <x:row r="698">
      <x:c r="A698" s="13" t="str">
        <x:v>NAAFTC-HS6-150410</x:v>
      </x:c>
      <x:c r="B698" s="13" t="str">
        <x:v>150410</x:v>
      </x:c>
      <x:c r="C698" s="13" t="str">
        <x:v>15</x:v>
      </x:c>
      <x:c r="D698" s="13" t="str">
        <x:v>TRILATERAL_SPLIT_MERGE</x:v>
      </x:c>
      <x:c r="E698" s="13" t="str">
        <x:v>Pending</x:v>
      </x:c>
      <x:c r="F698" s="13" t="n">
        <x:v>2</x:v>
      </x:c>
      <x:c r="G698" s="13" t="n">
        <x:v>2</x:v>
      </x:c>
      <x:c r="H698" s="13" t="n">
        <x:v>3</x:v>
      </x:c>
      <x:c r="I698" s="13" t="str">
        <x:v>1504102000; 1504104000</x:v>
      </x:c>
      <x:c r="J698" s="13" t="str">
        <x:v>1504100100; 1504109900</x:v>
      </x:c>
      <x:c r="K698" s="13" t="str">
        <x:v>1504101000; 1504109100; 1504109900</x:v>
      </x:c>
      <x:c r="L698" s="13" t="str">
        <x:v>UNRESOLVED</x:v>
      </x:c>
      <x:c r="M698" s="13" t="str"/>
      <x:c r="N698" s="13" t="str">
        <x:v>NO / DEFAULT</x:v>
      </x:c>
      <x:c r="O698" s="13" t="str"/>
      <x:c r="P698" s="13" t="str">
        <x:v>NO / DEFAULT</x:v>
      </x:c>
      <x:c r="Q698" s="13" t="str"/>
      <x:c r="R698" s="13" t="str">
        <x:v>INDEPENDENT / DEFAULT</x:v>
      </x:c>
      <x:c r="S698" s="13" t="str"/>
      <x:c r="T698" s="13" t="str">
        <x:v>UNRESOLVED</x:v>
      </x:c>
      <x:c r="U698" s="13" t="str"/>
      <x:c r="V698" s="13" t="str"/>
      <x:c r="W698" s="13" t="str"/>
      <x:c r="X698" s="13" t="str">
        <x:f>IF(L698&lt;&gt;"COVERED","HELD — COVERAGE",IF(N698="YES — SENSITIVE","C ACTIONABLE","CHAPTER 5 DEFAULT"))</x:f>
        <x:v>HELD — COVERAGE</x:v>
      </x:c>
      <x:c r="Y698" s="13" t="str">
        <x:f>IF(L698&lt;&gt;"COVERED","HELD — COVERAGE",IF(P698="YES — MANAGED ACCESS","D ACTIONABLE","NO D FIELD"))</x:f>
        <x:v>HELD — COVERAGE</x:v>
      </x:c>
      <x:c r="Z698" s="13" t="str">
        <x:f>IF(L698&lt;&gt;"COVERED","HELD — COVERAGE",IF(OR(R698="PAIRED SYNCHRONIZED",R698="TRILATERAL SYNCHRONIZED"),"E ACTIONABLE","INDEPENDENT"))</x:f>
        <x:v>HELD — COVERAGE</x:v>
      </x:c>
      <x:c r="AA698" s="13" t="str">
        <x:f>IF(L698&lt;&gt;"COVERED","HELD — COVERAGE","WAIT FOR UPSTREAM COMPLETION")</x:f>
        <x:v>HELD — COVERAGE</x:v>
      </x:c>
      <x:c r="AB698" s="13" t="str">
        <x:f>IF(L698&lt;&gt;"COVERED","HELD — COVERAGE",IF(T698="UNRESOLVED","G DECISION REQUIRED",IF(T698="NOT APPLICABLE","G N/A","G ACTIONABLE")))</x:f>
        <x:v>HELD — COVERAGE</x:v>
      </x:c>
      <x:c r="AC698" s="13" t="str">
        <x:f>IF(L698="UNRESOLVED","COVERAGE FIRST",IF(OR(L698="EXCLUDED",L698="OUT OF SCOPE"),"CLOSED BY COVERAGE",IF(AND(L698="COVERED",T698&lt;&gt;"UNRESOLVED"),"PARTIALLY ADOPTED","DECISIONS REMAIN")))</x:f>
        <x:v>COVERAGE FIRST</x:v>
      </x:c>
    </x:row>
    <x:row r="699">
      <x:c r="A699" s="13" t="str">
        <x:v>NAAFTC-HS6-150420</x:v>
      </x:c>
      <x:c r="B699" s="13" t="str">
        <x:v>150420</x:v>
      </x:c>
      <x:c r="C699" s="13" t="str">
        <x:v>15</x:v>
      </x:c>
      <x:c r="D699" s="13" t="str">
        <x:v>TRILATERAL_SPLIT_MERGE</x:v>
      </x:c>
      <x:c r="E699" s="13" t="str">
        <x:v>Pending</x:v>
      </x:c>
      <x:c r="F699" s="13" t="n">
        <x:v>4</x:v>
      </x:c>
      <x:c r="G699" s="13" t="n">
        <x:v>2</x:v>
      </x:c>
      <x:c r="H699" s="13" t="n">
        <x:v>1</x:v>
      </x:c>
      <x:c r="I699" s="13" t="str">
        <x:v>1504202000; 1504204000; 1504206020; 1504206040</x:v>
      </x:c>
      <x:c r="J699" s="13" t="str">
        <x:v>1504200201; 1504200299</x:v>
      </x:c>
      <x:c r="K699" s="13" t="str">
        <x:v>1504200000</x:v>
      </x:c>
      <x:c r="L699" s="13" t="str">
        <x:v>UNRESOLVED</x:v>
      </x:c>
      <x:c r="M699" s="13" t="str"/>
      <x:c r="N699" s="13" t="str">
        <x:v>NO / DEFAULT</x:v>
      </x:c>
      <x:c r="O699" s="13" t="str"/>
      <x:c r="P699" s="13" t="str">
        <x:v>NO / DEFAULT</x:v>
      </x:c>
      <x:c r="Q699" s="13" t="str"/>
      <x:c r="R699" s="13" t="str">
        <x:v>INDEPENDENT / DEFAULT</x:v>
      </x:c>
      <x:c r="S699" s="13" t="str"/>
      <x:c r="T699" s="13" t="str">
        <x:v>UNRESOLVED</x:v>
      </x:c>
      <x:c r="U699" s="13" t="str"/>
      <x:c r="V699" s="13" t="str"/>
      <x:c r="W699" s="13" t="str"/>
      <x:c r="X699" s="13" t="str">
        <x:f>IF(L699&lt;&gt;"COVERED","HELD — COVERAGE",IF(N699="YES — SENSITIVE","C ACTIONABLE","CHAPTER 5 DEFAULT"))</x:f>
        <x:v>HELD — COVERAGE</x:v>
      </x:c>
      <x:c r="Y699" s="13" t="str">
        <x:f>IF(L699&lt;&gt;"COVERED","HELD — COVERAGE",IF(P699="YES — MANAGED ACCESS","D ACTIONABLE","NO D FIELD"))</x:f>
        <x:v>HELD — COVERAGE</x:v>
      </x:c>
      <x:c r="Z699" s="13" t="str">
        <x:f>IF(L699&lt;&gt;"COVERED","HELD — COVERAGE",IF(OR(R699="PAIRED SYNCHRONIZED",R699="TRILATERAL SYNCHRONIZED"),"E ACTIONABLE","INDEPENDENT"))</x:f>
        <x:v>HELD — COVERAGE</x:v>
      </x:c>
      <x:c r="AA699" s="13" t="str">
        <x:f>IF(L699&lt;&gt;"COVERED","HELD — COVERAGE","WAIT FOR UPSTREAM COMPLETION")</x:f>
        <x:v>HELD — COVERAGE</x:v>
      </x:c>
      <x:c r="AB699" s="13" t="str">
        <x:f>IF(L699&lt;&gt;"COVERED","HELD — COVERAGE",IF(T699="UNRESOLVED","G DECISION REQUIRED",IF(T699="NOT APPLICABLE","G N/A","G ACTIONABLE")))</x:f>
        <x:v>HELD — COVERAGE</x:v>
      </x:c>
      <x:c r="AC699" s="13" t="str">
        <x:f>IF(L699="UNRESOLVED","COVERAGE FIRST",IF(OR(L699="EXCLUDED",L699="OUT OF SCOPE"),"CLOSED BY COVERAGE",IF(AND(L699="COVERED",T699&lt;&gt;"UNRESOLVED"),"PARTIALLY ADOPTED","DECISIONS REMAIN")))</x:f>
        <x:v>COVERAGE FIRST</x:v>
      </x:c>
    </x:row>
    <x:row r="700">
      <x:c r="A700" s="13" t="str">
        <x:v>NAAFTC-HS6-150430</x:v>
      </x:c>
      <x:c r="B700" s="13" t="str">
        <x:v>150430</x:v>
      </x:c>
      <x:c r="C700" s="13" t="str">
        <x:v>15</x:v>
      </x:c>
      <x:c r="D700" s="13" t="str">
        <x:v>TRILATERAL_1_TO_1_TO_1</x:v>
      </x:c>
      <x:c r="E700" s="13" t="str">
        <x:v>Pending</x:v>
      </x:c>
      <x:c r="F700" s="13" t="n">
        <x:v>1</x:v>
      </x:c>
      <x:c r="G700" s="13" t="n">
        <x:v>1</x:v>
      </x:c>
      <x:c r="H700" s="13" t="n">
        <x:v>1</x:v>
      </x:c>
      <x:c r="I700" s="13" t="str">
        <x:v>1504300000</x:v>
      </x:c>
      <x:c r="J700" s="13" t="str">
        <x:v>1504300100</x:v>
      </x:c>
      <x:c r="K700" s="13" t="str">
        <x:v>1504300000</x:v>
      </x:c>
      <x:c r="L700" s="13" t="str">
        <x:v>UNRESOLVED</x:v>
      </x:c>
      <x:c r="M700" s="13" t="str"/>
      <x:c r="N700" s="13" t="str">
        <x:v>NO / DEFAULT</x:v>
      </x:c>
      <x:c r="O700" s="13" t="str"/>
      <x:c r="P700" s="13" t="str">
        <x:v>NO / DEFAULT</x:v>
      </x:c>
      <x:c r="Q700" s="13" t="str"/>
      <x:c r="R700" s="13" t="str">
        <x:v>INDEPENDENT / DEFAULT</x:v>
      </x:c>
      <x:c r="S700" s="13" t="str"/>
      <x:c r="T700" s="13" t="str">
        <x:v>UNRESOLVED</x:v>
      </x:c>
      <x:c r="U700" s="13" t="str"/>
      <x:c r="V700" s="13" t="str"/>
      <x:c r="W700" s="13" t="str"/>
      <x:c r="X700" s="13" t="str">
        <x:f>IF(L700&lt;&gt;"COVERED","HELD — COVERAGE",IF(N700="YES — SENSITIVE","C ACTIONABLE","CHAPTER 5 DEFAULT"))</x:f>
        <x:v>HELD — COVERAGE</x:v>
      </x:c>
      <x:c r="Y700" s="13" t="str">
        <x:f>IF(L700&lt;&gt;"COVERED","HELD — COVERAGE",IF(P700="YES — MANAGED ACCESS","D ACTIONABLE","NO D FIELD"))</x:f>
        <x:v>HELD — COVERAGE</x:v>
      </x:c>
      <x:c r="Z700" s="13" t="str">
        <x:f>IF(L700&lt;&gt;"COVERED","HELD — COVERAGE",IF(OR(R700="PAIRED SYNCHRONIZED",R700="TRILATERAL SYNCHRONIZED"),"E ACTIONABLE","INDEPENDENT"))</x:f>
        <x:v>HELD — COVERAGE</x:v>
      </x:c>
      <x:c r="AA700" s="13" t="str">
        <x:f>IF(L700&lt;&gt;"COVERED","HELD — COVERAGE","WAIT FOR UPSTREAM COMPLETION")</x:f>
        <x:v>HELD — COVERAGE</x:v>
      </x:c>
      <x:c r="AB700" s="13" t="str">
        <x:f>IF(L700&lt;&gt;"COVERED","HELD — COVERAGE",IF(T700="UNRESOLVED","G DECISION REQUIRED",IF(T700="NOT APPLICABLE","G N/A","G ACTIONABLE")))</x:f>
        <x:v>HELD — COVERAGE</x:v>
      </x:c>
      <x:c r="AC700" s="13" t="str">
        <x:f>IF(L700="UNRESOLVED","COVERAGE FIRST",IF(OR(L700="EXCLUDED",L700="OUT OF SCOPE"),"CLOSED BY COVERAGE",IF(AND(L700="COVERED",T700&lt;&gt;"UNRESOLVED"),"PARTIALLY ADOPTED","DECISIONS REMAIN")))</x:f>
        <x:v>COVERAGE FIRST</x:v>
      </x:c>
    </x:row>
    <x:row r="701">
      <x:c r="A701" s="13" t="str">
        <x:v>NAAFTC-HS6-150500</x:v>
      </x:c>
      <x:c r="B701" s="13" t="str">
        <x:v>150500</x:v>
      </x:c>
      <x:c r="C701" s="13" t="str">
        <x:v>15</x:v>
      </x:c>
      <x:c r="D701" s="13" t="str">
        <x:v>TRILATERAL_SPLIT_MERGE</x:v>
      </x:c>
      <x:c r="E701" s="13" t="str">
        <x:v>Pending</x:v>
      </x:c>
      <x:c r="F701" s="13" t="n">
        <x:v>2</x:v>
      </x:c>
      <x:c r="G701" s="13" t="n">
        <x:v>2</x:v>
      </x:c>
      <x:c r="H701" s="13" t="n">
        <x:v>1</x:v>
      </x:c>
      <x:c r="I701" s="13" t="str">
        <x:v>1505001000; 1505009000</x:v>
      </x:c>
      <x:c r="J701" s="13" t="str">
        <x:v>1505000401; 1505000499</x:v>
      </x:c>
      <x:c r="K701" s="13" t="str">
        <x:v>1505000000</x:v>
      </x:c>
      <x:c r="L701" s="13" t="str">
        <x:v>UNRESOLVED</x:v>
      </x:c>
      <x:c r="M701" s="13" t="str"/>
      <x:c r="N701" s="13" t="str">
        <x:v>NO / DEFAULT</x:v>
      </x:c>
      <x:c r="O701" s="13" t="str"/>
      <x:c r="P701" s="13" t="str">
        <x:v>NO / DEFAULT</x:v>
      </x:c>
      <x:c r="Q701" s="13" t="str"/>
      <x:c r="R701" s="13" t="str">
        <x:v>INDEPENDENT / DEFAULT</x:v>
      </x:c>
      <x:c r="S701" s="13" t="str"/>
      <x:c r="T701" s="13" t="str">
        <x:v>UNRESOLVED</x:v>
      </x:c>
      <x:c r="U701" s="13" t="str"/>
      <x:c r="V701" s="13" t="str"/>
      <x:c r="W701" s="13" t="str"/>
      <x:c r="X701" s="13" t="str">
        <x:f>IF(L701&lt;&gt;"COVERED","HELD — COVERAGE",IF(N701="YES — SENSITIVE","C ACTIONABLE","CHAPTER 5 DEFAULT"))</x:f>
        <x:v>HELD — COVERAGE</x:v>
      </x:c>
      <x:c r="Y701" s="13" t="str">
        <x:f>IF(L701&lt;&gt;"COVERED","HELD — COVERAGE",IF(P701="YES — MANAGED ACCESS","D ACTIONABLE","NO D FIELD"))</x:f>
        <x:v>HELD — COVERAGE</x:v>
      </x:c>
      <x:c r="Z701" s="13" t="str">
        <x:f>IF(L701&lt;&gt;"COVERED","HELD — COVERAGE",IF(OR(R701="PAIRED SYNCHRONIZED",R701="TRILATERAL SYNCHRONIZED"),"E ACTIONABLE","INDEPENDENT"))</x:f>
        <x:v>HELD — COVERAGE</x:v>
      </x:c>
      <x:c r="AA701" s="13" t="str">
        <x:f>IF(L701&lt;&gt;"COVERED","HELD — COVERAGE","WAIT FOR UPSTREAM COMPLETION")</x:f>
        <x:v>HELD — COVERAGE</x:v>
      </x:c>
      <x:c r="AB701" s="13" t="str">
        <x:f>IF(L701&lt;&gt;"COVERED","HELD — COVERAGE",IF(T701="UNRESOLVED","G DECISION REQUIRED",IF(T701="NOT APPLICABLE","G N/A","G ACTIONABLE")))</x:f>
        <x:v>HELD — COVERAGE</x:v>
      </x:c>
      <x:c r="AC701" s="13" t="str">
        <x:f>IF(L701="UNRESOLVED","COVERAGE FIRST",IF(OR(L701="EXCLUDED",L701="OUT OF SCOPE"),"CLOSED BY COVERAGE",IF(AND(L701="COVERED",T701&lt;&gt;"UNRESOLVED"),"PARTIALLY ADOPTED","DECISIONS REMAIN")))</x:f>
        <x:v>COVERAGE FIRST</x:v>
      </x:c>
    </x:row>
    <x:row r="702">
      <x:c r="A702" s="13" t="str">
        <x:v>NAAFTC-HS6-150600</x:v>
      </x:c>
      <x:c r="B702" s="13" t="str">
        <x:v>150600</x:v>
      </x:c>
      <x:c r="C702" s="13" t="str">
        <x:v>15</x:v>
      </x:c>
      <x:c r="D702" s="13" t="str">
        <x:v>TRILATERAL_SPLIT_MERGE</x:v>
      </x:c>
      <x:c r="E702" s="13" t="str">
        <x:v>Pending</x:v>
      </x:c>
      <x:c r="F702" s="13" t="n">
        <x:v>1</x:v>
      </x:c>
      <x:c r="G702" s="13" t="n">
        <x:v>2</x:v>
      </x:c>
      <x:c r="H702" s="13" t="n">
        <x:v>1</x:v>
      </x:c>
      <x:c r="I702" s="13" t="str">
        <x:v>1506000000</x:v>
      </x:c>
      <x:c r="J702" s="13" t="str">
        <x:v>1506000100; 1506009900</x:v>
      </x:c>
      <x:c r="K702" s="13" t="str">
        <x:v>1506000000</x:v>
      </x:c>
      <x:c r="L702" s="13" t="str">
        <x:v>UNRESOLVED</x:v>
      </x:c>
      <x:c r="M702" s="13" t="str"/>
      <x:c r="N702" s="13" t="str">
        <x:v>NO / DEFAULT</x:v>
      </x:c>
      <x:c r="O702" s="13" t="str"/>
      <x:c r="P702" s="13" t="str">
        <x:v>NO / DEFAULT</x:v>
      </x:c>
      <x:c r="Q702" s="13" t="str"/>
      <x:c r="R702" s="13" t="str">
        <x:v>INDEPENDENT / DEFAULT</x:v>
      </x:c>
      <x:c r="S702" s="13" t="str"/>
      <x:c r="T702" s="13" t="str">
        <x:v>UNRESOLVED</x:v>
      </x:c>
      <x:c r="U702" s="13" t="str"/>
      <x:c r="V702" s="13" t="str"/>
      <x:c r="W702" s="13" t="str"/>
      <x:c r="X702" s="13" t="str">
        <x:f>IF(L702&lt;&gt;"COVERED","HELD — COVERAGE",IF(N702="YES — SENSITIVE","C ACTIONABLE","CHAPTER 5 DEFAULT"))</x:f>
        <x:v>HELD — COVERAGE</x:v>
      </x:c>
      <x:c r="Y702" s="13" t="str">
        <x:f>IF(L702&lt;&gt;"COVERED","HELD — COVERAGE",IF(P702="YES — MANAGED ACCESS","D ACTIONABLE","NO D FIELD"))</x:f>
        <x:v>HELD — COVERAGE</x:v>
      </x:c>
      <x:c r="Z702" s="13" t="str">
        <x:f>IF(L702&lt;&gt;"COVERED","HELD — COVERAGE",IF(OR(R702="PAIRED SYNCHRONIZED",R702="TRILATERAL SYNCHRONIZED"),"E ACTIONABLE","INDEPENDENT"))</x:f>
        <x:v>HELD — COVERAGE</x:v>
      </x:c>
      <x:c r="AA702" s="13" t="str">
        <x:f>IF(L702&lt;&gt;"COVERED","HELD — COVERAGE","WAIT FOR UPSTREAM COMPLETION")</x:f>
        <x:v>HELD — COVERAGE</x:v>
      </x:c>
      <x:c r="AB702" s="13" t="str">
        <x:f>IF(L702&lt;&gt;"COVERED","HELD — COVERAGE",IF(T702="UNRESOLVED","G DECISION REQUIRED",IF(T702="NOT APPLICABLE","G N/A","G ACTIONABLE")))</x:f>
        <x:v>HELD — COVERAGE</x:v>
      </x:c>
      <x:c r="AC702" s="13" t="str">
        <x:f>IF(L702="UNRESOLVED","COVERAGE FIRST",IF(OR(L702="EXCLUDED",L702="OUT OF SCOPE"),"CLOSED BY COVERAGE",IF(AND(L702="COVERED",T702&lt;&gt;"UNRESOLVED"),"PARTIALLY ADOPTED","DECISIONS REMAIN")))</x:f>
        <x:v>COVERAGE FIRST</x:v>
      </x:c>
    </x:row>
    <x:row r="703">
      <x:c r="A703" s="13" t="str">
        <x:v>NAAFTC-HS6-150710</x:v>
      </x:c>
      <x:c r="B703" s="13" t="str">
        <x:v>150710</x:v>
      </x:c>
      <x:c r="C703" s="13" t="str">
        <x:v>15</x:v>
      </x:c>
      <x:c r="D703" s="13" t="str">
        <x:v>TRILATERAL_1_TO_1_TO_1</x:v>
      </x:c>
      <x:c r="E703" s="13" t="str">
        <x:v>Pending</x:v>
      </x:c>
      <x:c r="F703" s="13" t="n">
        <x:v>1</x:v>
      </x:c>
      <x:c r="G703" s="13" t="n">
        <x:v>1</x:v>
      </x:c>
      <x:c r="H703" s="13" t="n">
        <x:v>1</x:v>
      </x:c>
      <x:c r="I703" s="13" t="str">
        <x:v>1507100000</x:v>
      </x:c>
      <x:c r="J703" s="13" t="str">
        <x:v>1507100100</x:v>
      </x:c>
      <x:c r="K703" s="13" t="str">
        <x:v>1507100000</x:v>
      </x:c>
      <x:c r="L703" s="13" t="str">
        <x:v>UNRESOLVED</x:v>
      </x:c>
      <x:c r="M703" s="13" t="str"/>
      <x:c r="N703" s="13" t="str">
        <x:v>NO / DEFAULT</x:v>
      </x:c>
      <x:c r="O703" s="13" t="str"/>
      <x:c r="P703" s="13" t="str">
        <x:v>NO / DEFAULT</x:v>
      </x:c>
      <x:c r="Q703" s="13" t="str"/>
      <x:c r="R703" s="13" t="str">
        <x:v>INDEPENDENT / DEFAULT</x:v>
      </x:c>
      <x:c r="S703" s="13" t="str"/>
      <x:c r="T703" s="13" t="str">
        <x:v>UNRESOLVED</x:v>
      </x:c>
      <x:c r="U703" s="13" t="str"/>
      <x:c r="V703" s="13" t="str"/>
      <x:c r="W703" s="13" t="str"/>
      <x:c r="X703" s="13" t="str">
        <x:f>IF(L703&lt;&gt;"COVERED","HELD — COVERAGE",IF(N703="YES — SENSITIVE","C ACTIONABLE","CHAPTER 5 DEFAULT"))</x:f>
        <x:v>HELD — COVERAGE</x:v>
      </x:c>
      <x:c r="Y703" s="13" t="str">
        <x:f>IF(L703&lt;&gt;"COVERED","HELD — COVERAGE",IF(P703="YES — MANAGED ACCESS","D ACTIONABLE","NO D FIELD"))</x:f>
        <x:v>HELD — COVERAGE</x:v>
      </x:c>
      <x:c r="Z703" s="13" t="str">
        <x:f>IF(L703&lt;&gt;"COVERED","HELD — COVERAGE",IF(OR(R703="PAIRED SYNCHRONIZED",R703="TRILATERAL SYNCHRONIZED"),"E ACTIONABLE","INDEPENDENT"))</x:f>
        <x:v>HELD — COVERAGE</x:v>
      </x:c>
      <x:c r="AA703" s="13" t="str">
        <x:f>IF(L703&lt;&gt;"COVERED","HELD — COVERAGE","WAIT FOR UPSTREAM COMPLETION")</x:f>
        <x:v>HELD — COVERAGE</x:v>
      </x:c>
      <x:c r="AB703" s="13" t="str">
        <x:f>IF(L703&lt;&gt;"COVERED","HELD — COVERAGE",IF(T703="UNRESOLVED","G DECISION REQUIRED",IF(T703="NOT APPLICABLE","G N/A","G ACTIONABLE")))</x:f>
        <x:v>HELD — COVERAGE</x:v>
      </x:c>
      <x:c r="AC703" s="13" t="str">
        <x:f>IF(L703="UNRESOLVED","COVERAGE FIRST",IF(OR(L703="EXCLUDED",L703="OUT OF SCOPE"),"CLOSED BY COVERAGE",IF(AND(L703="COVERED",T703&lt;&gt;"UNRESOLVED"),"PARTIALLY ADOPTED","DECISIONS REMAIN")))</x:f>
        <x:v>COVERAGE FIRST</x:v>
      </x:c>
    </x:row>
    <x:row r="704">
      <x:c r="A704" s="13" t="str">
        <x:v>NAAFTC-HS6-150790</x:v>
      </x:c>
      <x:c r="B704" s="13" t="str">
        <x:v>150790</x:v>
      </x:c>
      <x:c r="C704" s="13" t="str">
        <x:v>15</x:v>
      </x:c>
      <x:c r="D704" s="13" t="str">
        <x:v>TRILATERAL_SPLIT_MERGE</x:v>
      </x:c>
      <x:c r="E704" s="13" t="str">
        <x:v>Pending</x:v>
      </x:c>
      <x:c r="F704" s="13" t="n">
        <x:v>3</x:v>
      </x:c>
      <x:c r="G704" s="13" t="n">
        <x:v>1</x:v>
      </x:c>
      <x:c r="H704" s="13" t="n">
        <x:v>1</x:v>
      </x:c>
      <x:c r="I704" s="13" t="str">
        <x:v>1507902000; 1507904020; 1507904040</x:v>
      </x:c>
      <x:c r="J704" s="13" t="str">
        <x:v>1507909900</x:v>
      </x:c>
      <x:c r="K704" s="13" t="str">
        <x:v>1507900000</x:v>
      </x:c>
      <x:c r="L704" s="13" t="str">
        <x:v>UNRESOLVED</x:v>
      </x:c>
      <x:c r="M704" s="13" t="str"/>
      <x:c r="N704" s="13" t="str">
        <x:v>NO / DEFAULT</x:v>
      </x:c>
      <x:c r="O704" s="13" t="str"/>
      <x:c r="P704" s="13" t="str">
        <x:v>NO / DEFAULT</x:v>
      </x:c>
      <x:c r="Q704" s="13" t="str"/>
      <x:c r="R704" s="13" t="str">
        <x:v>INDEPENDENT / DEFAULT</x:v>
      </x:c>
      <x:c r="S704" s="13" t="str"/>
      <x:c r="T704" s="13" t="str">
        <x:v>UNRESOLVED</x:v>
      </x:c>
      <x:c r="U704" s="13" t="str"/>
      <x:c r="V704" s="13" t="str"/>
      <x:c r="W704" s="13" t="str"/>
      <x:c r="X704" s="13" t="str">
        <x:f>IF(L704&lt;&gt;"COVERED","HELD — COVERAGE",IF(N704="YES — SENSITIVE","C ACTIONABLE","CHAPTER 5 DEFAULT"))</x:f>
        <x:v>HELD — COVERAGE</x:v>
      </x:c>
      <x:c r="Y704" s="13" t="str">
        <x:f>IF(L704&lt;&gt;"COVERED","HELD — COVERAGE",IF(P704="YES — MANAGED ACCESS","D ACTIONABLE","NO D FIELD"))</x:f>
        <x:v>HELD — COVERAGE</x:v>
      </x:c>
      <x:c r="Z704" s="13" t="str">
        <x:f>IF(L704&lt;&gt;"COVERED","HELD — COVERAGE",IF(OR(R704="PAIRED SYNCHRONIZED",R704="TRILATERAL SYNCHRONIZED"),"E ACTIONABLE","INDEPENDENT"))</x:f>
        <x:v>HELD — COVERAGE</x:v>
      </x:c>
      <x:c r="AA704" s="13" t="str">
        <x:f>IF(L704&lt;&gt;"COVERED","HELD — COVERAGE","WAIT FOR UPSTREAM COMPLETION")</x:f>
        <x:v>HELD — COVERAGE</x:v>
      </x:c>
      <x:c r="AB704" s="13" t="str">
        <x:f>IF(L704&lt;&gt;"COVERED","HELD — COVERAGE",IF(T704="UNRESOLVED","G DECISION REQUIRED",IF(T704="NOT APPLICABLE","G N/A","G ACTIONABLE")))</x:f>
        <x:v>HELD — COVERAGE</x:v>
      </x:c>
      <x:c r="AC704" s="13" t="str">
        <x:f>IF(L704="UNRESOLVED","COVERAGE FIRST",IF(OR(L704="EXCLUDED",L704="OUT OF SCOPE"),"CLOSED BY COVERAGE",IF(AND(L704="COVERED",T704&lt;&gt;"UNRESOLVED"),"PARTIALLY ADOPTED","DECISIONS REMAIN")))</x:f>
        <x:v>COVERAGE FIRST</x:v>
      </x:c>
    </x:row>
    <x:row r="705">
      <x:c r="A705" s="13" t="str">
        <x:v>NAAFTC-HS6-150810</x:v>
      </x:c>
      <x:c r="B705" s="13" t="str">
        <x:v>150810</x:v>
      </x:c>
      <x:c r="C705" s="13" t="str">
        <x:v>15</x:v>
      </x:c>
      <x:c r="D705" s="13" t="str">
        <x:v>TRILATERAL_1_TO_1_TO_1</x:v>
      </x:c>
      <x:c r="E705" s="13" t="str">
        <x:v>Pending</x:v>
      </x:c>
      <x:c r="F705" s="13" t="n">
        <x:v>1</x:v>
      </x:c>
      <x:c r="G705" s="13" t="n">
        <x:v>1</x:v>
      </x:c>
      <x:c r="H705" s="13" t="n">
        <x:v>1</x:v>
      </x:c>
      <x:c r="I705" s="13" t="str">
        <x:v>1508100000</x:v>
      </x:c>
      <x:c r="J705" s="13" t="str">
        <x:v>1508100100</x:v>
      </x:c>
      <x:c r="K705" s="13" t="str">
        <x:v>1508100000</x:v>
      </x:c>
      <x:c r="L705" s="13" t="str">
        <x:v>UNRESOLVED</x:v>
      </x:c>
      <x:c r="M705" s="13" t="str"/>
      <x:c r="N705" s="13" t="str">
        <x:v>NO / DEFAULT</x:v>
      </x:c>
      <x:c r="O705" s="13" t="str"/>
      <x:c r="P705" s="13" t="str">
        <x:v>NO / DEFAULT</x:v>
      </x:c>
      <x:c r="Q705" s="13" t="str"/>
      <x:c r="R705" s="13" t="str">
        <x:v>INDEPENDENT / DEFAULT</x:v>
      </x:c>
      <x:c r="S705" s="13" t="str"/>
      <x:c r="T705" s="13" t="str">
        <x:v>UNRESOLVED</x:v>
      </x:c>
      <x:c r="U705" s="13" t="str"/>
      <x:c r="V705" s="13" t="str"/>
      <x:c r="W705" s="13" t="str"/>
      <x:c r="X705" s="13" t="str">
        <x:f>IF(L705&lt;&gt;"COVERED","HELD — COVERAGE",IF(N705="YES — SENSITIVE","C ACTIONABLE","CHAPTER 5 DEFAULT"))</x:f>
        <x:v>HELD — COVERAGE</x:v>
      </x:c>
      <x:c r="Y705" s="13" t="str">
        <x:f>IF(L705&lt;&gt;"COVERED","HELD — COVERAGE",IF(P705="YES — MANAGED ACCESS","D ACTIONABLE","NO D FIELD"))</x:f>
        <x:v>HELD — COVERAGE</x:v>
      </x:c>
      <x:c r="Z705" s="13" t="str">
        <x:f>IF(L705&lt;&gt;"COVERED","HELD — COVERAGE",IF(OR(R705="PAIRED SYNCHRONIZED",R705="TRILATERAL SYNCHRONIZED"),"E ACTIONABLE","INDEPENDENT"))</x:f>
        <x:v>HELD — COVERAGE</x:v>
      </x:c>
      <x:c r="AA705" s="13" t="str">
        <x:f>IF(L705&lt;&gt;"COVERED","HELD — COVERAGE","WAIT FOR UPSTREAM COMPLETION")</x:f>
        <x:v>HELD — COVERAGE</x:v>
      </x:c>
      <x:c r="AB705" s="13" t="str">
        <x:f>IF(L705&lt;&gt;"COVERED","HELD — COVERAGE",IF(T705="UNRESOLVED","G DECISION REQUIRED",IF(T705="NOT APPLICABLE","G N/A","G ACTIONABLE")))</x:f>
        <x:v>HELD — COVERAGE</x:v>
      </x:c>
      <x:c r="AC705" s="13" t="str">
        <x:f>IF(L705="UNRESOLVED","COVERAGE FIRST",IF(OR(L705="EXCLUDED",L705="OUT OF SCOPE"),"CLOSED BY COVERAGE",IF(AND(L705="COVERED",T705&lt;&gt;"UNRESOLVED"),"PARTIALLY ADOPTED","DECISIONS REMAIN")))</x:f>
        <x:v>COVERAGE FIRST</x:v>
      </x:c>
    </x:row>
    <x:row r="706">
      <x:c r="A706" s="13" t="str">
        <x:v>NAAFTC-HS6-150890</x:v>
      </x:c>
      <x:c r="B706" s="13" t="str">
        <x:v>150890</x:v>
      </x:c>
      <x:c r="C706" s="13" t="str">
        <x:v>15</x:v>
      </x:c>
      <x:c r="D706" s="13" t="str">
        <x:v>TRILATERAL_1_TO_1_TO_1</x:v>
      </x:c>
      <x:c r="E706" s="13" t="str">
        <x:v>Pending</x:v>
      </x:c>
      <x:c r="F706" s="13" t="n">
        <x:v>1</x:v>
      </x:c>
      <x:c r="G706" s="13" t="n">
        <x:v>1</x:v>
      </x:c>
      <x:c r="H706" s="13" t="n">
        <x:v>1</x:v>
      </x:c>
      <x:c r="I706" s="13" t="str">
        <x:v>1508900000</x:v>
      </x:c>
      <x:c r="J706" s="13" t="str">
        <x:v>1508909900</x:v>
      </x:c>
      <x:c r="K706" s="13" t="str">
        <x:v>1508900000</x:v>
      </x:c>
      <x:c r="L706" s="13" t="str">
        <x:v>UNRESOLVED</x:v>
      </x:c>
      <x:c r="M706" s="13" t="str"/>
      <x:c r="N706" s="13" t="str">
        <x:v>NO / DEFAULT</x:v>
      </x:c>
      <x:c r="O706" s="13" t="str"/>
      <x:c r="P706" s="13" t="str">
        <x:v>NO / DEFAULT</x:v>
      </x:c>
      <x:c r="Q706" s="13" t="str"/>
      <x:c r="R706" s="13" t="str">
        <x:v>INDEPENDENT / DEFAULT</x:v>
      </x:c>
      <x:c r="S706" s="13" t="str"/>
      <x:c r="T706" s="13" t="str">
        <x:v>UNRESOLVED</x:v>
      </x:c>
      <x:c r="U706" s="13" t="str"/>
      <x:c r="V706" s="13" t="str"/>
      <x:c r="W706" s="13" t="str"/>
      <x:c r="X706" s="13" t="str">
        <x:f>IF(L706&lt;&gt;"COVERED","HELD — COVERAGE",IF(N706="YES — SENSITIVE","C ACTIONABLE","CHAPTER 5 DEFAULT"))</x:f>
        <x:v>HELD — COVERAGE</x:v>
      </x:c>
      <x:c r="Y706" s="13" t="str">
        <x:f>IF(L706&lt;&gt;"COVERED","HELD — COVERAGE",IF(P706="YES — MANAGED ACCESS","D ACTIONABLE","NO D FIELD"))</x:f>
        <x:v>HELD — COVERAGE</x:v>
      </x:c>
      <x:c r="Z706" s="13" t="str">
        <x:f>IF(L706&lt;&gt;"COVERED","HELD — COVERAGE",IF(OR(R706="PAIRED SYNCHRONIZED",R706="TRILATERAL SYNCHRONIZED"),"E ACTIONABLE","INDEPENDENT"))</x:f>
        <x:v>HELD — COVERAGE</x:v>
      </x:c>
      <x:c r="AA706" s="13" t="str">
        <x:f>IF(L706&lt;&gt;"COVERED","HELD — COVERAGE","WAIT FOR UPSTREAM COMPLETION")</x:f>
        <x:v>HELD — COVERAGE</x:v>
      </x:c>
      <x:c r="AB706" s="13" t="str">
        <x:f>IF(L706&lt;&gt;"COVERED","HELD — COVERAGE",IF(T706="UNRESOLVED","G DECISION REQUIRED",IF(T706="NOT APPLICABLE","G N/A","G ACTIONABLE")))</x:f>
        <x:v>HELD — COVERAGE</x:v>
      </x:c>
      <x:c r="AC706" s="13" t="str">
        <x:f>IF(L706="UNRESOLVED","COVERAGE FIRST",IF(OR(L706="EXCLUDED",L706="OUT OF SCOPE"),"CLOSED BY COVERAGE",IF(AND(L706="COVERED",T706&lt;&gt;"UNRESOLVED"),"PARTIALLY ADOPTED","DECISIONS REMAIN")))</x:f>
        <x:v>COVERAGE FIRST</x:v>
      </x:c>
    </x:row>
    <x:row r="707">
      <x:c r="A707" s="13" t="str">
        <x:v>NAAFTC-HS6-150920</x:v>
      </x:c>
      <x:c r="B707" s="13" t="str">
        <x:v>150920</x:v>
      </x:c>
      <x:c r="C707" s="13" t="str">
        <x:v>15</x:v>
      </x:c>
      <x:c r="D707" s="13" t="str">
        <x:v>TRILATERAL_SPLIT_MERGE</x:v>
      </x:c>
      <x:c r="E707" s="13" t="str">
        <x:v>Pending</x:v>
      </x:c>
      <x:c r="F707" s="13" t="n">
        <x:v>4</x:v>
      </x:c>
      <x:c r="G707" s="13" t="n">
        <x:v>1</x:v>
      </x:c>
      <x:c r="H707" s="13" t="n">
        <x:v>1</x:v>
      </x:c>
      <x:c r="I707" s="13" t="str">
        <x:v>1509202030; 1509202090; 1509209030; 1509209090</x:v>
      </x:c>
      <x:c r="J707" s="13" t="str">
        <x:v>1509200100</x:v>
      </x:c>
      <x:c r="K707" s="13" t="str">
        <x:v>15092000</x:v>
      </x:c>
      <x:c r="L707" s="13" t="str">
        <x:v>UNRESOLVED</x:v>
      </x:c>
      <x:c r="M707" s="13" t="str"/>
      <x:c r="N707" s="13" t="str">
        <x:v>NO / DEFAULT</x:v>
      </x:c>
      <x:c r="O707" s="13" t="str"/>
      <x:c r="P707" s="13" t="str">
        <x:v>NO / DEFAULT</x:v>
      </x:c>
      <x:c r="Q707" s="13" t="str"/>
      <x:c r="R707" s="13" t="str">
        <x:v>INDEPENDENT / DEFAULT</x:v>
      </x:c>
      <x:c r="S707" s="13" t="str"/>
      <x:c r="T707" s="13" t="str">
        <x:v>UNRESOLVED</x:v>
      </x:c>
      <x:c r="U707" s="13" t="str"/>
      <x:c r="V707" s="13" t="str"/>
      <x:c r="W707" s="13" t="str"/>
      <x:c r="X707" s="13" t="str">
        <x:f>IF(L707&lt;&gt;"COVERED","HELD — COVERAGE",IF(N707="YES — SENSITIVE","C ACTIONABLE","CHAPTER 5 DEFAULT"))</x:f>
        <x:v>HELD — COVERAGE</x:v>
      </x:c>
      <x:c r="Y707" s="13" t="str">
        <x:f>IF(L707&lt;&gt;"COVERED","HELD — COVERAGE",IF(P707="YES — MANAGED ACCESS","D ACTIONABLE","NO D FIELD"))</x:f>
        <x:v>HELD — COVERAGE</x:v>
      </x:c>
      <x:c r="Z707" s="13" t="str">
        <x:f>IF(L707&lt;&gt;"COVERED","HELD — COVERAGE",IF(OR(R707="PAIRED SYNCHRONIZED",R707="TRILATERAL SYNCHRONIZED"),"E ACTIONABLE","INDEPENDENT"))</x:f>
        <x:v>HELD — COVERAGE</x:v>
      </x:c>
      <x:c r="AA707" s="13" t="str">
        <x:f>IF(L707&lt;&gt;"COVERED","HELD — COVERAGE","WAIT FOR UPSTREAM COMPLETION")</x:f>
        <x:v>HELD — COVERAGE</x:v>
      </x:c>
      <x:c r="AB707" s="13" t="str">
        <x:f>IF(L707&lt;&gt;"COVERED","HELD — COVERAGE",IF(T707="UNRESOLVED","G DECISION REQUIRED",IF(T707="NOT APPLICABLE","G N/A","G ACTIONABLE")))</x:f>
        <x:v>HELD — COVERAGE</x:v>
      </x:c>
      <x:c r="AC707" s="13" t="str">
        <x:f>IF(L707="UNRESOLVED","COVERAGE FIRST",IF(OR(L707="EXCLUDED",L707="OUT OF SCOPE"),"CLOSED BY COVERAGE",IF(AND(L707="COVERED",T707&lt;&gt;"UNRESOLVED"),"PARTIALLY ADOPTED","DECISIONS REMAIN")))</x:f>
        <x:v>COVERAGE FIRST</x:v>
      </x:c>
    </x:row>
    <x:row r="708">
      <x:c r="A708" s="13" t="str">
        <x:v>NAAFTC-HS6-150930</x:v>
      </x:c>
      <x:c r="B708" s="13" t="str">
        <x:v>150930</x:v>
      </x:c>
      <x:c r="C708" s="13" t="str">
        <x:v>15</x:v>
      </x:c>
      <x:c r="D708" s="13" t="str">
        <x:v>TRILATERAL_SPLIT_MERGE</x:v>
      </x:c>
      <x:c r="E708" s="13" t="str">
        <x:v>Pending</x:v>
      </x:c>
      <x:c r="F708" s="13" t="n">
        <x:v>4</x:v>
      </x:c>
      <x:c r="G708" s="13" t="n">
        <x:v>1</x:v>
      </x:c>
      <x:c r="H708" s="13" t="n">
        <x:v>1</x:v>
      </x:c>
      <x:c r="I708" s="13" t="str">
        <x:v>1509302030; 1509302090; 1509309030; 1509309090</x:v>
      </x:c>
      <x:c r="J708" s="13" t="str">
        <x:v>1509300100</x:v>
      </x:c>
      <x:c r="K708" s="13" t="str">
        <x:v>15093000</x:v>
      </x:c>
      <x:c r="L708" s="13" t="str">
        <x:v>UNRESOLVED</x:v>
      </x:c>
      <x:c r="M708" s="13" t="str"/>
      <x:c r="N708" s="13" t="str">
        <x:v>NO / DEFAULT</x:v>
      </x:c>
      <x:c r="O708" s="13" t="str"/>
      <x:c r="P708" s="13" t="str">
        <x:v>NO / DEFAULT</x:v>
      </x:c>
      <x:c r="Q708" s="13" t="str"/>
      <x:c r="R708" s="13" t="str">
        <x:v>INDEPENDENT / DEFAULT</x:v>
      </x:c>
      <x:c r="S708" s="13" t="str"/>
      <x:c r="T708" s="13" t="str">
        <x:v>UNRESOLVED</x:v>
      </x:c>
      <x:c r="U708" s="13" t="str"/>
      <x:c r="V708" s="13" t="str"/>
      <x:c r="W708" s="13" t="str"/>
      <x:c r="X708" s="13" t="str">
        <x:f>IF(L708&lt;&gt;"COVERED","HELD — COVERAGE",IF(N708="YES — SENSITIVE","C ACTIONABLE","CHAPTER 5 DEFAULT"))</x:f>
        <x:v>HELD — COVERAGE</x:v>
      </x:c>
      <x:c r="Y708" s="13" t="str">
        <x:f>IF(L708&lt;&gt;"COVERED","HELD — COVERAGE",IF(P708="YES — MANAGED ACCESS","D ACTIONABLE","NO D FIELD"))</x:f>
        <x:v>HELD — COVERAGE</x:v>
      </x:c>
      <x:c r="Z708" s="13" t="str">
        <x:f>IF(L708&lt;&gt;"COVERED","HELD — COVERAGE",IF(OR(R708="PAIRED SYNCHRONIZED",R708="TRILATERAL SYNCHRONIZED"),"E ACTIONABLE","INDEPENDENT"))</x:f>
        <x:v>HELD — COVERAGE</x:v>
      </x:c>
      <x:c r="AA708" s="13" t="str">
        <x:f>IF(L708&lt;&gt;"COVERED","HELD — COVERAGE","WAIT FOR UPSTREAM COMPLETION")</x:f>
        <x:v>HELD — COVERAGE</x:v>
      </x:c>
      <x:c r="AB708" s="13" t="str">
        <x:f>IF(L708&lt;&gt;"COVERED","HELD — COVERAGE",IF(T708="UNRESOLVED","G DECISION REQUIRED",IF(T708="NOT APPLICABLE","G N/A","G ACTIONABLE")))</x:f>
        <x:v>HELD — COVERAGE</x:v>
      </x:c>
      <x:c r="AC708" s="13" t="str">
        <x:f>IF(L708="UNRESOLVED","COVERAGE FIRST",IF(OR(L708="EXCLUDED",L708="OUT OF SCOPE"),"CLOSED BY COVERAGE",IF(AND(L708="COVERED",T708&lt;&gt;"UNRESOLVED"),"PARTIALLY ADOPTED","DECISIONS REMAIN")))</x:f>
        <x:v>COVERAGE FIRST</x:v>
      </x:c>
    </x:row>
    <x:row r="709">
      <x:c r="A709" s="13" t="str">
        <x:v>NAAFTC-HS6-150940</x:v>
      </x:c>
      <x:c r="B709" s="13" t="str">
        <x:v>150940</x:v>
      </x:c>
      <x:c r="C709" s="13" t="str">
        <x:v>15</x:v>
      </x:c>
      <x:c r="D709" s="13" t="str">
        <x:v>TRILATERAL_SPLIT_MERGE</x:v>
      </x:c>
      <x:c r="E709" s="13" t="str">
        <x:v>Pending</x:v>
      </x:c>
      <x:c r="F709" s="13" t="n">
        <x:v>4</x:v>
      </x:c>
      <x:c r="G709" s="13" t="n">
        <x:v>1</x:v>
      </x:c>
      <x:c r="H709" s="13" t="n">
        <x:v>1</x:v>
      </x:c>
      <x:c r="I709" s="13" t="str">
        <x:v>1509402030; 1509402090; 1509409030; 1509409090</x:v>
      </x:c>
      <x:c r="J709" s="13" t="str">
        <x:v>1509409100</x:v>
      </x:c>
      <x:c r="K709" s="13" t="str">
        <x:v>1509400000</x:v>
      </x:c>
      <x:c r="L709" s="13" t="str">
        <x:v>UNRESOLVED</x:v>
      </x:c>
      <x:c r="M709" s="13" t="str"/>
      <x:c r="N709" s="13" t="str">
        <x:v>NO / DEFAULT</x:v>
      </x:c>
      <x:c r="O709" s="13" t="str"/>
      <x:c r="P709" s="13" t="str">
        <x:v>NO / DEFAULT</x:v>
      </x:c>
      <x:c r="Q709" s="13" t="str"/>
      <x:c r="R709" s="13" t="str">
        <x:v>INDEPENDENT / DEFAULT</x:v>
      </x:c>
      <x:c r="S709" s="13" t="str"/>
      <x:c r="T709" s="13" t="str">
        <x:v>UNRESOLVED</x:v>
      </x:c>
      <x:c r="U709" s="13" t="str"/>
      <x:c r="V709" s="13" t="str"/>
      <x:c r="W709" s="13" t="str"/>
      <x:c r="X709" s="13" t="str">
        <x:f>IF(L709&lt;&gt;"COVERED","HELD — COVERAGE",IF(N709="YES — SENSITIVE","C ACTIONABLE","CHAPTER 5 DEFAULT"))</x:f>
        <x:v>HELD — COVERAGE</x:v>
      </x:c>
      <x:c r="Y709" s="13" t="str">
        <x:f>IF(L709&lt;&gt;"COVERED","HELD — COVERAGE",IF(P709="YES — MANAGED ACCESS","D ACTIONABLE","NO D FIELD"))</x:f>
        <x:v>HELD — COVERAGE</x:v>
      </x:c>
      <x:c r="Z709" s="13" t="str">
        <x:f>IF(L709&lt;&gt;"COVERED","HELD — COVERAGE",IF(OR(R709="PAIRED SYNCHRONIZED",R709="TRILATERAL SYNCHRONIZED"),"E ACTIONABLE","INDEPENDENT"))</x:f>
        <x:v>HELD — COVERAGE</x:v>
      </x:c>
      <x:c r="AA709" s="13" t="str">
        <x:f>IF(L709&lt;&gt;"COVERED","HELD — COVERAGE","WAIT FOR UPSTREAM COMPLETION")</x:f>
        <x:v>HELD — COVERAGE</x:v>
      </x:c>
      <x:c r="AB709" s="13" t="str">
        <x:f>IF(L709&lt;&gt;"COVERED","HELD — COVERAGE",IF(T709="UNRESOLVED","G DECISION REQUIRED",IF(T709="NOT APPLICABLE","G N/A","G ACTIONABLE")))</x:f>
        <x:v>HELD — COVERAGE</x:v>
      </x:c>
      <x:c r="AC709" s="13" t="str">
        <x:f>IF(L709="UNRESOLVED","COVERAGE FIRST",IF(OR(L709="EXCLUDED",L709="OUT OF SCOPE"),"CLOSED BY COVERAGE",IF(AND(L709="COVERED",T709&lt;&gt;"UNRESOLVED"),"PARTIALLY ADOPTED","DECISIONS REMAIN")))</x:f>
        <x:v>COVERAGE FIRST</x:v>
      </x:c>
    </x:row>
    <x:row r="710">
      <x:c r="A710" s="13" t="str">
        <x:v>NAAFTC-HS6-150990</x:v>
      </x:c>
      <x:c r="B710" s="13" t="str">
        <x:v>150990</x:v>
      </x:c>
      <x:c r="C710" s="13" t="str">
        <x:v>15</x:v>
      </x:c>
      <x:c r="D710" s="13" t="str">
        <x:v>TRILATERAL_SPLIT_MERGE</x:v>
      </x:c>
      <x:c r="E710" s="13" t="str">
        <x:v>Pending</x:v>
      </x:c>
      <x:c r="F710" s="13" t="n">
        <x:v>2</x:v>
      </x:c>
      <x:c r="G710" s="13" t="n">
        <x:v>2</x:v>
      </x:c>
      <x:c r="H710" s="13" t="n">
        <x:v>1</x:v>
      </x:c>
      <x:c r="I710" s="13" t="str">
        <x:v>1509902000; 1509904000</x:v>
      </x:c>
      <x:c r="J710" s="13" t="str">
        <x:v>1509909901; 1509909999</x:v>
      </x:c>
      <x:c r="K710" s="13" t="str">
        <x:v>15099000</x:v>
      </x:c>
      <x:c r="L710" s="13" t="str">
        <x:v>UNRESOLVED</x:v>
      </x:c>
      <x:c r="M710" s="13" t="str"/>
      <x:c r="N710" s="13" t="str">
        <x:v>NO / DEFAULT</x:v>
      </x:c>
      <x:c r="O710" s="13" t="str"/>
      <x:c r="P710" s="13" t="str">
        <x:v>NO / DEFAULT</x:v>
      </x:c>
      <x:c r="Q710" s="13" t="str"/>
      <x:c r="R710" s="13" t="str">
        <x:v>INDEPENDENT / DEFAULT</x:v>
      </x:c>
      <x:c r="S710" s="13" t="str"/>
      <x:c r="T710" s="13" t="str">
        <x:v>UNRESOLVED</x:v>
      </x:c>
      <x:c r="U710" s="13" t="str"/>
      <x:c r="V710" s="13" t="str"/>
      <x:c r="W710" s="13" t="str"/>
      <x:c r="X710" s="13" t="str">
        <x:f>IF(L710&lt;&gt;"COVERED","HELD — COVERAGE",IF(N710="YES — SENSITIVE","C ACTIONABLE","CHAPTER 5 DEFAULT"))</x:f>
        <x:v>HELD — COVERAGE</x:v>
      </x:c>
      <x:c r="Y710" s="13" t="str">
        <x:f>IF(L710&lt;&gt;"COVERED","HELD — COVERAGE",IF(P710="YES — MANAGED ACCESS","D ACTIONABLE","NO D FIELD"))</x:f>
        <x:v>HELD — COVERAGE</x:v>
      </x:c>
      <x:c r="Z710" s="13" t="str">
        <x:f>IF(L710&lt;&gt;"COVERED","HELD — COVERAGE",IF(OR(R710="PAIRED SYNCHRONIZED",R710="TRILATERAL SYNCHRONIZED"),"E ACTIONABLE","INDEPENDENT"))</x:f>
        <x:v>HELD — COVERAGE</x:v>
      </x:c>
      <x:c r="AA710" s="13" t="str">
        <x:f>IF(L710&lt;&gt;"COVERED","HELD — COVERAGE","WAIT FOR UPSTREAM COMPLETION")</x:f>
        <x:v>HELD — COVERAGE</x:v>
      </x:c>
      <x:c r="AB710" s="13" t="str">
        <x:f>IF(L710&lt;&gt;"COVERED","HELD — COVERAGE",IF(T710="UNRESOLVED","G DECISION REQUIRED",IF(T710="NOT APPLICABLE","G N/A","G ACTIONABLE")))</x:f>
        <x:v>HELD — COVERAGE</x:v>
      </x:c>
      <x:c r="AC710" s="13" t="str">
        <x:f>IF(L710="UNRESOLVED","COVERAGE FIRST",IF(OR(L710="EXCLUDED",L710="OUT OF SCOPE"),"CLOSED BY COVERAGE",IF(AND(L710="COVERED",T710&lt;&gt;"UNRESOLVED"),"PARTIALLY ADOPTED","DECISIONS REMAIN")))</x:f>
        <x:v>COVERAGE FIRST</x:v>
      </x:c>
    </x:row>
    <x:row r="711">
      <x:c r="A711" s="13" t="str">
        <x:v>NAAFTC-HS6-151010</x:v>
      </x:c>
      <x:c r="B711" s="13" t="str">
        <x:v>151010</x:v>
      </x:c>
      <x:c r="C711" s="13" t="str">
        <x:v>15</x:v>
      </x:c>
      <x:c r="D711" s="13" t="str">
        <x:v>TRILATERAL_SPLIT_MERGE</x:v>
      </x:c>
      <x:c r="E711" s="13" t="str">
        <x:v>Pending</x:v>
      </x:c>
      <x:c r="F711" s="13" t="n">
        <x:v>2</x:v>
      </x:c>
      <x:c r="G711" s="13" t="n">
        <x:v>1</x:v>
      </x:c>
      <x:c r="H711" s="13" t="n">
        <x:v>1</x:v>
      </x:c>
      <x:c r="I711" s="13" t="str">
        <x:v>1510101000; 1510109000</x:v>
      </x:c>
      <x:c r="J711" s="13" t="str">
        <x:v>1510100100</x:v>
      </x:c>
      <x:c r="K711" s="13" t="str">
        <x:v>1510100000</x:v>
      </x:c>
      <x:c r="L711" s="13" t="str">
        <x:v>UNRESOLVED</x:v>
      </x:c>
      <x:c r="M711" s="13" t="str"/>
      <x:c r="N711" s="13" t="str">
        <x:v>NO / DEFAULT</x:v>
      </x:c>
      <x:c r="O711" s="13" t="str"/>
      <x:c r="P711" s="13" t="str">
        <x:v>NO / DEFAULT</x:v>
      </x:c>
      <x:c r="Q711" s="13" t="str"/>
      <x:c r="R711" s="13" t="str">
        <x:v>INDEPENDENT / DEFAULT</x:v>
      </x:c>
      <x:c r="S711" s="13" t="str"/>
      <x:c r="T711" s="13" t="str">
        <x:v>UNRESOLVED</x:v>
      </x:c>
      <x:c r="U711" s="13" t="str"/>
      <x:c r="V711" s="13" t="str"/>
      <x:c r="W711" s="13" t="str"/>
      <x:c r="X711" s="13" t="str">
        <x:f>IF(L711&lt;&gt;"COVERED","HELD — COVERAGE",IF(N711="YES — SENSITIVE","C ACTIONABLE","CHAPTER 5 DEFAULT"))</x:f>
        <x:v>HELD — COVERAGE</x:v>
      </x:c>
      <x:c r="Y711" s="13" t="str">
        <x:f>IF(L711&lt;&gt;"COVERED","HELD — COVERAGE",IF(P711="YES — MANAGED ACCESS","D ACTIONABLE","NO D FIELD"))</x:f>
        <x:v>HELD — COVERAGE</x:v>
      </x:c>
      <x:c r="Z711" s="13" t="str">
        <x:f>IF(L711&lt;&gt;"COVERED","HELD — COVERAGE",IF(OR(R711="PAIRED SYNCHRONIZED",R711="TRILATERAL SYNCHRONIZED"),"E ACTIONABLE","INDEPENDENT"))</x:f>
        <x:v>HELD — COVERAGE</x:v>
      </x:c>
      <x:c r="AA711" s="13" t="str">
        <x:f>IF(L711&lt;&gt;"COVERED","HELD — COVERAGE","WAIT FOR UPSTREAM COMPLETION")</x:f>
        <x:v>HELD — COVERAGE</x:v>
      </x:c>
      <x:c r="AB711" s="13" t="str">
        <x:f>IF(L711&lt;&gt;"COVERED","HELD — COVERAGE",IF(T711="UNRESOLVED","G DECISION REQUIRED",IF(T711="NOT APPLICABLE","G N/A","G ACTIONABLE")))</x:f>
        <x:v>HELD — COVERAGE</x:v>
      </x:c>
      <x:c r="AC711" s="13" t="str">
        <x:f>IF(L711="UNRESOLVED","COVERAGE FIRST",IF(OR(L711="EXCLUDED",L711="OUT OF SCOPE"),"CLOSED BY COVERAGE",IF(AND(L711="COVERED",T711&lt;&gt;"UNRESOLVED"),"PARTIALLY ADOPTED","DECISIONS REMAIN")))</x:f>
        <x:v>COVERAGE FIRST</x:v>
      </x:c>
    </x:row>
    <x:row r="712">
      <x:c r="A712" s="13" t="str">
        <x:v>NAAFTC-HS6-151090</x:v>
      </x:c>
      <x:c r="B712" s="13" t="str">
        <x:v>151090</x:v>
      </x:c>
      <x:c r="C712" s="13" t="str">
        <x:v>15</x:v>
      </x:c>
      <x:c r="D712" s="13" t="str">
        <x:v>TRILATERAL_SPLIT_MERGE</x:v>
      </x:c>
      <x:c r="E712" s="13" t="str">
        <x:v>Pending</x:v>
      </x:c>
      <x:c r="F712" s="13" t="n">
        <x:v>3</x:v>
      </x:c>
      <x:c r="G712" s="13" t="n">
        <x:v>1</x:v>
      </x:c>
      <x:c r="H712" s="13" t="n">
        <x:v>1</x:v>
      </x:c>
      <x:c r="I712" s="13" t="str">
        <x:v>1510901000; 1510902000; 1510909000</x:v>
      </x:c>
      <x:c r="J712" s="13" t="str">
        <x:v>1510909900</x:v>
      </x:c>
      <x:c r="K712" s="13" t="str">
        <x:v>1510900000</x:v>
      </x:c>
      <x:c r="L712" s="13" t="str">
        <x:v>UNRESOLVED</x:v>
      </x:c>
      <x:c r="M712" s="13" t="str"/>
      <x:c r="N712" s="13" t="str">
        <x:v>NO / DEFAULT</x:v>
      </x:c>
      <x:c r="O712" s="13" t="str"/>
      <x:c r="P712" s="13" t="str">
        <x:v>NO / DEFAULT</x:v>
      </x:c>
      <x:c r="Q712" s="13" t="str"/>
      <x:c r="R712" s="13" t="str">
        <x:v>INDEPENDENT / DEFAULT</x:v>
      </x:c>
      <x:c r="S712" s="13" t="str"/>
      <x:c r="T712" s="13" t="str">
        <x:v>UNRESOLVED</x:v>
      </x:c>
      <x:c r="U712" s="13" t="str"/>
      <x:c r="V712" s="13" t="str"/>
      <x:c r="W712" s="13" t="str"/>
      <x:c r="X712" s="13" t="str">
        <x:f>IF(L712&lt;&gt;"COVERED","HELD — COVERAGE",IF(N712="YES — SENSITIVE","C ACTIONABLE","CHAPTER 5 DEFAULT"))</x:f>
        <x:v>HELD — COVERAGE</x:v>
      </x:c>
      <x:c r="Y712" s="13" t="str">
        <x:f>IF(L712&lt;&gt;"COVERED","HELD — COVERAGE",IF(P712="YES — MANAGED ACCESS","D ACTIONABLE","NO D FIELD"))</x:f>
        <x:v>HELD — COVERAGE</x:v>
      </x:c>
      <x:c r="Z712" s="13" t="str">
        <x:f>IF(L712&lt;&gt;"COVERED","HELD — COVERAGE",IF(OR(R712="PAIRED SYNCHRONIZED",R712="TRILATERAL SYNCHRONIZED"),"E ACTIONABLE","INDEPENDENT"))</x:f>
        <x:v>HELD — COVERAGE</x:v>
      </x:c>
      <x:c r="AA712" s="13" t="str">
        <x:f>IF(L712&lt;&gt;"COVERED","HELD — COVERAGE","WAIT FOR UPSTREAM COMPLETION")</x:f>
        <x:v>HELD — COVERAGE</x:v>
      </x:c>
      <x:c r="AB712" s="13" t="str">
        <x:f>IF(L712&lt;&gt;"COVERED","HELD — COVERAGE",IF(T712="UNRESOLVED","G DECISION REQUIRED",IF(T712="NOT APPLICABLE","G N/A","G ACTIONABLE")))</x:f>
        <x:v>HELD — COVERAGE</x:v>
      </x:c>
      <x:c r="AC712" s="13" t="str">
        <x:f>IF(L712="UNRESOLVED","COVERAGE FIRST",IF(OR(L712="EXCLUDED",L712="OUT OF SCOPE"),"CLOSED BY COVERAGE",IF(AND(L712="COVERED",T712&lt;&gt;"UNRESOLVED"),"PARTIALLY ADOPTED","DECISIONS REMAIN")))</x:f>
        <x:v>COVERAGE FIRST</x:v>
      </x:c>
    </x:row>
    <x:row r="713">
      <x:c r="A713" s="13" t="str">
        <x:v>NAAFTC-HS6-151110</x:v>
      </x:c>
      <x:c r="B713" s="13" t="str">
        <x:v>151110</x:v>
      </x:c>
      <x:c r="C713" s="13" t="str">
        <x:v>15</x:v>
      </x:c>
      <x:c r="D713" s="13" t="str">
        <x:v>TRILATERAL_1_TO_1_TO_1</x:v>
      </x:c>
      <x:c r="E713" s="13" t="str">
        <x:v>Pending</x:v>
      </x:c>
      <x:c r="F713" s="13" t="n">
        <x:v>1</x:v>
      </x:c>
      <x:c r="G713" s="13" t="n">
        <x:v>1</x:v>
      </x:c>
      <x:c r="H713" s="13" t="n">
        <x:v>1</x:v>
      </x:c>
      <x:c r="I713" s="13" t="str">
        <x:v>1511100000</x:v>
      </x:c>
      <x:c r="J713" s="13" t="str">
        <x:v>1511100100</x:v>
      </x:c>
      <x:c r="K713" s="13" t="str">
        <x:v>1511100000</x:v>
      </x:c>
      <x:c r="L713" s="13" t="str">
        <x:v>UNRESOLVED</x:v>
      </x:c>
      <x:c r="M713" s="13" t="str"/>
      <x:c r="N713" s="13" t="str">
        <x:v>NO / DEFAULT</x:v>
      </x:c>
      <x:c r="O713" s="13" t="str"/>
      <x:c r="P713" s="13" t="str">
        <x:v>NO / DEFAULT</x:v>
      </x:c>
      <x:c r="Q713" s="13" t="str"/>
      <x:c r="R713" s="13" t="str">
        <x:v>INDEPENDENT / DEFAULT</x:v>
      </x:c>
      <x:c r="S713" s="13" t="str"/>
      <x:c r="T713" s="13" t="str">
        <x:v>UNRESOLVED</x:v>
      </x:c>
      <x:c r="U713" s="13" t="str"/>
      <x:c r="V713" s="13" t="str"/>
      <x:c r="W713" s="13" t="str"/>
      <x:c r="X713" s="13" t="str">
        <x:f>IF(L713&lt;&gt;"COVERED","HELD — COVERAGE",IF(N713="YES — SENSITIVE","C ACTIONABLE","CHAPTER 5 DEFAULT"))</x:f>
        <x:v>HELD — COVERAGE</x:v>
      </x:c>
      <x:c r="Y713" s="13" t="str">
        <x:f>IF(L713&lt;&gt;"COVERED","HELD — COVERAGE",IF(P713="YES — MANAGED ACCESS","D ACTIONABLE","NO D FIELD"))</x:f>
        <x:v>HELD — COVERAGE</x:v>
      </x:c>
      <x:c r="Z713" s="13" t="str">
        <x:f>IF(L713&lt;&gt;"COVERED","HELD — COVERAGE",IF(OR(R713="PAIRED SYNCHRONIZED",R713="TRILATERAL SYNCHRONIZED"),"E ACTIONABLE","INDEPENDENT"))</x:f>
        <x:v>HELD — COVERAGE</x:v>
      </x:c>
      <x:c r="AA713" s="13" t="str">
        <x:f>IF(L713&lt;&gt;"COVERED","HELD — COVERAGE","WAIT FOR UPSTREAM COMPLETION")</x:f>
        <x:v>HELD — COVERAGE</x:v>
      </x:c>
      <x:c r="AB713" s="13" t="str">
        <x:f>IF(L713&lt;&gt;"COVERED","HELD — COVERAGE",IF(T713="UNRESOLVED","G DECISION REQUIRED",IF(T713="NOT APPLICABLE","G N/A","G ACTIONABLE")))</x:f>
        <x:v>HELD — COVERAGE</x:v>
      </x:c>
      <x:c r="AC713" s="13" t="str">
        <x:f>IF(L713="UNRESOLVED","COVERAGE FIRST",IF(OR(L713="EXCLUDED",L713="OUT OF SCOPE"),"CLOSED BY COVERAGE",IF(AND(L713="COVERED",T713&lt;&gt;"UNRESOLVED"),"PARTIALLY ADOPTED","DECISIONS REMAIN")))</x:f>
        <x:v>COVERAGE FIRST</x:v>
      </x:c>
    </x:row>
    <x:row r="714">
      <x:c r="A714" s="13" t="str">
        <x:v>NAAFTC-HS6-151190</x:v>
      </x:c>
      <x:c r="B714" s="13" t="str">
        <x:v>151190</x:v>
      </x:c>
      <x:c r="C714" s="13" t="str">
        <x:v>15</x:v>
      </x:c>
      <x:c r="D714" s="13" t="str">
        <x:v>TRILATERAL_1_TO_1_TO_1</x:v>
      </x:c>
      <x:c r="E714" s="13" t="str">
        <x:v>Pending</x:v>
      </x:c>
      <x:c r="F714" s="13" t="n">
        <x:v>1</x:v>
      </x:c>
      <x:c r="G714" s="13" t="n">
        <x:v>1</x:v>
      </x:c>
      <x:c r="H714" s="13" t="n">
        <x:v>1</x:v>
      </x:c>
      <x:c r="I714" s="13" t="str">
        <x:v>1511900000</x:v>
      </x:c>
      <x:c r="J714" s="13" t="str">
        <x:v>1511909900</x:v>
      </x:c>
      <x:c r="K714" s="13" t="str">
        <x:v>1511900000</x:v>
      </x:c>
      <x:c r="L714" s="13" t="str">
        <x:v>UNRESOLVED</x:v>
      </x:c>
      <x:c r="M714" s="13" t="str"/>
      <x:c r="N714" s="13" t="str">
        <x:v>NO / DEFAULT</x:v>
      </x:c>
      <x:c r="O714" s="13" t="str"/>
      <x:c r="P714" s="13" t="str">
        <x:v>NO / DEFAULT</x:v>
      </x:c>
      <x:c r="Q714" s="13" t="str"/>
      <x:c r="R714" s="13" t="str">
        <x:v>INDEPENDENT / DEFAULT</x:v>
      </x:c>
      <x:c r="S714" s="13" t="str"/>
      <x:c r="T714" s="13" t="str">
        <x:v>UNRESOLVED</x:v>
      </x:c>
      <x:c r="U714" s="13" t="str"/>
      <x:c r="V714" s="13" t="str"/>
      <x:c r="W714" s="13" t="str"/>
      <x:c r="X714" s="13" t="str">
        <x:f>IF(L714&lt;&gt;"COVERED","HELD — COVERAGE",IF(N714="YES — SENSITIVE","C ACTIONABLE","CHAPTER 5 DEFAULT"))</x:f>
        <x:v>HELD — COVERAGE</x:v>
      </x:c>
      <x:c r="Y714" s="13" t="str">
        <x:f>IF(L714&lt;&gt;"COVERED","HELD — COVERAGE",IF(P714="YES — MANAGED ACCESS","D ACTIONABLE","NO D FIELD"))</x:f>
        <x:v>HELD — COVERAGE</x:v>
      </x:c>
      <x:c r="Z714" s="13" t="str">
        <x:f>IF(L714&lt;&gt;"COVERED","HELD — COVERAGE",IF(OR(R714="PAIRED SYNCHRONIZED",R714="TRILATERAL SYNCHRONIZED"),"E ACTIONABLE","INDEPENDENT"))</x:f>
        <x:v>HELD — COVERAGE</x:v>
      </x:c>
      <x:c r="AA714" s="13" t="str">
        <x:f>IF(L714&lt;&gt;"COVERED","HELD — COVERAGE","WAIT FOR UPSTREAM COMPLETION")</x:f>
        <x:v>HELD — COVERAGE</x:v>
      </x:c>
      <x:c r="AB714" s="13" t="str">
        <x:f>IF(L714&lt;&gt;"COVERED","HELD — COVERAGE",IF(T714="UNRESOLVED","G DECISION REQUIRED",IF(T714="NOT APPLICABLE","G N/A","G ACTIONABLE")))</x:f>
        <x:v>HELD — COVERAGE</x:v>
      </x:c>
      <x:c r="AC714" s="13" t="str">
        <x:f>IF(L714="UNRESOLVED","COVERAGE FIRST",IF(OR(L714="EXCLUDED",L714="OUT OF SCOPE"),"CLOSED BY COVERAGE",IF(AND(L714="COVERED",T714&lt;&gt;"UNRESOLVED"),"PARTIALLY ADOPTED","DECISIONS REMAIN")))</x:f>
        <x:v>COVERAGE FIRST</x:v>
      </x:c>
    </x:row>
    <x:row r="715">
      <x:c r="A715" s="13" t="str">
        <x:v>NAAFTC-HS6-151211</x:v>
      </x:c>
      <x:c r="B715" s="13" t="str">
        <x:v>151211</x:v>
      </x:c>
      <x:c r="C715" s="13" t="str">
        <x:v>15</x:v>
      </x:c>
      <x:c r="D715" s="13" t="str">
        <x:v>TRILATERAL_SPLIT_MERGE</x:v>
      </x:c>
      <x:c r="E715" s="13" t="str">
        <x:v>Pending</x:v>
      </x:c>
      <x:c r="F715" s="13" t="n">
        <x:v>3</x:v>
      </x:c>
      <x:c r="G715" s="13" t="n">
        <x:v>1</x:v>
      </x:c>
      <x:c r="H715" s="13" t="n">
        <x:v>1</x:v>
      </x:c>
      <x:c r="I715" s="13" t="str">
        <x:v>1512110025; 1512110035; 1512110040</x:v>
      </x:c>
      <x:c r="J715" s="13" t="str">
        <x:v>1512110100</x:v>
      </x:c>
      <x:c r="K715" s="13" t="str">
        <x:v>1512110000</x:v>
      </x:c>
      <x:c r="L715" s="13" t="str">
        <x:v>UNRESOLVED</x:v>
      </x:c>
      <x:c r="M715" s="13" t="str"/>
      <x:c r="N715" s="13" t="str">
        <x:v>NO / DEFAULT</x:v>
      </x:c>
      <x:c r="O715" s="13" t="str"/>
      <x:c r="P715" s="13" t="str">
        <x:v>NO / DEFAULT</x:v>
      </x:c>
      <x:c r="Q715" s="13" t="str"/>
      <x:c r="R715" s="13" t="str">
        <x:v>INDEPENDENT / DEFAULT</x:v>
      </x:c>
      <x:c r="S715" s="13" t="str"/>
      <x:c r="T715" s="13" t="str">
        <x:v>UNRESOLVED</x:v>
      </x:c>
      <x:c r="U715" s="13" t="str"/>
      <x:c r="V715" s="13" t="str"/>
      <x:c r="W715" s="13" t="str"/>
      <x:c r="X715" s="13" t="str">
        <x:f>IF(L715&lt;&gt;"COVERED","HELD — COVERAGE",IF(N715="YES — SENSITIVE","C ACTIONABLE","CHAPTER 5 DEFAULT"))</x:f>
        <x:v>HELD — COVERAGE</x:v>
      </x:c>
      <x:c r="Y715" s="13" t="str">
        <x:f>IF(L715&lt;&gt;"COVERED","HELD — COVERAGE",IF(P715="YES — MANAGED ACCESS","D ACTIONABLE","NO D FIELD"))</x:f>
        <x:v>HELD — COVERAGE</x:v>
      </x:c>
      <x:c r="Z715" s="13" t="str">
        <x:f>IF(L715&lt;&gt;"COVERED","HELD — COVERAGE",IF(OR(R715="PAIRED SYNCHRONIZED",R715="TRILATERAL SYNCHRONIZED"),"E ACTIONABLE","INDEPENDENT"))</x:f>
        <x:v>HELD — COVERAGE</x:v>
      </x:c>
      <x:c r="AA715" s="13" t="str">
        <x:f>IF(L715&lt;&gt;"COVERED","HELD — COVERAGE","WAIT FOR UPSTREAM COMPLETION")</x:f>
        <x:v>HELD — COVERAGE</x:v>
      </x:c>
      <x:c r="AB715" s="13" t="str">
        <x:f>IF(L715&lt;&gt;"COVERED","HELD — COVERAGE",IF(T715="UNRESOLVED","G DECISION REQUIRED",IF(T715="NOT APPLICABLE","G N/A","G ACTIONABLE")))</x:f>
        <x:v>HELD — COVERAGE</x:v>
      </x:c>
      <x:c r="AC715" s="13" t="str">
        <x:f>IF(L715="UNRESOLVED","COVERAGE FIRST",IF(OR(L715="EXCLUDED",L715="OUT OF SCOPE"),"CLOSED BY COVERAGE",IF(AND(L715="COVERED",T715&lt;&gt;"UNRESOLVED"),"PARTIALLY ADOPTED","DECISIONS REMAIN")))</x:f>
        <x:v>COVERAGE FIRST</x:v>
      </x:c>
    </x:row>
    <x:row r="716">
      <x:c r="A716" s="13" t="str">
        <x:v>NAAFTC-HS6-151219</x:v>
      </x:c>
      <x:c r="B716" s="13" t="str">
        <x:v>151219</x:v>
      </x:c>
      <x:c r="C716" s="13" t="str">
        <x:v>15</x:v>
      </x:c>
      <x:c r="D716" s="13" t="str">
        <x:v>TRILATERAL_SPLIT_MERGE</x:v>
      </x:c>
      <x:c r="E716" s="13" t="str">
        <x:v>Pending</x:v>
      </x:c>
      <x:c r="F716" s="13" t="n">
        <x:v>3</x:v>
      </x:c>
      <x:c r="G716" s="13" t="n">
        <x:v>1</x:v>
      </x:c>
      <x:c r="H716" s="13" t="n">
        <x:v>4</x:v>
      </x:c>
      <x:c r="I716" s="13" t="str">
        <x:v>1512190025; 1512190035; 1512190040</x:v>
      </x:c>
      <x:c r="J716" s="13" t="str">
        <x:v>1512199900</x:v>
      </x:c>
      <x:c r="K716" s="13" t="str">
        <x:v>1512191100; 1512191900; 1512192100; 1512192900</x:v>
      </x:c>
      <x:c r="L716" s="13" t="str">
        <x:v>UNRESOLVED</x:v>
      </x:c>
      <x:c r="M716" s="13" t="str"/>
      <x:c r="N716" s="13" t="str">
        <x:v>NO / DEFAULT</x:v>
      </x:c>
      <x:c r="O716" s="13" t="str"/>
      <x:c r="P716" s="13" t="str">
        <x:v>NO / DEFAULT</x:v>
      </x:c>
      <x:c r="Q716" s="13" t="str"/>
      <x:c r="R716" s="13" t="str">
        <x:v>INDEPENDENT / DEFAULT</x:v>
      </x:c>
      <x:c r="S716" s="13" t="str"/>
      <x:c r="T716" s="13" t="str">
        <x:v>UNRESOLVED</x:v>
      </x:c>
      <x:c r="U716" s="13" t="str"/>
      <x:c r="V716" s="13" t="str"/>
      <x:c r="W716" s="13" t="str"/>
      <x:c r="X716" s="13" t="str">
        <x:f>IF(L716&lt;&gt;"COVERED","HELD — COVERAGE",IF(N716="YES — SENSITIVE","C ACTIONABLE","CHAPTER 5 DEFAULT"))</x:f>
        <x:v>HELD — COVERAGE</x:v>
      </x:c>
      <x:c r="Y716" s="13" t="str">
        <x:f>IF(L716&lt;&gt;"COVERED","HELD — COVERAGE",IF(P716="YES — MANAGED ACCESS","D ACTIONABLE","NO D FIELD"))</x:f>
        <x:v>HELD — COVERAGE</x:v>
      </x:c>
      <x:c r="Z716" s="13" t="str">
        <x:f>IF(L716&lt;&gt;"COVERED","HELD — COVERAGE",IF(OR(R716="PAIRED SYNCHRONIZED",R716="TRILATERAL SYNCHRONIZED"),"E ACTIONABLE","INDEPENDENT"))</x:f>
        <x:v>HELD — COVERAGE</x:v>
      </x:c>
      <x:c r="AA716" s="13" t="str">
        <x:f>IF(L716&lt;&gt;"COVERED","HELD — COVERAGE","WAIT FOR UPSTREAM COMPLETION")</x:f>
        <x:v>HELD — COVERAGE</x:v>
      </x:c>
      <x:c r="AB716" s="13" t="str">
        <x:f>IF(L716&lt;&gt;"COVERED","HELD — COVERAGE",IF(T716="UNRESOLVED","G DECISION REQUIRED",IF(T716="NOT APPLICABLE","G N/A","G ACTIONABLE")))</x:f>
        <x:v>HELD — COVERAGE</x:v>
      </x:c>
      <x:c r="AC716" s="13" t="str">
        <x:f>IF(L716="UNRESOLVED","COVERAGE FIRST",IF(OR(L716="EXCLUDED",L716="OUT OF SCOPE"),"CLOSED BY COVERAGE",IF(AND(L716="COVERED",T716&lt;&gt;"UNRESOLVED"),"PARTIALLY ADOPTED","DECISIONS REMAIN")))</x:f>
        <x:v>COVERAGE FIRST</x:v>
      </x:c>
    </x:row>
    <x:row r="717">
      <x:c r="A717" s="13" t="str">
        <x:v>NAAFTC-HS6-151221</x:v>
      </x:c>
      <x:c r="B717" s="13" t="str">
        <x:v>151221</x:v>
      </x:c>
      <x:c r="C717" s="13" t="str">
        <x:v>15</x:v>
      </x:c>
      <x:c r="D717" s="13" t="str">
        <x:v>TRILATERAL_1_TO_1_TO_1</x:v>
      </x:c>
      <x:c r="E717" s="13" t="str">
        <x:v>Pending</x:v>
      </x:c>
      <x:c r="F717" s="13" t="n">
        <x:v>1</x:v>
      </x:c>
      <x:c r="G717" s="13" t="n">
        <x:v>1</x:v>
      </x:c>
      <x:c r="H717" s="13" t="n">
        <x:v>1</x:v>
      </x:c>
      <x:c r="I717" s="13" t="str">
        <x:v>1512210000</x:v>
      </x:c>
      <x:c r="J717" s="13" t="str">
        <x:v>1512210100</x:v>
      </x:c>
      <x:c r="K717" s="13" t="str">
        <x:v>1512210000</x:v>
      </x:c>
      <x:c r="L717" s="13" t="str">
        <x:v>UNRESOLVED</x:v>
      </x:c>
      <x:c r="M717" s="13" t="str"/>
      <x:c r="N717" s="13" t="str">
        <x:v>NO / DEFAULT</x:v>
      </x:c>
      <x:c r="O717" s="13" t="str"/>
      <x:c r="P717" s="13" t="str">
        <x:v>NO / DEFAULT</x:v>
      </x:c>
      <x:c r="Q717" s="13" t="str"/>
      <x:c r="R717" s="13" t="str">
        <x:v>INDEPENDENT / DEFAULT</x:v>
      </x:c>
      <x:c r="S717" s="13" t="str"/>
      <x:c r="T717" s="13" t="str">
        <x:v>UNRESOLVED</x:v>
      </x:c>
      <x:c r="U717" s="13" t="str"/>
      <x:c r="V717" s="13" t="str"/>
      <x:c r="W717" s="13" t="str"/>
      <x:c r="X717" s="13" t="str">
        <x:f>IF(L717&lt;&gt;"COVERED","HELD — COVERAGE",IF(N717="YES — SENSITIVE","C ACTIONABLE","CHAPTER 5 DEFAULT"))</x:f>
        <x:v>HELD — COVERAGE</x:v>
      </x:c>
      <x:c r="Y717" s="13" t="str">
        <x:f>IF(L717&lt;&gt;"COVERED","HELD — COVERAGE",IF(P717="YES — MANAGED ACCESS","D ACTIONABLE","NO D FIELD"))</x:f>
        <x:v>HELD — COVERAGE</x:v>
      </x:c>
      <x:c r="Z717" s="13" t="str">
        <x:f>IF(L717&lt;&gt;"COVERED","HELD — COVERAGE",IF(OR(R717="PAIRED SYNCHRONIZED",R717="TRILATERAL SYNCHRONIZED"),"E ACTIONABLE","INDEPENDENT"))</x:f>
        <x:v>HELD — COVERAGE</x:v>
      </x:c>
      <x:c r="AA717" s="13" t="str">
        <x:f>IF(L717&lt;&gt;"COVERED","HELD — COVERAGE","WAIT FOR UPSTREAM COMPLETION")</x:f>
        <x:v>HELD — COVERAGE</x:v>
      </x:c>
      <x:c r="AB717" s="13" t="str">
        <x:f>IF(L717&lt;&gt;"COVERED","HELD — COVERAGE",IF(T717="UNRESOLVED","G DECISION REQUIRED",IF(T717="NOT APPLICABLE","G N/A","G ACTIONABLE")))</x:f>
        <x:v>HELD — COVERAGE</x:v>
      </x:c>
      <x:c r="AC717" s="13" t="str">
        <x:f>IF(L717="UNRESOLVED","COVERAGE FIRST",IF(OR(L717="EXCLUDED",L717="OUT OF SCOPE"),"CLOSED BY COVERAGE",IF(AND(L717="COVERED",T717&lt;&gt;"UNRESOLVED"),"PARTIALLY ADOPTED","DECISIONS REMAIN")))</x:f>
        <x:v>COVERAGE FIRST</x:v>
      </x:c>
    </x:row>
    <x:row r="718">
      <x:c r="A718" s="13" t="str">
        <x:v>NAAFTC-HS6-151229</x:v>
      </x:c>
      <x:c r="B718" s="13" t="str">
        <x:v>151229</x:v>
      </x:c>
      <x:c r="C718" s="13" t="str">
        <x:v>15</x:v>
      </x:c>
      <x:c r="D718" s="13" t="str">
        <x:v>TRILATERAL_SPLIT_MERGE</x:v>
      </x:c>
      <x:c r="E718" s="13" t="str">
        <x:v>Pending</x:v>
      </x:c>
      <x:c r="F718" s="13" t="n">
        <x:v>2</x:v>
      </x:c>
      <x:c r="G718" s="13" t="n">
        <x:v>1</x:v>
      </x:c>
      <x:c r="H718" s="13" t="n">
        <x:v>1</x:v>
      </x:c>
      <x:c r="I718" s="13" t="str">
        <x:v>1512290020; 1512290040</x:v>
      </x:c>
      <x:c r="J718" s="13" t="str">
        <x:v>1512299900</x:v>
      </x:c>
      <x:c r="K718" s="13" t="str">
        <x:v>1512290000</x:v>
      </x:c>
      <x:c r="L718" s="13" t="str">
        <x:v>UNRESOLVED</x:v>
      </x:c>
      <x:c r="M718" s="13" t="str"/>
      <x:c r="N718" s="13" t="str">
        <x:v>NO / DEFAULT</x:v>
      </x:c>
      <x:c r="O718" s="13" t="str"/>
      <x:c r="P718" s="13" t="str">
        <x:v>NO / DEFAULT</x:v>
      </x:c>
      <x:c r="Q718" s="13" t="str"/>
      <x:c r="R718" s="13" t="str">
        <x:v>INDEPENDENT / DEFAULT</x:v>
      </x:c>
      <x:c r="S718" s="13" t="str"/>
      <x:c r="T718" s="13" t="str">
        <x:v>UNRESOLVED</x:v>
      </x:c>
      <x:c r="U718" s="13" t="str"/>
      <x:c r="V718" s="13" t="str"/>
      <x:c r="W718" s="13" t="str"/>
      <x:c r="X718" s="13" t="str">
        <x:f>IF(L718&lt;&gt;"COVERED","HELD — COVERAGE",IF(N718="YES — SENSITIVE","C ACTIONABLE","CHAPTER 5 DEFAULT"))</x:f>
        <x:v>HELD — COVERAGE</x:v>
      </x:c>
      <x:c r="Y718" s="13" t="str">
        <x:f>IF(L718&lt;&gt;"COVERED","HELD — COVERAGE",IF(P718="YES — MANAGED ACCESS","D ACTIONABLE","NO D FIELD"))</x:f>
        <x:v>HELD — COVERAGE</x:v>
      </x:c>
      <x:c r="Z718" s="13" t="str">
        <x:f>IF(L718&lt;&gt;"COVERED","HELD — COVERAGE",IF(OR(R718="PAIRED SYNCHRONIZED",R718="TRILATERAL SYNCHRONIZED"),"E ACTIONABLE","INDEPENDENT"))</x:f>
        <x:v>HELD — COVERAGE</x:v>
      </x:c>
      <x:c r="AA718" s="13" t="str">
        <x:f>IF(L718&lt;&gt;"COVERED","HELD — COVERAGE","WAIT FOR UPSTREAM COMPLETION")</x:f>
        <x:v>HELD — COVERAGE</x:v>
      </x:c>
      <x:c r="AB718" s="13" t="str">
        <x:f>IF(L718&lt;&gt;"COVERED","HELD — COVERAGE",IF(T718="UNRESOLVED","G DECISION REQUIRED",IF(T718="NOT APPLICABLE","G N/A","G ACTIONABLE")))</x:f>
        <x:v>HELD — COVERAGE</x:v>
      </x:c>
      <x:c r="AC718" s="13" t="str">
        <x:f>IF(L718="UNRESOLVED","COVERAGE FIRST",IF(OR(L718="EXCLUDED",L718="OUT OF SCOPE"),"CLOSED BY COVERAGE",IF(AND(L718="COVERED",T718&lt;&gt;"UNRESOLVED"),"PARTIALLY ADOPTED","DECISIONS REMAIN")))</x:f>
        <x:v>COVERAGE FIRST</x:v>
      </x:c>
    </x:row>
    <x:row r="719">
      <x:c r="A719" s="13" t="str">
        <x:v>NAAFTC-HS6-151311</x:v>
      </x:c>
      <x:c r="B719" s="13" t="str">
        <x:v>151311</x:v>
      </x:c>
      <x:c r="C719" s="13" t="str">
        <x:v>15</x:v>
      </x:c>
      <x:c r="D719" s="13" t="str">
        <x:v>TRILATERAL_1_TO_1_TO_1</x:v>
      </x:c>
      <x:c r="E719" s="13" t="str">
        <x:v>Pending</x:v>
      </x:c>
      <x:c r="F719" s="13" t="n">
        <x:v>1</x:v>
      </x:c>
      <x:c r="G719" s="13" t="n">
        <x:v>1</x:v>
      </x:c>
      <x:c r="H719" s="13" t="n">
        <x:v>1</x:v>
      </x:c>
      <x:c r="I719" s="13" t="str">
        <x:v>1513110000</x:v>
      </x:c>
      <x:c r="J719" s="13" t="str">
        <x:v>1513110100</x:v>
      </x:c>
      <x:c r="K719" s="13" t="str">
        <x:v>1513110000</x:v>
      </x:c>
      <x:c r="L719" s="13" t="str">
        <x:v>UNRESOLVED</x:v>
      </x:c>
      <x:c r="M719" s="13" t="str"/>
      <x:c r="N719" s="13" t="str">
        <x:v>NO / DEFAULT</x:v>
      </x:c>
      <x:c r="O719" s="13" t="str"/>
      <x:c r="P719" s="13" t="str">
        <x:v>NO / DEFAULT</x:v>
      </x:c>
      <x:c r="Q719" s="13" t="str"/>
      <x:c r="R719" s="13" t="str">
        <x:v>INDEPENDENT / DEFAULT</x:v>
      </x:c>
      <x:c r="S719" s="13" t="str"/>
      <x:c r="T719" s="13" t="str">
        <x:v>UNRESOLVED</x:v>
      </x:c>
      <x:c r="U719" s="13" t="str"/>
      <x:c r="V719" s="13" t="str"/>
      <x:c r="W719" s="13" t="str"/>
      <x:c r="X719" s="13" t="str">
        <x:f>IF(L719&lt;&gt;"COVERED","HELD — COVERAGE",IF(N719="YES — SENSITIVE","C ACTIONABLE","CHAPTER 5 DEFAULT"))</x:f>
        <x:v>HELD — COVERAGE</x:v>
      </x:c>
      <x:c r="Y719" s="13" t="str">
        <x:f>IF(L719&lt;&gt;"COVERED","HELD — COVERAGE",IF(P719="YES — MANAGED ACCESS","D ACTIONABLE","NO D FIELD"))</x:f>
        <x:v>HELD — COVERAGE</x:v>
      </x:c>
      <x:c r="Z719" s="13" t="str">
        <x:f>IF(L719&lt;&gt;"COVERED","HELD — COVERAGE",IF(OR(R719="PAIRED SYNCHRONIZED",R719="TRILATERAL SYNCHRONIZED"),"E ACTIONABLE","INDEPENDENT"))</x:f>
        <x:v>HELD — COVERAGE</x:v>
      </x:c>
      <x:c r="AA719" s="13" t="str">
        <x:f>IF(L719&lt;&gt;"COVERED","HELD — COVERAGE","WAIT FOR UPSTREAM COMPLETION")</x:f>
        <x:v>HELD — COVERAGE</x:v>
      </x:c>
      <x:c r="AB719" s="13" t="str">
        <x:f>IF(L719&lt;&gt;"COVERED","HELD — COVERAGE",IF(T719="UNRESOLVED","G DECISION REQUIRED",IF(T719="NOT APPLICABLE","G N/A","G ACTIONABLE")))</x:f>
        <x:v>HELD — COVERAGE</x:v>
      </x:c>
      <x:c r="AC719" s="13" t="str">
        <x:f>IF(L719="UNRESOLVED","COVERAGE FIRST",IF(OR(L719="EXCLUDED",L719="OUT OF SCOPE"),"CLOSED BY COVERAGE",IF(AND(L719="COVERED",T719&lt;&gt;"UNRESOLVED"),"PARTIALLY ADOPTED","DECISIONS REMAIN")))</x:f>
        <x:v>COVERAGE FIRST</x:v>
      </x:c>
    </x:row>
    <x:row r="720">
      <x:c r="A720" s="13" t="str">
        <x:v>NAAFTC-HS6-151319</x:v>
      </x:c>
      <x:c r="B720" s="13" t="str">
        <x:v>151319</x:v>
      </x:c>
      <x:c r="C720" s="13" t="str">
        <x:v>15</x:v>
      </x:c>
      <x:c r="D720" s="13" t="str">
        <x:v>TRILATERAL_SPLIT_MERGE</x:v>
      </x:c>
      <x:c r="E720" s="13" t="str">
        <x:v>Pending</x:v>
      </x:c>
      <x:c r="F720" s="13" t="n">
        <x:v>2</x:v>
      </x:c>
      <x:c r="G720" s="13" t="n">
        <x:v>1</x:v>
      </x:c>
      <x:c r="H720" s="13" t="n">
        <x:v>2</x:v>
      </x:c>
      <x:c r="I720" s="13" t="str">
        <x:v>1513190030; 1513190090</x:v>
      </x:c>
      <x:c r="J720" s="13" t="str">
        <x:v>1513199900</x:v>
      </x:c>
      <x:c r="K720" s="13" t="str">
        <x:v>1513191000; 1513199000</x:v>
      </x:c>
      <x:c r="L720" s="13" t="str">
        <x:v>UNRESOLVED</x:v>
      </x:c>
      <x:c r="M720" s="13" t="str"/>
      <x:c r="N720" s="13" t="str">
        <x:v>NO / DEFAULT</x:v>
      </x:c>
      <x:c r="O720" s="13" t="str"/>
      <x:c r="P720" s="13" t="str">
        <x:v>NO / DEFAULT</x:v>
      </x:c>
      <x:c r="Q720" s="13" t="str"/>
      <x:c r="R720" s="13" t="str">
        <x:v>INDEPENDENT / DEFAULT</x:v>
      </x:c>
      <x:c r="S720" s="13" t="str"/>
      <x:c r="T720" s="13" t="str">
        <x:v>UNRESOLVED</x:v>
      </x:c>
      <x:c r="U720" s="13" t="str"/>
      <x:c r="V720" s="13" t="str"/>
      <x:c r="W720" s="13" t="str"/>
      <x:c r="X720" s="13" t="str">
        <x:f>IF(L720&lt;&gt;"COVERED","HELD — COVERAGE",IF(N720="YES — SENSITIVE","C ACTIONABLE","CHAPTER 5 DEFAULT"))</x:f>
        <x:v>HELD — COVERAGE</x:v>
      </x:c>
      <x:c r="Y720" s="13" t="str">
        <x:f>IF(L720&lt;&gt;"COVERED","HELD — COVERAGE",IF(P720="YES — MANAGED ACCESS","D ACTIONABLE","NO D FIELD"))</x:f>
        <x:v>HELD — COVERAGE</x:v>
      </x:c>
      <x:c r="Z720" s="13" t="str">
        <x:f>IF(L720&lt;&gt;"COVERED","HELD — COVERAGE",IF(OR(R720="PAIRED SYNCHRONIZED",R720="TRILATERAL SYNCHRONIZED"),"E ACTIONABLE","INDEPENDENT"))</x:f>
        <x:v>HELD — COVERAGE</x:v>
      </x:c>
      <x:c r="AA720" s="13" t="str">
        <x:f>IF(L720&lt;&gt;"COVERED","HELD — COVERAGE","WAIT FOR UPSTREAM COMPLETION")</x:f>
        <x:v>HELD — COVERAGE</x:v>
      </x:c>
      <x:c r="AB720" s="13" t="str">
        <x:f>IF(L720&lt;&gt;"COVERED","HELD — COVERAGE",IF(T720="UNRESOLVED","G DECISION REQUIRED",IF(T720="NOT APPLICABLE","G N/A","G ACTIONABLE")))</x:f>
        <x:v>HELD — COVERAGE</x:v>
      </x:c>
      <x:c r="AC720" s="13" t="str">
        <x:f>IF(L720="UNRESOLVED","COVERAGE FIRST",IF(OR(L720="EXCLUDED",L720="OUT OF SCOPE"),"CLOSED BY COVERAGE",IF(AND(L720="COVERED",T720&lt;&gt;"UNRESOLVED"),"PARTIALLY ADOPTED","DECISIONS REMAIN")))</x:f>
        <x:v>COVERAGE FIRST</x:v>
      </x:c>
    </x:row>
    <x:row r="721">
      <x:c r="A721" s="13" t="str">
        <x:v>NAAFTC-HS6-151321</x:v>
      </x:c>
      <x:c r="B721" s="13" t="str">
        <x:v>151321</x:v>
      </x:c>
      <x:c r="C721" s="13" t="str">
        <x:v>15</x:v>
      </x:c>
      <x:c r="D721" s="13" t="str">
        <x:v>TRILATERAL_1_TO_1_TO_1</x:v>
      </x:c>
      <x:c r="E721" s="13" t="str">
        <x:v>Pending</x:v>
      </x:c>
      <x:c r="F721" s="13" t="n">
        <x:v>1</x:v>
      </x:c>
      <x:c r="G721" s="13" t="n">
        <x:v>1</x:v>
      </x:c>
      <x:c r="H721" s="13" t="n">
        <x:v>1</x:v>
      </x:c>
      <x:c r="I721" s="13" t="str">
        <x:v>1513210000</x:v>
      </x:c>
      <x:c r="J721" s="13" t="str">
        <x:v>1513210100</x:v>
      </x:c>
      <x:c r="K721" s="13" t="str">
        <x:v>1513210000</x:v>
      </x:c>
      <x:c r="L721" s="13" t="str">
        <x:v>UNRESOLVED</x:v>
      </x:c>
      <x:c r="M721" s="13" t="str"/>
      <x:c r="N721" s="13" t="str">
        <x:v>NO / DEFAULT</x:v>
      </x:c>
      <x:c r="O721" s="13" t="str"/>
      <x:c r="P721" s="13" t="str">
        <x:v>NO / DEFAULT</x:v>
      </x:c>
      <x:c r="Q721" s="13" t="str"/>
      <x:c r="R721" s="13" t="str">
        <x:v>INDEPENDENT / DEFAULT</x:v>
      </x:c>
      <x:c r="S721" s="13" t="str"/>
      <x:c r="T721" s="13" t="str">
        <x:v>UNRESOLVED</x:v>
      </x:c>
      <x:c r="U721" s="13" t="str"/>
      <x:c r="V721" s="13" t="str"/>
      <x:c r="W721" s="13" t="str"/>
      <x:c r="X721" s="13" t="str">
        <x:f>IF(L721&lt;&gt;"COVERED","HELD — COVERAGE",IF(N721="YES — SENSITIVE","C ACTIONABLE","CHAPTER 5 DEFAULT"))</x:f>
        <x:v>HELD — COVERAGE</x:v>
      </x:c>
      <x:c r="Y721" s="13" t="str">
        <x:f>IF(L721&lt;&gt;"COVERED","HELD — COVERAGE",IF(P721="YES — MANAGED ACCESS","D ACTIONABLE","NO D FIELD"))</x:f>
        <x:v>HELD — COVERAGE</x:v>
      </x:c>
      <x:c r="Z721" s="13" t="str">
        <x:f>IF(L721&lt;&gt;"COVERED","HELD — COVERAGE",IF(OR(R721="PAIRED SYNCHRONIZED",R721="TRILATERAL SYNCHRONIZED"),"E ACTIONABLE","INDEPENDENT"))</x:f>
        <x:v>HELD — COVERAGE</x:v>
      </x:c>
      <x:c r="AA721" s="13" t="str">
        <x:f>IF(L721&lt;&gt;"COVERED","HELD — COVERAGE","WAIT FOR UPSTREAM COMPLETION")</x:f>
        <x:v>HELD — COVERAGE</x:v>
      </x:c>
      <x:c r="AB721" s="13" t="str">
        <x:f>IF(L721&lt;&gt;"COVERED","HELD — COVERAGE",IF(T721="UNRESOLVED","G DECISION REQUIRED",IF(T721="NOT APPLICABLE","G N/A","G ACTIONABLE")))</x:f>
        <x:v>HELD — COVERAGE</x:v>
      </x:c>
      <x:c r="AC721" s="13" t="str">
        <x:f>IF(L721="UNRESOLVED","COVERAGE FIRST",IF(OR(L721="EXCLUDED",L721="OUT OF SCOPE"),"CLOSED BY COVERAGE",IF(AND(L721="COVERED",T721&lt;&gt;"UNRESOLVED"),"PARTIALLY ADOPTED","DECISIONS REMAIN")))</x:f>
        <x:v>COVERAGE FIRST</x:v>
      </x:c>
    </x:row>
    <x:row r="722">
      <x:c r="A722" s="13" t="str">
        <x:v>NAAFTC-HS6-151329</x:v>
      </x:c>
      <x:c r="B722" s="13" t="str">
        <x:v>151329</x:v>
      </x:c>
      <x:c r="C722" s="13" t="str">
        <x:v>15</x:v>
      </x:c>
      <x:c r="D722" s="13" t="str">
        <x:v>TRILATERAL_1_TO_1_TO_1</x:v>
      </x:c>
      <x:c r="E722" s="13" t="str">
        <x:v>Pending</x:v>
      </x:c>
      <x:c r="F722" s="13" t="n">
        <x:v>1</x:v>
      </x:c>
      <x:c r="G722" s="13" t="n">
        <x:v>1</x:v>
      </x:c>
      <x:c r="H722" s="13" t="n">
        <x:v>1</x:v>
      </x:c>
      <x:c r="I722" s="13" t="str">
        <x:v>1513290000</x:v>
      </x:c>
      <x:c r="J722" s="13" t="str">
        <x:v>1513299900</x:v>
      </x:c>
      <x:c r="K722" s="13" t="str">
        <x:v>1513291000</x:v>
      </x:c>
      <x:c r="L722" s="13" t="str">
        <x:v>UNRESOLVED</x:v>
      </x:c>
      <x:c r="M722" s="13" t="str"/>
      <x:c r="N722" s="13" t="str">
        <x:v>NO / DEFAULT</x:v>
      </x:c>
      <x:c r="O722" s="13" t="str"/>
      <x:c r="P722" s="13" t="str">
        <x:v>NO / DEFAULT</x:v>
      </x:c>
      <x:c r="Q722" s="13" t="str"/>
      <x:c r="R722" s="13" t="str">
        <x:v>INDEPENDENT / DEFAULT</x:v>
      </x:c>
      <x:c r="S722" s="13" t="str"/>
      <x:c r="T722" s="13" t="str">
        <x:v>UNRESOLVED</x:v>
      </x:c>
      <x:c r="U722" s="13" t="str"/>
      <x:c r="V722" s="13" t="str"/>
      <x:c r="W722" s="13" t="str"/>
      <x:c r="X722" s="13" t="str">
        <x:f>IF(L722&lt;&gt;"COVERED","HELD — COVERAGE",IF(N722="YES — SENSITIVE","C ACTIONABLE","CHAPTER 5 DEFAULT"))</x:f>
        <x:v>HELD — COVERAGE</x:v>
      </x:c>
      <x:c r="Y722" s="13" t="str">
        <x:f>IF(L722&lt;&gt;"COVERED","HELD — COVERAGE",IF(P722="YES — MANAGED ACCESS","D ACTIONABLE","NO D FIELD"))</x:f>
        <x:v>HELD — COVERAGE</x:v>
      </x:c>
      <x:c r="Z722" s="13" t="str">
        <x:f>IF(L722&lt;&gt;"COVERED","HELD — COVERAGE",IF(OR(R722="PAIRED SYNCHRONIZED",R722="TRILATERAL SYNCHRONIZED"),"E ACTIONABLE","INDEPENDENT"))</x:f>
        <x:v>HELD — COVERAGE</x:v>
      </x:c>
      <x:c r="AA722" s="13" t="str">
        <x:f>IF(L722&lt;&gt;"COVERED","HELD — COVERAGE","WAIT FOR UPSTREAM COMPLETION")</x:f>
        <x:v>HELD — COVERAGE</x:v>
      </x:c>
      <x:c r="AB722" s="13" t="str">
        <x:f>IF(L722&lt;&gt;"COVERED","HELD — COVERAGE",IF(T722="UNRESOLVED","G DECISION REQUIRED",IF(T722="NOT APPLICABLE","G N/A","G ACTIONABLE")))</x:f>
        <x:v>HELD — COVERAGE</x:v>
      </x:c>
      <x:c r="AC722" s="13" t="str">
        <x:f>IF(L722="UNRESOLVED","COVERAGE FIRST",IF(OR(L722="EXCLUDED",L722="OUT OF SCOPE"),"CLOSED BY COVERAGE",IF(AND(L722="COVERED",T722&lt;&gt;"UNRESOLVED"),"PARTIALLY ADOPTED","DECISIONS REMAIN")))</x:f>
        <x:v>COVERAGE FIRST</x:v>
      </x:c>
    </x:row>
    <x:row r="723">
      <x:c r="A723" s="13" t="str">
        <x:v>NAAFTC-HS6-151411</x:v>
      </x:c>
      <x:c r="B723" s="13" t="str">
        <x:v>151411</x:v>
      </x:c>
      <x:c r="C723" s="13" t="str">
        <x:v>15</x:v>
      </x:c>
      <x:c r="D723" s="13" t="str">
        <x:v>TRILATERAL_1_TO_1_TO_1</x:v>
      </x:c>
      <x:c r="E723" s="13" t="str">
        <x:v>Pending</x:v>
      </x:c>
      <x:c r="F723" s="13" t="n">
        <x:v>1</x:v>
      </x:c>
      <x:c r="G723" s="13" t="n">
        <x:v>1</x:v>
      </x:c>
      <x:c r="H723" s="13" t="n">
        <x:v>1</x:v>
      </x:c>
      <x:c r="I723" s="13" t="str">
        <x:v>1514110000</x:v>
      </x:c>
      <x:c r="J723" s="13" t="str">
        <x:v>1514110100</x:v>
      </x:c>
      <x:c r="K723" s="13" t="str">
        <x:v>1514110000</x:v>
      </x:c>
      <x:c r="L723" s="13" t="str">
        <x:v>UNRESOLVED</x:v>
      </x:c>
      <x:c r="M723" s="13" t="str"/>
      <x:c r="N723" s="13" t="str">
        <x:v>NO / DEFAULT</x:v>
      </x:c>
      <x:c r="O723" s="13" t="str"/>
      <x:c r="P723" s="13" t="str">
        <x:v>NO / DEFAULT</x:v>
      </x:c>
      <x:c r="Q723" s="13" t="str"/>
      <x:c r="R723" s="13" t="str">
        <x:v>INDEPENDENT / DEFAULT</x:v>
      </x:c>
      <x:c r="S723" s="13" t="str"/>
      <x:c r="T723" s="13" t="str">
        <x:v>UNRESOLVED</x:v>
      </x:c>
      <x:c r="U723" s="13" t="str"/>
      <x:c r="V723" s="13" t="str"/>
      <x:c r="W723" s="13" t="str"/>
      <x:c r="X723" s="13" t="str">
        <x:f>IF(L723&lt;&gt;"COVERED","HELD — COVERAGE",IF(N723="YES — SENSITIVE","C ACTIONABLE","CHAPTER 5 DEFAULT"))</x:f>
        <x:v>HELD — COVERAGE</x:v>
      </x:c>
      <x:c r="Y723" s="13" t="str">
        <x:f>IF(L723&lt;&gt;"COVERED","HELD — COVERAGE",IF(P723="YES — MANAGED ACCESS","D ACTIONABLE","NO D FIELD"))</x:f>
        <x:v>HELD — COVERAGE</x:v>
      </x:c>
      <x:c r="Z723" s="13" t="str">
        <x:f>IF(L723&lt;&gt;"COVERED","HELD — COVERAGE",IF(OR(R723="PAIRED SYNCHRONIZED",R723="TRILATERAL SYNCHRONIZED"),"E ACTIONABLE","INDEPENDENT"))</x:f>
        <x:v>HELD — COVERAGE</x:v>
      </x:c>
      <x:c r="AA723" s="13" t="str">
        <x:f>IF(L723&lt;&gt;"COVERED","HELD — COVERAGE","WAIT FOR UPSTREAM COMPLETION")</x:f>
        <x:v>HELD — COVERAGE</x:v>
      </x:c>
      <x:c r="AB723" s="13" t="str">
        <x:f>IF(L723&lt;&gt;"COVERED","HELD — COVERAGE",IF(T723="UNRESOLVED","G DECISION REQUIRED",IF(T723="NOT APPLICABLE","G N/A","G ACTIONABLE")))</x:f>
        <x:v>HELD — COVERAGE</x:v>
      </x:c>
      <x:c r="AC723" s="13" t="str">
        <x:f>IF(L723="UNRESOLVED","COVERAGE FIRST",IF(OR(L723="EXCLUDED",L723="OUT OF SCOPE"),"CLOSED BY COVERAGE",IF(AND(L723="COVERED",T723&lt;&gt;"UNRESOLVED"),"PARTIALLY ADOPTED","DECISIONS REMAIN")))</x:f>
        <x:v>COVERAGE FIRST</x:v>
      </x:c>
    </x:row>
    <x:row r="724">
      <x:c r="A724" s="13" t="str">
        <x:v>NAAFTC-HS6-151419</x:v>
      </x:c>
      <x:c r="B724" s="13" t="str">
        <x:v>151419</x:v>
      </x:c>
      <x:c r="C724" s="13" t="str">
        <x:v>15</x:v>
      </x:c>
      <x:c r="D724" s="13" t="str">
        <x:v>TRILATERAL_1_TO_1_TO_1</x:v>
      </x:c>
      <x:c r="E724" s="13" t="str">
        <x:v>Pending</x:v>
      </x:c>
      <x:c r="F724" s="13" t="n">
        <x:v>1</x:v>
      </x:c>
      <x:c r="G724" s="13" t="n">
        <x:v>1</x:v>
      </x:c>
      <x:c r="H724" s="13" t="n">
        <x:v>1</x:v>
      </x:c>
      <x:c r="I724" s="13" t="str">
        <x:v>1514190000</x:v>
      </x:c>
      <x:c r="J724" s="13" t="str">
        <x:v>1514199900</x:v>
      </x:c>
      <x:c r="K724" s="13" t="str">
        <x:v>1514190000</x:v>
      </x:c>
      <x:c r="L724" s="13" t="str">
        <x:v>UNRESOLVED</x:v>
      </x:c>
      <x:c r="M724" s="13" t="str"/>
      <x:c r="N724" s="13" t="str">
        <x:v>NO / DEFAULT</x:v>
      </x:c>
      <x:c r="O724" s="13" t="str"/>
      <x:c r="P724" s="13" t="str">
        <x:v>NO / DEFAULT</x:v>
      </x:c>
      <x:c r="Q724" s="13" t="str"/>
      <x:c r="R724" s="13" t="str">
        <x:v>INDEPENDENT / DEFAULT</x:v>
      </x:c>
      <x:c r="S724" s="13" t="str"/>
      <x:c r="T724" s="13" t="str">
        <x:v>UNRESOLVED</x:v>
      </x:c>
      <x:c r="U724" s="13" t="str"/>
      <x:c r="V724" s="13" t="str"/>
      <x:c r="W724" s="13" t="str"/>
      <x:c r="X724" s="13" t="str">
        <x:f>IF(L724&lt;&gt;"COVERED","HELD — COVERAGE",IF(N724="YES — SENSITIVE","C ACTIONABLE","CHAPTER 5 DEFAULT"))</x:f>
        <x:v>HELD — COVERAGE</x:v>
      </x:c>
      <x:c r="Y724" s="13" t="str">
        <x:f>IF(L724&lt;&gt;"COVERED","HELD — COVERAGE",IF(P724="YES — MANAGED ACCESS","D ACTIONABLE","NO D FIELD"))</x:f>
        <x:v>HELD — COVERAGE</x:v>
      </x:c>
      <x:c r="Z724" s="13" t="str">
        <x:f>IF(L724&lt;&gt;"COVERED","HELD — COVERAGE",IF(OR(R724="PAIRED SYNCHRONIZED",R724="TRILATERAL SYNCHRONIZED"),"E ACTIONABLE","INDEPENDENT"))</x:f>
        <x:v>HELD — COVERAGE</x:v>
      </x:c>
      <x:c r="AA724" s="13" t="str">
        <x:f>IF(L724&lt;&gt;"COVERED","HELD — COVERAGE","WAIT FOR UPSTREAM COMPLETION")</x:f>
        <x:v>HELD — COVERAGE</x:v>
      </x:c>
      <x:c r="AB724" s="13" t="str">
        <x:f>IF(L724&lt;&gt;"COVERED","HELD — COVERAGE",IF(T724="UNRESOLVED","G DECISION REQUIRED",IF(T724="NOT APPLICABLE","G N/A","G ACTIONABLE")))</x:f>
        <x:v>HELD — COVERAGE</x:v>
      </x:c>
      <x:c r="AC724" s="13" t="str">
        <x:f>IF(L724="UNRESOLVED","COVERAGE FIRST",IF(OR(L724="EXCLUDED",L724="OUT OF SCOPE"),"CLOSED BY COVERAGE",IF(AND(L724="COVERED",T724&lt;&gt;"UNRESOLVED"),"PARTIALLY ADOPTED","DECISIONS REMAIN")))</x:f>
        <x:v>COVERAGE FIRST</x:v>
      </x:c>
    </x:row>
    <x:row r="725">
      <x:c r="A725" s="13" t="str">
        <x:v>NAAFTC-HS6-151491</x:v>
      </x:c>
      <x:c r="B725" s="13" t="str">
        <x:v>151491</x:v>
      </x:c>
      <x:c r="C725" s="13" t="str">
        <x:v>15</x:v>
      </x:c>
      <x:c r="D725" s="13" t="str">
        <x:v>TRILATERAL_SPLIT_MERGE</x:v>
      </x:c>
      <x:c r="E725" s="13" t="str">
        <x:v>Pending</x:v>
      </x:c>
      <x:c r="F725" s="13" t="n">
        <x:v>3</x:v>
      </x:c>
      <x:c r="G725" s="13" t="n">
        <x:v>1</x:v>
      </x:c>
      <x:c r="H725" s="13" t="n">
        <x:v>1</x:v>
      </x:c>
      <x:c r="I725" s="13" t="str">
        <x:v>1514911000; 1514919010; 1514919020</x:v>
      </x:c>
      <x:c r="J725" s="13" t="str">
        <x:v>1514910100</x:v>
      </x:c>
      <x:c r="K725" s="13" t="str">
        <x:v>1514910000</x:v>
      </x:c>
      <x:c r="L725" s="13" t="str">
        <x:v>UNRESOLVED</x:v>
      </x:c>
      <x:c r="M725" s="13" t="str"/>
      <x:c r="N725" s="13" t="str">
        <x:v>NO / DEFAULT</x:v>
      </x:c>
      <x:c r="O725" s="13" t="str"/>
      <x:c r="P725" s="13" t="str">
        <x:v>NO / DEFAULT</x:v>
      </x:c>
      <x:c r="Q725" s="13" t="str"/>
      <x:c r="R725" s="13" t="str">
        <x:v>INDEPENDENT / DEFAULT</x:v>
      </x:c>
      <x:c r="S725" s="13" t="str"/>
      <x:c r="T725" s="13" t="str">
        <x:v>UNRESOLVED</x:v>
      </x:c>
      <x:c r="U725" s="13" t="str"/>
      <x:c r="V725" s="13" t="str"/>
      <x:c r="W725" s="13" t="str"/>
      <x:c r="X725" s="13" t="str">
        <x:f>IF(L725&lt;&gt;"COVERED","HELD — COVERAGE",IF(N725="YES — SENSITIVE","C ACTIONABLE","CHAPTER 5 DEFAULT"))</x:f>
        <x:v>HELD — COVERAGE</x:v>
      </x:c>
      <x:c r="Y725" s="13" t="str">
        <x:f>IF(L725&lt;&gt;"COVERED","HELD — COVERAGE",IF(P725="YES — MANAGED ACCESS","D ACTIONABLE","NO D FIELD"))</x:f>
        <x:v>HELD — COVERAGE</x:v>
      </x:c>
      <x:c r="Z725" s="13" t="str">
        <x:f>IF(L725&lt;&gt;"COVERED","HELD — COVERAGE",IF(OR(R725="PAIRED SYNCHRONIZED",R725="TRILATERAL SYNCHRONIZED"),"E ACTIONABLE","INDEPENDENT"))</x:f>
        <x:v>HELD — COVERAGE</x:v>
      </x:c>
      <x:c r="AA725" s="13" t="str">
        <x:f>IF(L725&lt;&gt;"COVERED","HELD — COVERAGE","WAIT FOR UPSTREAM COMPLETION")</x:f>
        <x:v>HELD — COVERAGE</x:v>
      </x:c>
      <x:c r="AB725" s="13" t="str">
        <x:f>IF(L725&lt;&gt;"COVERED","HELD — COVERAGE",IF(T725="UNRESOLVED","G DECISION REQUIRED",IF(T725="NOT APPLICABLE","G N/A","G ACTIONABLE")))</x:f>
        <x:v>HELD — COVERAGE</x:v>
      </x:c>
      <x:c r="AC725" s="13" t="str">
        <x:f>IF(L725="UNRESOLVED","COVERAGE FIRST",IF(OR(L725="EXCLUDED",L725="OUT OF SCOPE"),"CLOSED BY COVERAGE",IF(AND(L725="COVERED",T725&lt;&gt;"UNRESOLVED"),"PARTIALLY ADOPTED","DECISIONS REMAIN")))</x:f>
        <x:v>COVERAGE FIRST</x:v>
      </x:c>
    </x:row>
    <x:row r="726">
      <x:c r="A726" s="13" t="str">
        <x:v>NAAFTC-HS6-151499</x:v>
      </x:c>
      <x:c r="B726" s="13" t="str">
        <x:v>151499</x:v>
      </x:c>
      <x:c r="C726" s="13" t="str">
        <x:v>15</x:v>
      </x:c>
      <x:c r="D726" s="13" t="str">
        <x:v>TRILATERAL_SPLIT_MERGE</x:v>
      </x:c>
      <x:c r="E726" s="13" t="str">
        <x:v>Pending</x:v>
      </x:c>
      <x:c r="F726" s="13" t="n">
        <x:v>5</x:v>
      </x:c>
      <x:c r="G726" s="13" t="n">
        <x:v>1</x:v>
      </x:c>
      <x:c r="H726" s="13" t="n">
        <x:v>1</x:v>
      </x:c>
      <x:c r="I726" s="13" t="str">
        <x:v>1514991000; 1514995010; 1514995020; 1514999010; 1514999020</x:v>
      </x:c>
      <x:c r="J726" s="13" t="str">
        <x:v>1514999900</x:v>
      </x:c>
      <x:c r="K726" s="13" t="str">
        <x:v>1514990000</x:v>
      </x:c>
      <x:c r="L726" s="13" t="str">
        <x:v>UNRESOLVED</x:v>
      </x:c>
      <x:c r="M726" s="13" t="str"/>
      <x:c r="N726" s="13" t="str">
        <x:v>NO / DEFAULT</x:v>
      </x:c>
      <x:c r="O726" s="13" t="str"/>
      <x:c r="P726" s="13" t="str">
        <x:v>NO / DEFAULT</x:v>
      </x:c>
      <x:c r="Q726" s="13" t="str"/>
      <x:c r="R726" s="13" t="str">
        <x:v>INDEPENDENT / DEFAULT</x:v>
      </x:c>
      <x:c r="S726" s="13" t="str"/>
      <x:c r="T726" s="13" t="str">
        <x:v>UNRESOLVED</x:v>
      </x:c>
      <x:c r="U726" s="13" t="str"/>
      <x:c r="V726" s="13" t="str"/>
      <x:c r="W726" s="13" t="str"/>
      <x:c r="X726" s="13" t="str">
        <x:f>IF(L726&lt;&gt;"COVERED","HELD — COVERAGE",IF(N726="YES — SENSITIVE","C ACTIONABLE","CHAPTER 5 DEFAULT"))</x:f>
        <x:v>HELD — COVERAGE</x:v>
      </x:c>
      <x:c r="Y726" s="13" t="str">
        <x:f>IF(L726&lt;&gt;"COVERED","HELD — COVERAGE",IF(P726="YES — MANAGED ACCESS","D ACTIONABLE","NO D FIELD"))</x:f>
        <x:v>HELD — COVERAGE</x:v>
      </x:c>
      <x:c r="Z726" s="13" t="str">
        <x:f>IF(L726&lt;&gt;"COVERED","HELD — COVERAGE",IF(OR(R726="PAIRED SYNCHRONIZED",R726="TRILATERAL SYNCHRONIZED"),"E ACTIONABLE","INDEPENDENT"))</x:f>
        <x:v>HELD — COVERAGE</x:v>
      </x:c>
      <x:c r="AA726" s="13" t="str">
        <x:f>IF(L726&lt;&gt;"COVERED","HELD — COVERAGE","WAIT FOR UPSTREAM COMPLETION")</x:f>
        <x:v>HELD — COVERAGE</x:v>
      </x:c>
      <x:c r="AB726" s="13" t="str">
        <x:f>IF(L726&lt;&gt;"COVERED","HELD — COVERAGE",IF(T726="UNRESOLVED","G DECISION REQUIRED",IF(T726="NOT APPLICABLE","G N/A","G ACTIONABLE")))</x:f>
        <x:v>HELD — COVERAGE</x:v>
      </x:c>
      <x:c r="AC726" s="13" t="str">
        <x:f>IF(L726="UNRESOLVED","COVERAGE FIRST",IF(OR(L726="EXCLUDED",L726="OUT OF SCOPE"),"CLOSED BY COVERAGE",IF(AND(L726="COVERED",T726&lt;&gt;"UNRESOLVED"),"PARTIALLY ADOPTED","DECISIONS REMAIN")))</x:f>
        <x:v>COVERAGE FIRST</x:v>
      </x:c>
    </x:row>
    <x:row r="727">
      <x:c r="A727" s="13" t="str">
        <x:v>NAAFTC-HS6-151511</x:v>
      </x:c>
      <x:c r="B727" s="13" t="str">
        <x:v>151511</x:v>
      </x:c>
      <x:c r="C727" s="13" t="str">
        <x:v>15</x:v>
      </x:c>
      <x:c r="D727" s="13" t="str">
        <x:v>TRILATERAL_1_TO_1_TO_1</x:v>
      </x:c>
      <x:c r="E727" s="13" t="str">
        <x:v>Pending</x:v>
      </x:c>
      <x:c r="F727" s="13" t="n">
        <x:v>1</x:v>
      </x:c>
      <x:c r="G727" s="13" t="n">
        <x:v>1</x:v>
      </x:c>
      <x:c r="H727" s="13" t="n">
        <x:v>1</x:v>
      </x:c>
      <x:c r="I727" s="13" t="str">
        <x:v>1515110000</x:v>
      </x:c>
      <x:c r="J727" s="13" t="str">
        <x:v>1515110100</x:v>
      </x:c>
      <x:c r="K727" s="13" t="str">
        <x:v>1515110000</x:v>
      </x:c>
      <x:c r="L727" s="13" t="str">
        <x:v>UNRESOLVED</x:v>
      </x:c>
      <x:c r="M727" s="13" t="str"/>
      <x:c r="N727" s="13" t="str">
        <x:v>NO / DEFAULT</x:v>
      </x:c>
      <x:c r="O727" s="13" t="str"/>
      <x:c r="P727" s="13" t="str">
        <x:v>NO / DEFAULT</x:v>
      </x:c>
      <x:c r="Q727" s="13" t="str"/>
      <x:c r="R727" s="13" t="str">
        <x:v>INDEPENDENT / DEFAULT</x:v>
      </x:c>
      <x:c r="S727" s="13" t="str"/>
      <x:c r="T727" s="13" t="str">
        <x:v>UNRESOLVED</x:v>
      </x:c>
      <x:c r="U727" s="13" t="str"/>
      <x:c r="V727" s="13" t="str"/>
      <x:c r="W727" s="13" t="str"/>
      <x:c r="X727" s="13" t="str">
        <x:f>IF(L727&lt;&gt;"COVERED","HELD — COVERAGE",IF(N727="YES — SENSITIVE","C ACTIONABLE","CHAPTER 5 DEFAULT"))</x:f>
        <x:v>HELD — COVERAGE</x:v>
      </x:c>
      <x:c r="Y727" s="13" t="str">
        <x:f>IF(L727&lt;&gt;"COVERED","HELD — COVERAGE",IF(P727="YES — MANAGED ACCESS","D ACTIONABLE","NO D FIELD"))</x:f>
        <x:v>HELD — COVERAGE</x:v>
      </x:c>
      <x:c r="Z727" s="13" t="str">
        <x:f>IF(L727&lt;&gt;"COVERED","HELD — COVERAGE",IF(OR(R727="PAIRED SYNCHRONIZED",R727="TRILATERAL SYNCHRONIZED"),"E ACTIONABLE","INDEPENDENT"))</x:f>
        <x:v>HELD — COVERAGE</x:v>
      </x:c>
      <x:c r="AA727" s="13" t="str">
        <x:f>IF(L727&lt;&gt;"COVERED","HELD — COVERAGE","WAIT FOR UPSTREAM COMPLETION")</x:f>
        <x:v>HELD — COVERAGE</x:v>
      </x:c>
      <x:c r="AB727" s="13" t="str">
        <x:f>IF(L727&lt;&gt;"COVERED","HELD — COVERAGE",IF(T727="UNRESOLVED","G DECISION REQUIRED",IF(T727="NOT APPLICABLE","G N/A","G ACTIONABLE")))</x:f>
        <x:v>HELD — COVERAGE</x:v>
      </x:c>
      <x:c r="AC727" s="13" t="str">
        <x:f>IF(L727="UNRESOLVED","COVERAGE FIRST",IF(OR(L727="EXCLUDED",L727="OUT OF SCOPE"),"CLOSED BY COVERAGE",IF(AND(L727="COVERED",T727&lt;&gt;"UNRESOLVED"),"PARTIALLY ADOPTED","DECISIONS REMAIN")))</x:f>
        <x:v>COVERAGE FIRST</x:v>
      </x:c>
    </x:row>
    <x:row r="728">
      <x:c r="A728" s="13" t="str">
        <x:v>NAAFTC-HS6-151519</x:v>
      </x:c>
      <x:c r="B728" s="13" t="str">
        <x:v>151519</x:v>
      </x:c>
      <x:c r="C728" s="13" t="str">
        <x:v>15</x:v>
      </x:c>
      <x:c r="D728" s="13" t="str">
        <x:v>TRILATERAL_SPLIT_MERGE</x:v>
      </x:c>
      <x:c r="E728" s="13" t="str">
        <x:v>Pending</x:v>
      </x:c>
      <x:c r="F728" s="13" t="n">
        <x:v>1</x:v>
      </x:c>
      <x:c r="G728" s="13" t="n">
        <x:v>1</x:v>
      </x:c>
      <x:c r="H728" s="13" t="n">
        <x:v>2</x:v>
      </x:c>
      <x:c r="I728" s="13" t="str">
        <x:v>1515190000</x:v>
      </x:c>
      <x:c r="J728" s="13" t="str">
        <x:v>1515199900</x:v>
      </x:c>
      <x:c r="K728" s="13" t="str">
        <x:v>1515191000; 1515199000</x:v>
      </x:c>
      <x:c r="L728" s="13" t="str">
        <x:v>UNRESOLVED</x:v>
      </x:c>
      <x:c r="M728" s="13" t="str"/>
      <x:c r="N728" s="13" t="str">
        <x:v>NO / DEFAULT</x:v>
      </x:c>
      <x:c r="O728" s="13" t="str"/>
      <x:c r="P728" s="13" t="str">
        <x:v>NO / DEFAULT</x:v>
      </x:c>
      <x:c r="Q728" s="13" t="str"/>
      <x:c r="R728" s="13" t="str">
        <x:v>INDEPENDENT / DEFAULT</x:v>
      </x:c>
      <x:c r="S728" s="13" t="str"/>
      <x:c r="T728" s="13" t="str">
        <x:v>UNRESOLVED</x:v>
      </x:c>
      <x:c r="U728" s="13" t="str"/>
      <x:c r="V728" s="13" t="str"/>
      <x:c r="W728" s="13" t="str"/>
      <x:c r="X728" s="13" t="str">
        <x:f>IF(L728&lt;&gt;"COVERED","HELD — COVERAGE",IF(N728="YES — SENSITIVE","C ACTIONABLE","CHAPTER 5 DEFAULT"))</x:f>
        <x:v>HELD — COVERAGE</x:v>
      </x:c>
      <x:c r="Y728" s="13" t="str">
        <x:f>IF(L728&lt;&gt;"COVERED","HELD — COVERAGE",IF(P728="YES — MANAGED ACCESS","D ACTIONABLE","NO D FIELD"))</x:f>
        <x:v>HELD — COVERAGE</x:v>
      </x:c>
      <x:c r="Z728" s="13" t="str">
        <x:f>IF(L728&lt;&gt;"COVERED","HELD — COVERAGE",IF(OR(R728="PAIRED SYNCHRONIZED",R728="TRILATERAL SYNCHRONIZED"),"E ACTIONABLE","INDEPENDENT"))</x:f>
        <x:v>HELD — COVERAGE</x:v>
      </x:c>
      <x:c r="AA728" s="13" t="str">
        <x:f>IF(L728&lt;&gt;"COVERED","HELD — COVERAGE","WAIT FOR UPSTREAM COMPLETION")</x:f>
        <x:v>HELD — COVERAGE</x:v>
      </x:c>
      <x:c r="AB728" s="13" t="str">
        <x:f>IF(L728&lt;&gt;"COVERED","HELD — COVERAGE",IF(T728="UNRESOLVED","G DECISION REQUIRED",IF(T728="NOT APPLICABLE","G N/A","G ACTIONABLE")))</x:f>
        <x:v>HELD — COVERAGE</x:v>
      </x:c>
      <x:c r="AC728" s="13" t="str">
        <x:f>IF(L728="UNRESOLVED","COVERAGE FIRST",IF(OR(L728="EXCLUDED",L728="OUT OF SCOPE"),"CLOSED BY COVERAGE",IF(AND(L728="COVERED",T728&lt;&gt;"UNRESOLVED"),"PARTIALLY ADOPTED","DECISIONS REMAIN")))</x:f>
        <x:v>COVERAGE FIRST</x:v>
      </x:c>
    </x:row>
    <x:row r="729">
      <x:c r="A729" s="13" t="str">
        <x:v>NAAFTC-HS6-151521</x:v>
      </x:c>
      <x:c r="B729" s="13" t="str">
        <x:v>151521</x:v>
      </x:c>
      <x:c r="C729" s="13" t="str">
        <x:v>15</x:v>
      </x:c>
      <x:c r="D729" s="13" t="str">
        <x:v>TRILATERAL_1_TO_1_TO_1</x:v>
      </x:c>
      <x:c r="E729" s="13" t="str">
        <x:v>Pending</x:v>
      </x:c>
      <x:c r="F729" s="13" t="n">
        <x:v>1</x:v>
      </x:c>
      <x:c r="G729" s="13" t="n">
        <x:v>1</x:v>
      </x:c>
      <x:c r="H729" s="13" t="n">
        <x:v>1</x:v>
      </x:c>
      <x:c r="I729" s="13" t="str">
        <x:v>1515210000</x:v>
      </x:c>
      <x:c r="J729" s="13" t="str">
        <x:v>1515210100</x:v>
      </x:c>
      <x:c r="K729" s="13" t="str">
        <x:v>1515210000</x:v>
      </x:c>
      <x:c r="L729" s="13" t="str">
        <x:v>UNRESOLVED</x:v>
      </x:c>
      <x:c r="M729" s="13" t="str"/>
      <x:c r="N729" s="13" t="str">
        <x:v>NO / DEFAULT</x:v>
      </x:c>
      <x:c r="O729" s="13" t="str"/>
      <x:c r="P729" s="13" t="str">
        <x:v>NO / DEFAULT</x:v>
      </x:c>
      <x:c r="Q729" s="13" t="str"/>
      <x:c r="R729" s="13" t="str">
        <x:v>INDEPENDENT / DEFAULT</x:v>
      </x:c>
      <x:c r="S729" s="13" t="str"/>
      <x:c r="T729" s="13" t="str">
        <x:v>UNRESOLVED</x:v>
      </x:c>
      <x:c r="U729" s="13" t="str"/>
      <x:c r="V729" s="13" t="str"/>
      <x:c r="W729" s="13" t="str"/>
      <x:c r="X729" s="13" t="str">
        <x:f>IF(L729&lt;&gt;"COVERED","HELD — COVERAGE",IF(N729="YES — SENSITIVE","C ACTIONABLE","CHAPTER 5 DEFAULT"))</x:f>
        <x:v>HELD — COVERAGE</x:v>
      </x:c>
      <x:c r="Y729" s="13" t="str">
        <x:f>IF(L729&lt;&gt;"COVERED","HELD — COVERAGE",IF(P729="YES — MANAGED ACCESS","D ACTIONABLE","NO D FIELD"))</x:f>
        <x:v>HELD — COVERAGE</x:v>
      </x:c>
      <x:c r="Z729" s="13" t="str">
        <x:f>IF(L729&lt;&gt;"COVERED","HELD — COVERAGE",IF(OR(R729="PAIRED SYNCHRONIZED",R729="TRILATERAL SYNCHRONIZED"),"E ACTIONABLE","INDEPENDENT"))</x:f>
        <x:v>HELD — COVERAGE</x:v>
      </x:c>
      <x:c r="AA729" s="13" t="str">
        <x:f>IF(L729&lt;&gt;"COVERED","HELD — COVERAGE","WAIT FOR UPSTREAM COMPLETION")</x:f>
        <x:v>HELD — COVERAGE</x:v>
      </x:c>
      <x:c r="AB729" s="13" t="str">
        <x:f>IF(L729&lt;&gt;"COVERED","HELD — COVERAGE",IF(T729="UNRESOLVED","G DECISION REQUIRED",IF(T729="NOT APPLICABLE","G N/A","G ACTIONABLE")))</x:f>
        <x:v>HELD — COVERAGE</x:v>
      </x:c>
      <x:c r="AC729" s="13" t="str">
        <x:f>IF(L729="UNRESOLVED","COVERAGE FIRST",IF(OR(L729="EXCLUDED",L729="OUT OF SCOPE"),"CLOSED BY COVERAGE",IF(AND(L729="COVERED",T729&lt;&gt;"UNRESOLVED"),"PARTIALLY ADOPTED","DECISIONS REMAIN")))</x:f>
        <x:v>COVERAGE FIRST</x:v>
      </x:c>
    </x:row>
    <x:row r="730">
      <x:c r="A730" s="13" t="str">
        <x:v>NAAFTC-HS6-151529</x:v>
      </x:c>
      <x:c r="B730" s="13" t="str">
        <x:v>151529</x:v>
      </x:c>
      <x:c r="C730" s="13" t="str">
        <x:v>15</x:v>
      </x:c>
      <x:c r="D730" s="13" t="str">
        <x:v>TRILATERAL_SPLIT_MERGE</x:v>
      </x:c>
      <x:c r="E730" s="13" t="str">
        <x:v>Pending</x:v>
      </x:c>
      <x:c r="F730" s="13" t="n">
        <x:v>2</x:v>
      </x:c>
      <x:c r="G730" s="13" t="n">
        <x:v>1</x:v>
      </x:c>
      <x:c r="H730" s="13" t="n">
        <x:v>1</x:v>
      </x:c>
      <x:c r="I730" s="13" t="str">
        <x:v>1515290020; 1515290040</x:v>
      </x:c>
      <x:c r="J730" s="13" t="str">
        <x:v>1515299900</x:v>
      </x:c>
      <x:c r="K730" s="13" t="str">
        <x:v>1515290000</x:v>
      </x:c>
      <x:c r="L730" s="13" t="str">
        <x:v>UNRESOLVED</x:v>
      </x:c>
      <x:c r="M730" s="13" t="str"/>
      <x:c r="N730" s="13" t="str">
        <x:v>NO / DEFAULT</x:v>
      </x:c>
      <x:c r="O730" s="13" t="str"/>
      <x:c r="P730" s="13" t="str">
        <x:v>NO / DEFAULT</x:v>
      </x:c>
      <x:c r="Q730" s="13" t="str"/>
      <x:c r="R730" s="13" t="str">
        <x:v>INDEPENDENT / DEFAULT</x:v>
      </x:c>
      <x:c r="S730" s="13" t="str"/>
      <x:c r="T730" s="13" t="str">
        <x:v>UNRESOLVED</x:v>
      </x:c>
      <x:c r="U730" s="13" t="str"/>
      <x:c r="V730" s="13" t="str"/>
      <x:c r="W730" s="13" t="str"/>
      <x:c r="X730" s="13" t="str">
        <x:f>IF(L730&lt;&gt;"COVERED","HELD — COVERAGE",IF(N730="YES — SENSITIVE","C ACTIONABLE","CHAPTER 5 DEFAULT"))</x:f>
        <x:v>HELD — COVERAGE</x:v>
      </x:c>
      <x:c r="Y730" s="13" t="str">
        <x:f>IF(L730&lt;&gt;"COVERED","HELD — COVERAGE",IF(P730="YES — MANAGED ACCESS","D ACTIONABLE","NO D FIELD"))</x:f>
        <x:v>HELD — COVERAGE</x:v>
      </x:c>
      <x:c r="Z730" s="13" t="str">
        <x:f>IF(L730&lt;&gt;"COVERED","HELD — COVERAGE",IF(OR(R730="PAIRED SYNCHRONIZED",R730="TRILATERAL SYNCHRONIZED"),"E ACTIONABLE","INDEPENDENT"))</x:f>
        <x:v>HELD — COVERAGE</x:v>
      </x:c>
      <x:c r="AA730" s="13" t="str">
        <x:f>IF(L730&lt;&gt;"COVERED","HELD — COVERAGE","WAIT FOR UPSTREAM COMPLETION")</x:f>
        <x:v>HELD — COVERAGE</x:v>
      </x:c>
      <x:c r="AB730" s="13" t="str">
        <x:f>IF(L730&lt;&gt;"COVERED","HELD — COVERAGE",IF(T730="UNRESOLVED","G DECISION REQUIRED",IF(T730="NOT APPLICABLE","G N/A","G ACTIONABLE")))</x:f>
        <x:v>HELD — COVERAGE</x:v>
      </x:c>
      <x:c r="AC730" s="13" t="str">
        <x:f>IF(L730="UNRESOLVED","COVERAGE FIRST",IF(OR(L730="EXCLUDED",L730="OUT OF SCOPE"),"CLOSED BY COVERAGE",IF(AND(L730="COVERED",T730&lt;&gt;"UNRESOLVED"),"PARTIALLY ADOPTED","DECISIONS REMAIN")))</x:f>
        <x:v>COVERAGE FIRST</x:v>
      </x:c>
    </x:row>
    <x:row r="731">
      <x:c r="A731" s="13" t="str">
        <x:v>NAAFTC-HS6-151530</x:v>
      </x:c>
      <x:c r="B731" s="13" t="str">
        <x:v>151530</x:v>
      </x:c>
      <x:c r="C731" s="13" t="str">
        <x:v>15</x:v>
      </x:c>
      <x:c r="D731" s="13" t="str">
        <x:v>TRILATERAL_1_TO_1_TO_1</x:v>
      </x:c>
      <x:c r="E731" s="13" t="str">
        <x:v>Pending</x:v>
      </x:c>
      <x:c r="F731" s="13" t="n">
        <x:v>1</x:v>
      </x:c>
      <x:c r="G731" s="13" t="n">
        <x:v>1</x:v>
      </x:c>
      <x:c r="H731" s="13" t="n">
        <x:v>1</x:v>
      </x:c>
      <x:c r="I731" s="13" t="str">
        <x:v>1515300000</x:v>
      </x:c>
      <x:c r="J731" s="13" t="str">
        <x:v>1515300100</x:v>
      </x:c>
      <x:c r="K731" s="13" t="str">
        <x:v>1515300000</x:v>
      </x:c>
      <x:c r="L731" s="13" t="str">
        <x:v>UNRESOLVED</x:v>
      </x:c>
      <x:c r="M731" s="13" t="str"/>
      <x:c r="N731" s="13" t="str">
        <x:v>NO / DEFAULT</x:v>
      </x:c>
      <x:c r="O731" s="13" t="str"/>
      <x:c r="P731" s="13" t="str">
        <x:v>NO / DEFAULT</x:v>
      </x:c>
      <x:c r="Q731" s="13" t="str"/>
      <x:c r="R731" s="13" t="str">
        <x:v>INDEPENDENT / DEFAULT</x:v>
      </x:c>
      <x:c r="S731" s="13" t="str"/>
      <x:c r="T731" s="13" t="str">
        <x:v>UNRESOLVED</x:v>
      </x:c>
      <x:c r="U731" s="13" t="str"/>
      <x:c r="V731" s="13" t="str"/>
      <x:c r="W731" s="13" t="str"/>
      <x:c r="X731" s="13" t="str">
        <x:f>IF(L731&lt;&gt;"COVERED","HELD — COVERAGE",IF(N731="YES — SENSITIVE","C ACTIONABLE","CHAPTER 5 DEFAULT"))</x:f>
        <x:v>HELD — COVERAGE</x:v>
      </x:c>
      <x:c r="Y731" s="13" t="str">
        <x:f>IF(L731&lt;&gt;"COVERED","HELD — COVERAGE",IF(P731="YES — MANAGED ACCESS","D ACTIONABLE","NO D FIELD"))</x:f>
        <x:v>HELD — COVERAGE</x:v>
      </x:c>
      <x:c r="Z731" s="13" t="str">
        <x:f>IF(L731&lt;&gt;"COVERED","HELD — COVERAGE",IF(OR(R731="PAIRED SYNCHRONIZED",R731="TRILATERAL SYNCHRONIZED"),"E ACTIONABLE","INDEPENDENT"))</x:f>
        <x:v>HELD — COVERAGE</x:v>
      </x:c>
      <x:c r="AA731" s="13" t="str">
        <x:f>IF(L731&lt;&gt;"COVERED","HELD — COVERAGE","WAIT FOR UPSTREAM COMPLETION")</x:f>
        <x:v>HELD — COVERAGE</x:v>
      </x:c>
      <x:c r="AB731" s="13" t="str">
        <x:f>IF(L731&lt;&gt;"COVERED","HELD — COVERAGE",IF(T731="UNRESOLVED","G DECISION REQUIRED",IF(T731="NOT APPLICABLE","G N/A","G ACTIONABLE")))</x:f>
        <x:v>HELD — COVERAGE</x:v>
      </x:c>
      <x:c r="AC731" s="13" t="str">
        <x:f>IF(L731="UNRESOLVED","COVERAGE FIRST",IF(OR(L731="EXCLUDED",L731="OUT OF SCOPE"),"CLOSED BY COVERAGE",IF(AND(L731="COVERED",T731&lt;&gt;"UNRESOLVED"),"PARTIALLY ADOPTED","DECISIONS REMAIN")))</x:f>
        <x:v>COVERAGE FIRST</x:v>
      </x:c>
    </x:row>
    <x:row r="732">
      <x:c r="A732" s="13" t="str">
        <x:v>NAAFTC-HS6-151550</x:v>
      </x:c>
      <x:c r="B732" s="13" t="str">
        <x:v>151550</x:v>
      </x:c>
      <x:c r="C732" s="13" t="str">
        <x:v>15</x:v>
      </x:c>
      <x:c r="D732" s="13" t="str">
        <x:v>TRILATERAL_SPLIT_MERGE</x:v>
      </x:c>
      <x:c r="E732" s="13" t="str">
        <x:v>Pending</x:v>
      </x:c>
      <x:c r="F732" s="13" t="n">
        <x:v>1</x:v>
      </x:c>
      <x:c r="G732" s="13" t="n">
        <x:v>1</x:v>
      </x:c>
      <x:c r="H732" s="13" t="n">
        <x:v>2</x:v>
      </x:c>
      <x:c r="I732" s="13" t="str">
        <x:v>1515500000</x:v>
      </x:c>
      <x:c r="J732" s="13" t="str">
        <x:v>1515500100</x:v>
      </x:c>
      <x:c r="K732" s="13" t="str">
        <x:v>1515501000; 1515509000</x:v>
      </x:c>
      <x:c r="L732" s="13" t="str">
        <x:v>UNRESOLVED</x:v>
      </x:c>
      <x:c r="M732" s="13" t="str"/>
      <x:c r="N732" s="13" t="str">
        <x:v>NO / DEFAULT</x:v>
      </x:c>
      <x:c r="O732" s="13" t="str"/>
      <x:c r="P732" s="13" t="str">
        <x:v>NO / DEFAULT</x:v>
      </x:c>
      <x:c r="Q732" s="13" t="str"/>
      <x:c r="R732" s="13" t="str">
        <x:v>INDEPENDENT / DEFAULT</x:v>
      </x:c>
      <x:c r="S732" s="13" t="str"/>
      <x:c r="T732" s="13" t="str">
        <x:v>UNRESOLVED</x:v>
      </x:c>
      <x:c r="U732" s="13" t="str"/>
      <x:c r="V732" s="13" t="str"/>
      <x:c r="W732" s="13" t="str"/>
      <x:c r="X732" s="13" t="str">
        <x:f>IF(L732&lt;&gt;"COVERED","HELD — COVERAGE",IF(N732="YES — SENSITIVE","C ACTIONABLE","CHAPTER 5 DEFAULT"))</x:f>
        <x:v>HELD — COVERAGE</x:v>
      </x:c>
      <x:c r="Y732" s="13" t="str">
        <x:f>IF(L732&lt;&gt;"COVERED","HELD — COVERAGE",IF(P732="YES — MANAGED ACCESS","D ACTIONABLE","NO D FIELD"))</x:f>
        <x:v>HELD — COVERAGE</x:v>
      </x:c>
      <x:c r="Z732" s="13" t="str">
        <x:f>IF(L732&lt;&gt;"COVERED","HELD — COVERAGE",IF(OR(R732="PAIRED SYNCHRONIZED",R732="TRILATERAL SYNCHRONIZED"),"E ACTIONABLE","INDEPENDENT"))</x:f>
        <x:v>HELD — COVERAGE</x:v>
      </x:c>
      <x:c r="AA732" s="13" t="str">
        <x:f>IF(L732&lt;&gt;"COVERED","HELD — COVERAGE","WAIT FOR UPSTREAM COMPLETION")</x:f>
        <x:v>HELD — COVERAGE</x:v>
      </x:c>
      <x:c r="AB732" s="13" t="str">
        <x:f>IF(L732&lt;&gt;"COVERED","HELD — COVERAGE",IF(T732="UNRESOLVED","G DECISION REQUIRED",IF(T732="NOT APPLICABLE","G N/A","G ACTIONABLE")))</x:f>
        <x:v>HELD — COVERAGE</x:v>
      </x:c>
      <x:c r="AC732" s="13" t="str">
        <x:f>IF(L732="UNRESOLVED","COVERAGE FIRST",IF(OR(L732="EXCLUDED",L732="OUT OF SCOPE"),"CLOSED BY COVERAGE",IF(AND(L732="COVERED",T732&lt;&gt;"UNRESOLVED"),"PARTIALLY ADOPTED","DECISIONS REMAIN")))</x:f>
        <x:v>COVERAGE FIRST</x:v>
      </x:c>
    </x:row>
    <x:row r="733">
      <x:c r="A733" s="13" t="str">
        <x:v>NAAFTC-HS6-151560</x:v>
      </x:c>
      <x:c r="B733" s="13" t="str">
        <x:v>151560</x:v>
      </x:c>
      <x:c r="C733" s="13" t="str">
        <x:v>15</x:v>
      </x:c>
      <x:c r="D733" s="13" t="str">
        <x:v>TRILATERAL_1_TO_1_TO_1</x:v>
      </x:c>
      <x:c r="E733" s="13" t="str">
        <x:v>Pending</x:v>
      </x:c>
      <x:c r="F733" s="13" t="n">
        <x:v>1</x:v>
      </x:c>
      <x:c r="G733" s="13" t="n">
        <x:v>1</x:v>
      </x:c>
      <x:c r="H733" s="13" t="n">
        <x:v>1</x:v>
      </x:c>
      <x:c r="I733" s="13" t="str">
        <x:v>1515600500</x:v>
      </x:c>
      <x:c r="J733" s="13" t="str">
        <x:v>1515600100</x:v>
      </x:c>
      <x:c r="K733" s="13" t="str">
        <x:v>1515600000</x:v>
      </x:c>
      <x:c r="L733" s="13" t="str">
        <x:v>UNRESOLVED</x:v>
      </x:c>
      <x:c r="M733" s="13" t="str"/>
      <x:c r="N733" s="13" t="str">
        <x:v>NO / DEFAULT</x:v>
      </x:c>
      <x:c r="O733" s="13" t="str"/>
      <x:c r="P733" s="13" t="str">
        <x:v>NO / DEFAULT</x:v>
      </x:c>
      <x:c r="Q733" s="13" t="str"/>
      <x:c r="R733" s="13" t="str">
        <x:v>INDEPENDENT / DEFAULT</x:v>
      </x:c>
      <x:c r="S733" s="13" t="str"/>
      <x:c r="T733" s="13" t="str">
        <x:v>UNRESOLVED</x:v>
      </x:c>
      <x:c r="U733" s="13" t="str"/>
      <x:c r="V733" s="13" t="str"/>
      <x:c r="W733" s="13" t="str"/>
      <x:c r="X733" s="13" t="str">
        <x:f>IF(L733&lt;&gt;"COVERED","HELD — COVERAGE",IF(N733="YES — SENSITIVE","C ACTIONABLE","CHAPTER 5 DEFAULT"))</x:f>
        <x:v>HELD — COVERAGE</x:v>
      </x:c>
      <x:c r="Y733" s="13" t="str">
        <x:f>IF(L733&lt;&gt;"COVERED","HELD — COVERAGE",IF(P733="YES — MANAGED ACCESS","D ACTIONABLE","NO D FIELD"))</x:f>
        <x:v>HELD — COVERAGE</x:v>
      </x:c>
      <x:c r="Z733" s="13" t="str">
        <x:f>IF(L733&lt;&gt;"COVERED","HELD — COVERAGE",IF(OR(R733="PAIRED SYNCHRONIZED",R733="TRILATERAL SYNCHRONIZED"),"E ACTIONABLE","INDEPENDENT"))</x:f>
        <x:v>HELD — COVERAGE</x:v>
      </x:c>
      <x:c r="AA733" s="13" t="str">
        <x:f>IF(L733&lt;&gt;"COVERED","HELD — COVERAGE","WAIT FOR UPSTREAM COMPLETION")</x:f>
        <x:v>HELD — COVERAGE</x:v>
      </x:c>
      <x:c r="AB733" s="13" t="str">
        <x:f>IF(L733&lt;&gt;"COVERED","HELD — COVERAGE",IF(T733="UNRESOLVED","G DECISION REQUIRED",IF(T733="NOT APPLICABLE","G N/A","G ACTIONABLE")))</x:f>
        <x:v>HELD — COVERAGE</x:v>
      </x:c>
      <x:c r="AC733" s="13" t="str">
        <x:f>IF(L733="UNRESOLVED","COVERAGE FIRST",IF(OR(L733="EXCLUDED",L733="OUT OF SCOPE"),"CLOSED BY COVERAGE",IF(AND(L733="COVERED",T733&lt;&gt;"UNRESOLVED"),"PARTIALLY ADOPTED","DECISIONS REMAIN")))</x:f>
        <x:v>COVERAGE FIRST</x:v>
      </x:c>
    </x:row>
    <x:row r="734">
      <x:c r="A734" s="13" t="str">
        <x:v>NAAFTC-HS6-151590</x:v>
      </x:c>
      <x:c r="B734" s="13" t="str">
        <x:v>151590</x:v>
      </x:c>
      <x:c r="C734" s="13" t="str">
        <x:v>15</x:v>
      </x:c>
      <x:c r="D734" s="13" t="str">
        <x:v>TRILATERAL_SPLIT_MERGE</x:v>
      </x:c>
      <x:c r="E734" s="13" t="str">
        <x:v>Pending</x:v>
      </x:c>
      <x:c r="F734" s="13" t="n">
        <x:v>7</x:v>
      </x:c>
      <x:c r="G734" s="13" t="n">
        <x:v>1</x:v>
      </x:c>
      <x:c r="H734" s="13" t="n">
        <x:v>1</x:v>
      </x:c>
      <x:c r="I734" s="13" t="str">
        <x:v>1515902100; 1515906000; 1515908110; 1515908120; 1515908140; 1515908175; +1 more</x:v>
      </x:c>
      <x:c r="J734" s="13" t="str">
        <x:v>1515909900</x:v>
      </x:c>
      <x:c r="K734" s="13" t="str">
        <x:v>15159000</x:v>
      </x:c>
      <x:c r="L734" s="13" t="str">
        <x:v>UNRESOLVED</x:v>
      </x:c>
      <x:c r="M734" s="13" t="str"/>
      <x:c r="N734" s="13" t="str">
        <x:v>NO / DEFAULT</x:v>
      </x:c>
      <x:c r="O734" s="13" t="str"/>
      <x:c r="P734" s="13" t="str">
        <x:v>NO / DEFAULT</x:v>
      </x:c>
      <x:c r="Q734" s="13" t="str"/>
      <x:c r="R734" s="13" t="str">
        <x:v>INDEPENDENT / DEFAULT</x:v>
      </x:c>
      <x:c r="S734" s="13" t="str"/>
      <x:c r="T734" s="13" t="str">
        <x:v>UNRESOLVED</x:v>
      </x:c>
      <x:c r="U734" s="13" t="str"/>
      <x:c r="V734" s="13" t="str"/>
      <x:c r="W734" s="13" t="str"/>
      <x:c r="X734" s="13" t="str">
        <x:f>IF(L734&lt;&gt;"COVERED","HELD — COVERAGE",IF(N734="YES — SENSITIVE","C ACTIONABLE","CHAPTER 5 DEFAULT"))</x:f>
        <x:v>HELD — COVERAGE</x:v>
      </x:c>
      <x:c r="Y734" s="13" t="str">
        <x:f>IF(L734&lt;&gt;"COVERED","HELD — COVERAGE",IF(P734="YES — MANAGED ACCESS","D ACTIONABLE","NO D FIELD"))</x:f>
        <x:v>HELD — COVERAGE</x:v>
      </x:c>
      <x:c r="Z734" s="13" t="str">
        <x:f>IF(L734&lt;&gt;"COVERED","HELD — COVERAGE",IF(OR(R734="PAIRED SYNCHRONIZED",R734="TRILATERAL SYNCHRONIZED"),"E ACTIONABLE","INDEPENDENT"))</x:f>
        <x:v>HELD — COVERAGE</x:v>
      </x:c>
      <x:c r="AA734" s="13" t="str">
        <x:f>IF(L734&lt;&gt;"COVERED","HELD — COVERAGE","WAIT FOR UPSTREAM COMPLETION")</x:f>
        <x:v>HELD — COVERAGE</x:v>
      </x:c>
      <x:c r="AB734" s="13" t="str">
        <x:f>IF(L734&lt;&gt;"COVERED","HELD — COVERAGE",IF(T734="UNRESOLVED","G DECISION REQUIRED",IF(T734="NOT APPLICABLE","G N/A","G ACTIONABLE")))</x:f>
        <x:v>HELD — COVERAGE</x:v>
      </x:c>
      <x:c r="AC734" s="13" t="str">
        <x:f>IF(L734="UNRESOLVED","COVERAGE FIRST",IF(OR(L734="EXCLUDED",L734="OUT OF SCOPE"),"CLOSED BY COVERAGE",IF(AND(L734="COVERED",T734&lt;&gt;"UNRESOLVED"),"PARTIALLY ADOPTED","DECISIONS REMAIN")))</x:f>
        <x:v>COVERAGE FIRST</x:v>
      </x:c>
    </x:row>
    <x:row r="735">
      <x:c r="A735" s="13" t="str">
        <x:v>NAAFTC-HS6-151610</x:v>
      </x:c>
      <x:c r="B735" s="13" t="str">
        <x:v>151610</x:v>
      </x:c>
      <x:c r="C735" s="13" t="str">
        <x:v>15</x:v>
      </x:c>
      <x:c r="D735" s="13" t="str">
        <x:v>TRILATERAL_1_TO_1_TO_1</x:v>
      </x:c>
      <x:c r="E735" s="13" t="str">
        <x:v>Pending</x:v>
      </x:c>
      <x:c r="F735" s="13" t="n">
        <x:v>1</x:v>
      </x:c>
      <x:c r="G735" s="13" t="n">
        <x:v>1</x:v>
      </x:c>
      <x:c r="H735" s="13" t="n">
        <x:v>1</x:v>
      </x:c>
      <x:c r="I735" s="13" t="str">
        <x:v>1516100000</x:v>
      </x:c>
      <x:c r="J735" s="13" t="str">
        <x:v>1516100100</x:v>
      </x:c>
      <x:c r="K735" s="13" t="str">
        <x:v>1516100000</x:v>
      </x:c>
      <x:c r="L735" s="13" t="str">
        <x:v>UNRESOLVED</x:v>
      </x:c>
      <x:c r="M735" s="13" t="str"/>
      <x:c r="N735" s="13" t="str">
        <x:v>NO / DEFAULT</x:v>
      </x:c>
      <x:c r="O735" s="13" t="str"/>
      <x:c r="P735" s="13" t="str">
        <x:v>NO / DEFAULT</x:v>
      </x:c>
      <x:c r="Q735" s="13" t="str"/>
      <x:c r="R735" s="13" t="str">
        <x:v>INDEPENDENT / DEFAULT</x:v>
      </x:c>
      <x:c r="S735" s="13" t="str"/>
      <x:c r="T735" s="13" t="str">
        <x:v>UNRESOLVED</x:v>
      </x:c>
      <x:c r="U735" s="13" t="str"/>
      <x:c r="V735" s="13" t="str"/>
      <x:c r="W735" s="13" t="str"/>
      <x:c r="X735" s="13" t="str">
        <x:f>IF(L735&lt;&gt;"COVERED","HELD — COVERAGE",IF(N735="YES — SENSITIVE","C ACTIONABLE","CHAPTER 5 DEFAULT"))</x:f>
        <x:v>HELD — COVERAGE</x:v>
      </x:c>
      <x:c r="Y735" s="13" t="str">
        <x:f>IF(L735&lt;&gt;"COVERED","HELD — COVERAGE",IF(P735="YES — MANAGED ACCESS","D ACTIONABLE","NO D FIELD"))</x:f>
        <x:v>HELD — COVERAGE</x:v>
      </x:c>
      <x:c r="Z735" s="13" t="str">
        <x:f>IF(L735&lt;&gt;"COVERED","HELD — COVERAGE",IF(OR(R735="PAIRED SYNCHRONIZED",R735="TRILATERAL SYNCHRONIZED"),"E ACTIONABLE","INDEPENDENT"))</x:f>
        <x:v>HELD — COVERAGE</x:v>
      </x:c>
      <x:c r="AA735" s="13" t="str">
        <x:f>IF(L735&lt;&gt;"COVERED","HELD — COVERAGE","WAIT FOR UPSTREAM COMPLETION")</x:f>
        <x:v>HELD — COVERAGE</x:v>
      </x:c>
      <x:c r="AB735" s="13" t="str">
        <x:f>IF(L735&lt;&gt;"COVERED","HELD — COVERAGE",IF(T735="UNRESOLVED","G DECISION REQUIRED",IF(T735="NOT APPLICABLE","G N/A","G ACTIONABLE")))</x:f>
        <x:v>HELD — COVERAGE</x:v>
      </x:c>
      <x:c r="AC735" s="13" t="str">
        <x:f>IF(L735="UNRESOLVED","COVERAGE FIRST",IF(OR(L735="EXCLUDED",L735="OUT OF SCOPE"),"CLOSED BY COVERAGE",IF(AND(L735="COVERED",T735&lt;&gt;"UNRESOLVED"),"PARTIALLY ADOPTED","DECISIONS REMAIN")))</x:f>
        <x:v>COVERAGE FIRST</x:v>
      </x:c>
    </x:row>
    <x:row r="736">
      <x:c r="A736" s="13" t="str">
        <x:v>NAAFTC-HS6-151620</x:v>
      </x:c>
      <x:c r="B736" s="13" t="str">
        <x:v>151620</x:v>
      </x:c>
      <x:c r="C736" s="13" t="str">
        <x:v>15</x:v>
      </x:c>
      <x:c r="D736" s="13" t="str">
        <x:v>TRILATERAL_SPLIT_MERGE</x:v>
      </x:c>
      <x:c r="E736" s="13" t="str">
        <x:v>Pending</x:v>
      </x:c>
      <x:c r="F736" s="13" t="n">
        <x:v>2</x:v>
      </x:c>
      <x:c r="G736" s="13" t="n">
        <x:v>1</x:v>
      </x:c>
      <x:c r="H736" s="13" t="n">
        <x:v>1</x:v>
      </x:c>
      <x:c r="I736" s="13" t="str">
        <x:v>1516201000; 1516209100</x:v>
      </x:c>
      <x:c r="J736" s="13" t="str">
        <x:v>1516200100</x:v>
      </x:c>
      <x:c r="K736" s="13" t="str">
        <x:v>15162000</x:v>
      </x:c>
      <x:c r="L736" s="13" t="str">
        <x:v>UNRESOLVED</x:v>
      </x:c>
      <x:c r="M736" s="13" t="str"/>
      <x:c r="N736" s="13" t="str">
        <x:v>NO / DEFAULT</x:v>
      </x:c>
      <x:c r="O736" s="13" t="str"/>
      <x:c r="P736" s="13" t="str">
        <x:v>NO / DEFAULT</x:v>
      </x:c>
      <x:c r="Q736" s="13" t="str"/>
      <x:c r="R736" s="13" t="str">
        <x:v>INDEPENDENT / DEFAULT</x:v>
      </x:c>
      <x:c r="S736" s="13" t="str"/>
      <x:c r="T736" s="13" t="str">
        <x:v>UNRESOLVED</x:v>
      </x:c>
      <x:c r="U736" s="13" t="str"/>
      <x:c r="V736" s="13" t="str"/>
      <x:c r="W736" s="13" t="str"/>
      <x:c r="X736" s="13" t="str">
        <x:f>IF(L736&lt;&gt;"COVERED","HELD — COVERAGE",IF(N736="YES — SENSITIVE","C ACTIONABLE","CHAPTER 5 DEFAULT"))</x:f>
        <x:v>HELD — COVERAGE</x:v>
      </x:c>
      <x:c r="Y736" s="13" t="str">
        <x:f>IF(L736&lt;&gt;"COVERED","HELD — COVERAGE",IF(P736="YES — MANAGED ACCESS","D ACTIONABLE","NO D FIELD"))</x:f>
        <x:v>HELD — COVERAGE</x:v>
      </x:c>
      <x:c r="Z736" s="13" t="str">
        <x:f>IF(L736&lt;&gt;"COVERED","HELD — COVERAGE",IF(OR(R736="PAIRED SYNCHRONIZED",R736="TRILATERAL SYNCHRONIZED"),"E ACTIONABLE","INDEPENDENT"))</x:f>
        <x:v>HELD — COVERAGE</x:v>
      </x:c>
      <x:c r="AA736" s="13" t="str">
        <x:f>IF(L736&lt;&gt;"COVERED","HELD — COVERAGE","WAIT FOR UPSTREAM COMPLETION")</x:f>
        <x:v>HELD — COVERAGE</x:v>
      </x:c>
      <x:c r="AB736" s="13" t="str">
        <x:f>IF(L736&lt;&gt;"COVERED","HELD — COVERAGE",IF(T736="UNRESOLVED","G DECISION REQUIRED",IF(T736="NOT APPLICABLE","G N/A","G ACTIONABLE")))</x:f>
        <x:v>HELD — COVERAGE</x:v>
      </x:c>
      <x:c r="AC736" s="13" t="str">
        <x:f>IF(L736="UNRESOLVED","COVERAGE FIRST",IF(OR(L736="EXCLUDED",L736="OUT OF SCOPE"),"CLOSED BY COVERAGE",IF(AND(L736="COVERED",T736&lt;&gt;"UNRESOLVED"),"PARTIALLY ADOPTED","DECISIONS REMAIN")))</x:f>
        <x:v>COVERAGE FIRST</x:v>
      </x:c>
    </x:row>
    <x:row r="737">
      <x:c r="A737" s="13" t="str">
        <x:v>NAAFTC-HS6-151630</x:v>
      </x:c>
      <x:c r="B737" s="13" t="str">
        <x:v>151630</x:v>
      </x:c>
      <x:c r="C737" s="13" t="str">
        <x:v>15</x:v>
      </x:c>
      <x:c r="D737" s="13" t="str">
        <x:v>TRILATERAL_1_TO_1_TO_1</x:v>
      </x:c>
      <x:c r="E737" s="13" t="str">
        <x:v>Pending</x:v>
      </x:c>
      <x:c r="F737" s="13" t="n">
        <x:v>1</x:v>
      </x:c>
      <x:c r="G737" s="13" t="n">
        <x:v>1</x:v>
      </x:c>
      <x:c r="H737" s="13" t="n">
        <x:v>1</x:v>
      </x:c>
      <x:c r="I737" s="13" t="str">
        <x:v>1516300000</x:v>
      </x:c>
      <x:c r="J737" s="13" t="str">
        <x:v>1516300100</x:v>
      </x:c>
      <x:c r="K737" s="13" t="str">
        <x:v>1516300000</x:v>
      </x:c>
      <x:c r="L737" s="13" t="str">
        <x:v>UNRESOLVED</x:v>
      </x:c>
      <x:c r="M737" s="13" t="str"/>
      <x:c r="N737" s="13" t="str">
        <x:v>NO / DEFAULT</x:v>
      </x:c>
      <x:c r="O737" s="13" t="str"/>
      <x:c r="P737" s="13" t="str">
        <x:v>NO / DEFAULT</x:v>
      </x:c>
      <x:c r="Q737" s="13" t="str"/>
      <x:c r="R737" s="13" t="str">
        <x:v>INDEPENDENT / DEFAULT</x:v>
      </x:c>
      <x:c r="S737" s="13" t="str"/>
      <x:c r="T737" s="13" t="str">
        <x:v>UNRESOLVED</x:v>
      </x:c>
      <x:c r="U737" s="13" t="str"/>
      <x:c r="V737" s="13" t="str"/>
      <x:c r="W737" s="13" t="str"/>
      <x:c r="X737" s="13" t="str">
        <x:f>IF(L737&lt;&gt;"COVERED","HELD — COVERAGE",IF(N737="YES — SENSITIVE","C ACTIONABLE","CHAPTER 5 DEFAULT"))</x:f>
        <x:v>HELD — COVERAGE</x:v>
      </x:c>
      <x:c r="Y737" s="13" t="str">
        <x:f>IF(L737&lt;&gt;"COVERED","HELD — COVERAGE",IF(P737="YES — MANAGED ACCESS","D ACTIONABLE","NO D FIELD"))</x:f>
        <x:v>HELD — COVERAGE</x:v>
      </x:c>
      <x:c r="Z737" s="13" t="str">
        <x:f>IF(L737&lt;&gt;"COVERED","HELD — COVERAGE",IF(OR(R737="PAIRED SYNCHRONIZED",R737="TRILATERAL SYNCHRONIZED"),"E ACTIONABLE","INDEPENDENT"))</x:f>
        <x:v>HELD — COVERAGE</x:v>
      </x:c>
      <x:c r="AA737" s="13" t="str">
        <x:f>IF(L737&lt;&gt;"COVERED","HELD — COVERAGE","WAIT FOR UPSTREAM COMPLETION")</x:f>
        <x:v>HELD — COVERAGE</x:v>
      </x:c>
      <x:c r="AB737" s="13" t="str">
        <x:f>IF(L737&lt;&gt;"COVERED","HELD — COVERAGE",IF(T737="UNRESOLVED","G DECISION REQUIRED",IF(T737="NOT APPLICABLE","G N/A","G ACTIONABLE")))</x:f>
        <x:v>HELD — COVERAGE</x:v>
      </x:c>
      <x:c r="AC737" s="13" t="str">
        <x:f>IF(L737="UNRESOLVED","COVERAGE FIRST",IF(OR(L737="EXCLUDED",L737="OUT OF SCOPE"),"CLOSED BY COVERAGE",IF(AND(L737="COVERED",T737&lt;&gt;"UNRESOLVED"),"PARTIALLY ADOPTED","DECISIONS REMAIN")))</x:f>
        <x:v>COVERAGE FIRST</x:v>
      </x:c>
    </x:row>
    <x:row r="738">
      <x:c r="A738" s="13" t="str">
        <x:v>NAAFTC-HS6-151710</x:v>
      </x:c>
      <x:c r="B738" s="13" t="str">
        <x:v>151710</x:v>
      </x:c>
      <x:c r="C738" s="13" t="str">
        <x:v>15</x:v>
      </x:c>
      <x:c r="D738" s="13" t="str">
        <x:v>TRILATERAL_SPLIT_MERGE</x:v>
      </x:c>
      <x:c r="E738" s="13" t="str">
        <x:v>Pending</x:v>
      </x:c>
      <x:c r="F738" s="13" t="n">
        <x:v>1</x:v>
      </x:c>
      <x:c r="G738" s="13" t="n">
        <x:v>1</x:v>
      </x:c>
      <x:c r="H738" s="13" t="n">
        <x:v>2</x:v>
      </x:c>
      <x:c r="I738" s="13" t="str">
        <x:v>1517100000</x:v>
      </x:c>
      <x:c r="J738" s="13" t="str">
        <x:v>1517100100</x:v>
      </x:c>
      <x:c r="K738" s="13" t="str">
        <x:v>1517101000; 1517102000</x:v>
      </x:c>
      <x:c r="L738" s="13" t="str">
        <x:v>UNRESOLVED</x:v>
      </x:c>
      <x:c r="M738" s="13" t="str"/>
      <x:c r="N738" s="13" t="str">
        <x:v>NO / DEFAULT</x:v>
      </x:c>
      <x:c r="O738" s="13" t="str"/>
      <x:c r="P738" s="13" t="str">
        <x:v>NO / DEFAULT</x:v>
      </x:c>
      <x:c r="Q738" s="13" t="str"/>
      <x:c r="R738" s="13" t="str">
        <x:v>INDEPENDENT / DEFAULT</x:v>
      </x:c>
      <x:c r="S738" s="13" t="str"/>
      <x:c r="T738" s="13" t="str">
        <x:v>UNRESOLVED</x:v>
      </x:c>
      <x:c r="U738" s="13" t="str"/>
      <x:c r="V738" s="13" t="str"/>
      <x:c r="W738" s="13" t="str"/>
      <x:c r="X738" s="13" t="str">
        <x:f>IF(L738&lt;&gt;"COVERED","HELD — COVERAGE",IF(N738="YES — SENSITIVE","C ACTIONABLE","CHAPTER 5 DEFAULT"))</x:f>
        <x:v>HELD — COVERAGE</x:v>
      </x:c>
      <x:c r="Y738" s="13" t="str">
        <x:f>IF(L738&lt;&gt;"COVERED","HELD — COVERAGE",IF(P738="YES — MANAGED ACCESS","D ACTIONABLE","NO D FIELD"))</x:f>
        <x:v>HELD — COVERAGE</x:v>
      </x:c>
      <x:c r="Z738" s="13" t="str">
        <x:f>IF(L738&lt;&gt;"COVERED","HELD — COVERAGE",IF(OR(R738="PAIRED SYNCHRONIZED",R738="TRILATERAL SYNCHRONIZED"),"E ACTIONABLE","INDEPENDENT"))</x:f>
        <x:v>HELD — COVERAGE</x:v>
      </x:c>
      <x:c r="AA738" s="13" t="str">
        <x:f>IF(L738&lt;&gt;"COVERED","HELD — COVERAGE","WAIT FOR UPSTREAM COMPLETION")</x:f>
        <x:v>HELD — COVERAGE</x:v>
      </x:c>
      <x:c r="AB738" s="13" t="str">
        <x:f>IF(L738&lt;&gt;"COVERED","HELD — COVERAGE",IF(T738="UNRESOLVED","G DECISION REQUIRED",IF(T738="NOT APPLICABLE","G N/A","G ACTIONABLE")))</x:f>
        <x:v>HELD — COVERAGE</x:v>
      </x:c>
      <x:c r="AC738" s="13" t="str">
        <x:f>IF(L738="UNRESOLVED","COVERAGE FIRST",IF(OR(L738="EXCLUDED",L738="OUT OF SCOPE"),"CLOSED BY COVERAGE",IF(AND(L738="COVERED",T738&lt;&gt;"UNRESOLVED"),"PARTIALLY ADOPTED","DECISIONS REMAIN")))</x:f>
        <x:v>COVERAGE FIRST</x:v>
      </x:c>
    </x:row>
    <x:row r="739">
      <x:c r="A739" s="13" t="str">
        <x:v>NAAFTC-HS6-151790</x:v>
      </x:c>
      <x:c r="B739" s="13" t="str">
        <x:v>151790</x:v>
      </x:c>
      <x:c r="C739" s="13" t="str">
        <x:v>15</x:v>
      </x:c>
      <x:c r="D739" s="13" t="str">
        <x:v>TRILATERAL_SPLIT_MERGE</x:v>
      </x:c>
      <x:c r="E739" s="13" t="str">
        <x:v>Pending</x:v>
      </x:c>
      <x:c r="F739" s="13" t="n">
        <x:v>15</x:v>
      </x:c>
      <x:c r="G739" s="13" t="n">
        <x:v>1</x:v>
      </x:c>
      <x:c r="H739" s="13" t="n">
        <x:v>5</x:v>
      </x:c>
      <x:c r="I739" s="13" t="str">
        <x:v>1517901020; 1517901040; 1517901060; 1517901080; 1517902020; 1517902040; +9 more</x:v>
      </x:c>
      <x:c r="J739" s="13" t="str">
        <x:v>1517909900</x:v>
      </x:c>
      <x:c r="K739" s="13" t="str">
        <x:v>1517901000; 1517902100; 1517902200; 1517903000; 1517909100</x:v>
      </x:c>
      <x:c r="L739" s="13" t="str">
        <x:v>UNRESOLVED</x:v>
      </x:c>
      <x:c r="M739" s="13" t="str"/>
      <x:c r="N739" s="13" t="str">
        <x:v>NO / DEFAULT</x:v>
      </x:c>
      <x:c r="O739" s="13" t="str"/>
      <x:c r="P739" s="13" t="str">
        <x:v>NO / DEFAULT</x:v>
      </x:c>
      <x:c r="Q739" s="13" t="str"/>
      <x:c r="R739" s="13" t="str">
        <x:v>INDEPENDENT / DEFAULT</x:v>
      </x:c>
      <x:c r="S739" s="13" t="str"/>
      <x:c r="T739" s="13" t="str">
        <x:v>UNRESOLVED</x:v>
      </x:c>
      <x:c r="U739" s="13" t="str"/>
      <x:c r="V739" s="13" t="str"/>
      <x:c r="W739" s="13" t="str"/>
      <x:c r="X739" s="13" t="str">
        <x:f>IF(L739&lt;&gt;"COVERED","HELD — COVERAGE",IF(N739="YES — SENSITIVE","C ACTIONABLE","CHAPTER 5 DEFAULT"))</x:f>
        <x:v>HELD — COVERAGE</x:v>
      </x:c>
      <x:c r="Y739" s="13" t="str">
        <x:f>IF(L739&lt;&gt;"COVERED","HELD — COVERAGE",IF(P739="YES — MANAGED ACCESS","D ACTIONABLE","NO D FIELD"))</x:f>
        <x:v>HELD — COVERAGE</x:v>
      </x:c>
      <x:c r="Z739" s="13" t="str">
        <x:f>IF(L739&lt;&gt;"COVERED","HELD — COVERAGE",IF(OR(R739="PAIRED SYNCHRONIZED",R739="TRILATERAL SYNCHRONIZED"),"E ACTIONABLE","INDEPENDENT"))</x:f>
        <x:v>HELD — COVERAGE</x:v>
      </x:c>
      <x:c r="AA739" s="13" t="str">
        <x:f>IF(L739&lt;&gt;"COVERED","HELD — COVERAGE","WAIT FOR UPSTREAM COMPLETION")</x:f>
        <x:v>HELD — COVERAGE</x:v>
      </x:c>
      <x:c r="AB739" s="13" t="str">
        <x:f>IF(L739&lt;&gt;"COVERED","HELD — COVERAGE",IF(T739="UNRESOLVED","G DECISION REQUIRED",IF(T739="NOT APPLICABLE","G N/A","G ACTIONABLE")))</x:f>
        <x:v>HELD — COVERAGE</x:v>
      </x:c>
      <x:c r="AC739" s="13" t="str">
        <x:f>IF(L739="UNRESOLVED","COVERAGE FIRST",IF(OR(L739="EXCLUDED",L739="OUT OF SCOPE"),"CLOSED BY COVERAGE",IF(AND(L739="COVERED",T739&lt;&gt;"UNRESOLVED"),"PARTIALLY ADOPTED","DECISIONS REMAIN")))</x:f>
        <x:v>COVERAGE FIRST</x:v>
      </x:c>
    </x:row>
    <x:row r="740">
      <x:c r="A740" s="13" t="str">
        <x:v>NAAFTC-HS6-151800</x:v>
      </x:c>
      <x:c r="B740" s="13" t="str">
        <x:v>151800</x:v>
      </x:c>
      <x:c r="C740" s="13" t="str">
        <x:v>15</x:v>
      </x:c>
      <x:c r="D740" s="13" t="str">
        <x:v>TRILATERAL_SPLIT_MERGE</x:v>
      </x:c>
      <x:c r="E740" s="13" t="str">
        <x:v>Pending</x:v>
      </x:c>
      <x:c r="F740" s="13" t="n">
        <x:v>2</x:v>
      </x:c>
      <x:c r="G740" s="13" t="n">
        <x:v>3</x:v>
      </x:c>
      <x:c r="H740" s="13" t="n">
        <x:v>1</x:v>
      </x:c>
      <x:c r="I740" s="13" t="str">
        <x:v>1518002000; 1518004000</x:v>
      </x:c>
      <x:c r="J740" s="13" t="str">
        <x:v>1518000100; 1518000200; 1518009900</x:v>
      </x:c>
      <x:c r="K740" s="13" t="str">
        <x:v>15180000</x:v>
      </x:c>
      <x:c r="L740" s="13" t="str">
        <x:v>UNRESOLVED</x:v>
      </x:c>
      <x:c r="M740" s="13" t="str"/>
      <x:c r="N740" s="13" t="str">
        <x:v>NO / DEFAULT</x:v>
      </x:c>
      <x:c r="O740" s="13" t="str"/>
      <x:c r="P740" s="13" t="str">
        <x:v>NO / DEFAULT</x:v>
      </x:c>
      <x:c r="Q740" s="13" t="str"/>
      <x:c r="R740" s="13" t="str">
        <x:v>INDEPENDENT / DEFAULT</x:v>
      </x:c>
      <x:c r="S740" s="13" t="str"/>
      <x:c r="T740" s="13" t="str">
        <x:v>UNRESOLVED</x:v>
      </x:c>
      <x:c r="U740" s="13" t="str"/>
      <x:c r="V740" s="13" t="str"/>
      <x:c r="W740" s="13" t="str"/>
      <x:c r="X740" s="13" t="str">
        <x:f>IF(L740&lt;&gt;"COVERED","HELD — COVERAGE",IF(N740="YES — SENSITIVE","C ACTIONABLE","CHAPTER 5 DEFAULT"))</x:f>
        <x:v>HELD — COVERAGE</x:v>
      </x:c>
      <x:c r="Y740" s="13" t="str">
        <x:f>IF(L740&lt;&gt;"COVERED","HELD — COVERAGE",IF(P740="YES — MANAGED ACCESS","D ACTIONABLE","NO D FIELD"))</x:f>
        <x:v>HELD — COVERAGE</x:v>
      </x:c>
      <x:c r="Z740" s="13" t="str">
        <x:f>IF(L740&lt;&gt;"COVERED","HELD — COVERAGE",IF(OR(R740="PAIRED SYNCHRONIZED",R740="TRILATERAL SYNCHRONIZED"),"E ACTIONABLE","INDEPENDENT"))</x:f>
        <x:v>HELD — COVERAGE</x:v>
      </x:c>
      <x:c r="AA740" s="13" t="str">
        <x:f>IF(L740&lt;&gt;"COVERED","HELD — COVERAGE","WAIT FOR UPSTREAM COMPLETION")</x:f>
        <x:v>HELD — COVERAGE</x:v>
      </x:c>
      <x:c r="AB740" s="13" t="str">
        <x:f>IF(L740&lt;&gt;"COVERED","HELD — COVERAGE",IF(T740="UNRESOLVED","G DECISION REQUIRED",IF(T740="NOT APPLICABLE","G N/A","G ACTIONABLE")))</x:f>
        <x:v>HELD — COVERAGE</x:v>
      </x:c>
      <x:c r="AC740" s="13" t="str">
        <x:f>IF(L740="UNRESOLVED","COVERAGE FIRST",IF(OR(L740="EXCLUDED",L740="OUT OF SCOPE"),"CLOSED BY COVERAGE",IF(AND(L740="COVERED",T740&lt;&gt;"UNRESOLVED"),"PARTIALLY ADOPTED","DECISIONS REMAIN")))</x:f>
        <x:v>COVERAGE FIRST</x:v>
      </x:c>
    </x:row>
    <x:row r="741">
      <x:c r="A741" s="13" t="str">
        <x:v>NAAFTC-HS6-152000</x:v>
      </x:c>
      <x:c r="B741" s="13" t="str">
        <x:v>152000</x:v>
      </x:c>
      <x:c r="C741" s="13" t="str">
        <x:v>15</x:v>
      </x:c>
      <x:c r="D741" s="13" t="str">
        <x:v>TRILATERAL_1_TO_1_TO_1</x:v>
      </x:c>
      <x:c r="E741" s="13" t="str">
        <x:v>Pending</x:v>
      </x:c>
      <x:c r="F741" s="13" t="n">
        <x:v>1</x:v>
      </x:c>
      <x:c r="G741" s="13" t="n">
        <x:v>1</x:v>
      </x:c>
      <x:c r="H741" s="13" t="n">
        <x:v>1</x:v>
      </x:c>
      <x:c r="I741" s="13" t="str">
        <x:v>1520000000</x:v>
      </x:c>
      <x:c r="J741" s="13" t="str">
        <x:v>1520000100</x:v>
      </x:c>
      <x:c r="K741" s="13" t="str">
        <x:v>1520000000</x:v>
      </x:c>
      <x:c r="L741" s="13" t="str">
        <x:v>UNRESOLVED</x:v>
      </x:c>
      <x:c r="M741" s="13" t="str"/>
      <x:c r="N741" s="13" t="str">
        <x:v>NO / DEFAULT</x:v>
      </x:c>
      <x:c r="O741" s="13" t="str"/>
      <x:c r="P741" s="13" t="str">
        <x:v>NO / DEFAULT</x:v>
      </x:c>
      <x:c r="Q741" s="13" t="str"/>
      <x:c r="R741" s="13" t="str">
        <x:v>INDEPENDENT / DEFAULT</x:v>
      </x:c>
      <x:c r="S741" s="13" t="str"/>
      <x:c r="T741" s="13" t="str">
        <x:v>UNRESOLVED</x:v>
      </x:c>
      <x:c r="U741" s="13" t="str"/>
      <x:c r="V741" s="13" t="str"/>
      <x:c r="W741" s="13" t="str"/>
      <x:c r="X741" s="13" t="str">
        <x:f>IF(L741&lt;&gt;"COVERED","HELD — COVERAGE",IF(N741="YES — SENSITIVE","C ACTIONABLE","CHAPTER 5 DEFAULT"))</x:f>
        <x:v>HELD — COVERAGE</x:v>
      </x:c>
      <x:c r="Y741" s="13" t="str">
        <x:f>IF(L741&lt;&gt;"COVERED","HELD — COVERAGE",IF(P741="YES — MANAGED ACCESS","D ACTIONABLE","NO D FIELD"))</x:f>
        <x:v>HELD — COVERAGE</x:v>
      </x:c>
      <x:c r="Z741" s="13" t="str">
        <x:f>IF(L741&lt;&gt;"COVERED","HELD — COVERAGE",IF(OR(R741="PAIRED SYNCHRONIZED",R741="TRILATERAL SYNCHRONIZED"),"E ACTIONABLE","INDEPENDENT"))</x:f>
        <x:v>HELD — COVERAGE</x:v>
      </x:c>
      <x:c r="AA741" s="13" t="str">
        <x:f>IF(L741&lt;&gt;"COVERED","HELD — COVERAGE","WAIT FOR UPSTREAM COMPLETION")</x:f>
        <x:v>HELD — COVERAGE</x:v>
      </x:c>
      <x:c r="AB741" s="13" t="str">
        <x:f>IF(L741&lt;&gt;"COVERED","HELD — COVERAGE",IF(T741="UNRESOLVED","G DECISION REQUIRED",IF(T741="NOT APPLICABLE","G N/A","G ACTIONABLE")))</x:f>
        <x:v>HELD — COVERAGE</x:v>
      </x:c>
      <x:c r="AC741" s="13" t="str">
        <x:f>IF(L741="UNRESOLVED","COVERAGE FIRST",IF(OR(L741="EXCLUDED",L741="OUT OF SCOPE"),"CLOSED BY COVERAGE",IF(AND(L741="COVERED",T741&lt;&gt;"UNRESOLVED"),"PARTIALLY ADOPTED","DECISIONS REMAIN")))</x:f>
        <x:v>COVERAGE FIRST</x:v>
      </x:c>
    </x:row>
    <x:row r="742">
      <x:c r="A742" s="13" t="str">
        <x:v>NAAFTC-HS6-152110</x:v>
      </x:c>
      <x:c r="B742" s="13" t="str">
        <x:v>152110</x:v>
      </x:c>
      <x:c r="C742" s="13" t="str">
        <x:v>15</x:v>
      </x:c>
      <x:c r="D742" s="13" t="str">
        <x:v>TRILATERAL_SPLIT_MERGE</x:v>
      </x:c>
      <x:c r="E742" s="13" t="str">
        <x:v>Pending</x:v>
      </x:c>
      <x:c r="F742" s="13" t="n">
        <x:v>3</x:v>
      </x:c>
      <x:c r="G742" s="13" t="n">
        <x:v>2</x:v>
      </x:c>
      <x:c r="H742" s="13" t="n">
        <x:v>1</x:v>
      </x:c>
      <x:c r="I742" s="13" t="str">
        <x:v>1521100020; 1521100040; 1521100060</x:v>
      </x:c>
      <x:c r="J742" s="13" t="str">
        <x:v>1521100100; 1521109900</x:v>
      </x:c>
      <x:c r="K742" s="13" t="str">
        <x:v>1521100000</x:v>
      </x:c>
      <x:c r="L742" s="13" t="str">
        <x:v>UNRESOLVED</x:v>
      </x:c>
      <x:c r="M742" s="13" t="str"/>
      <x:c r="N742" s="13" t="str">
        <x:v>NO / DEFAULT</x:v>
      </x:c>
      <x:c r="O742" s="13" t="str"/>
      <x:c r="P742" s="13" t="str">
        <x:v>NO / DEFAULT</x:v>
      </x:c>
      <x:c r="Q742" s="13" t="str"/>
      <x:c r="R742" s="13" t="str">
        <x:v>INDEPENDENT / DEFAULT</x:v>
      </x:c>
      <x:c r="S742" s="13" t="str"/>
      <x:c r="T742" s="13" t="str">
        <x:v>UNRESOLVED</x:v>
      </x:c>
      <x:c r="U742" s="13" t="str"/>
      <x:c r="V742" s="13" t="str"/>
      <x:c r="W742" s="13" t="str"/>
      <x:c r="X742" s="13" t="str">
        <x:f>IF(L742&lt;&gt;"COVERED","HELD — COVERAGE",IF(N742="YES — SENSITIVE","C ACTIONABLE","CHAPTER 5 DEFAULT"))</x:f>
        <x:v>HELD — COVERAGE</x:v>
      </x:c>
      <x:c r="Y742" s="13" t="str">
        <x:f>IF(L742&lt;&gt;"COVERED","HELD — COVERAGE",IF(P742="YES — MANAGED ACCESS","D ACTIONABLE","NO D FIELD"))</x:f>
        <x:v>HELD — COVERAGE</x:v>
      </x:c>
      <x:c r="Z742" s="13" t="str">
        <x:f>IF(L742&lt;&gt;"COVERED","HELD — COVERAGE",IF(OR(R742="PAIRED SYNCHRONIZED",R742="TRILATERAL SYNCHRONIZED"),"E ACTIONABLE","INDEPENDENT"))</x:f>
        <x:v>HELD — COVERAGE</x:v>
      </x:c>
      <x:c r="AA742" s="13" t="str">
        <x:f>IF(L742&lt;&gt;"COVERED","HELD — COVERAGE","WAIT FOR UPSTREAM COMPLETION")</x:f>
        <x:v>HELD — COVERAGE</x:v>
      </x:c>
      <x:c r="AB742" s="13" t="str">
        <x:f>IF(L742&lt;&gt;"COVERED","HELD — COVERAGE",IF(T742="UNRESOLVED","G DECISION REQUIRED",IF(T742="NOT APPLICABLE","G N/A","G ACTIONABLE")))</x:f>
        <x:v>HELD — COVERAGE</x:v>
      </x:c>
      <x:c r="AC742" s="13" t="str">
        <x:f>IF(L742="UNRESOLVED","COVERAGE FIRST",IF(OR(L742="EXCLUDED",L742="OUT OF SCOPE"),"CLOSED BY COVERAGE",IF(AND(L742="COVERED",T742&lt;&gt;"UNRESOLVED"),"PARTIALLY ADOPTED","DECISIONS REMAIN")))</x:f>
        <x:v>COVERAGE FIRST</x:v>
      </x:c>
    </x:row>
    <x:row r="743">
      <x:c r="A743" s="13" t="str">
        <x:v>NAAFTC-HS6-152190</x:v>
      </x:c>
      <x:c r="B743" s="13" t="str">
        <x:v>152190</x:v>
      </x:c>
      <x:c r="C743" s="13" t="str">
        <x:v>15</x:v>
      </x:c>
      <x:c r="D743" s="13" t="str">
        <x:v>TRILATERAL_SPLIT_MERGE</x:v>
      </x:c>
      <x:c r="E743" s="13" t="str">
        <x:v>Pending</x:v>
      </x:c>
      <x:c r="F743" s="13" t="n">
        <x:v>2</x:v>
      </x:c>
      <x:c r="G743" s="13" t="n">
        <x:v>3</x:v>
      </x:c>
      <x:c r="H743" s="13" t="n">
        <x:v>1</x:v>
      </x:c>
      <x:c r="I743" s="13" t="str">
        <x:v>1521902000; 1521904000</x:v>
      </x:c>
      <x:c r="J743" s="13" t="str">
        <x:v>1521900400; 1521909901; 1521909999</x:v>
      </x:c>
      <x:c r="K743" s="13" t="str">
        <x:v>1521900000</x:v>
      </x:c>
      <x:c r="L743" s="13" t="str">
        <x:v>UNRESOLVED</x:v>
      </x:c>
      <x:c r="M743" s="13" t="str"/>
      <x:c r="N743" s="13" t="str">
        <x:v>NO / DEFAULT</x:v>
      </x:c>
      <x:c r="O743" s="13" t="str"/>
      <x:c r="P743" s="13" t="str">
        <x:v>NO / DEFAULT</x:v>
      </x:c>
      <x:c r="Q743" s="13" t="str"/>
      <x:c r="R743" s="13" t="str">
        <x:v>INDEPENDENT / DEFAULT</x:v>
      </x:c>
      <x:c r="S743" s="13" t="str"/>
      <x:c r="T743" s="13" t="str">
        <x:v>UNRESOLVED</x:v>
      </x:c>
      <x:c r="U743" s="13" t="str"/>
      <x:c r="V743" s="13" t="str"/>
      <x:c r="W743" s="13" t="str"/>
      <x:c r="X743" s="13" t="str">
        <x:f>IF(L743&lt;&gt;"COVERED","HELD — COVERAGE",IF(N743="YES — SENSITIVE","C ACTIONABLE","CHAPTER 5 DEFAULT"))</x:f>
        <x:v>HELD — COVERAGE</x:v>
      </x:c>
      <x:c r="Y743" s="13" t="str">
        <x:f>IF(L743&lt;&gt;"COVERED","HELD — COVERAGE",IF(P743="YES — MANAGED ACCESS","D ACTIONABLE","NO D FIELD"))</x:f>
        <x:v>HELD — COVERAGE</x:v>
      </x:c>
      <x:c r="Z743" s="13" t="str">
        <x:f>IF(L743&lt;&gt;"COVERED","HELD — COVERAGE",IF(OR(R743="PAIRED SYNCHRONIZED",R743="TRILATERAL SYNCHRONIZED"),"E ACTIONABLE","INDEPENDENT"))</x:f>
        <x:v>HELD — COVERAGE</x:v>
      </x:c>
      <x:c r="AA743" s="13" t="str">
        <x:f>IF(L743&lt;&gt;"COVERED","HELD — COVERAGE","WAIT FOR UPSTREAM COMPLETION")</x:f>
        <x:v>HELD — COVERAGE</x:v>
      </x:c>
      <x:c r="AB743" s="13" t="str">
        <x:f>IF(L743&lt;&gt;"COVERED","HELD — COVERAGE",IF(T743="UNRESOLVED","G DECISION REQUIRED",IF(T743="NOT APPLICABLE","G N/A","G ACTIONABLE")))</x:f>
        <x:v>HELD — COVERAGE</x:v>
      </x:c>
      <x:c r="AC743" s="13" t="str">
        <x:f>IF(L743="UNRESOLVED","COVERAGE FIRST",IF(OR(L743="EXCLUDED",L743="OUT OF SCOPE"),"CLOSED BY COVERAGE",IF(AND(L743="COVERED",T743&lt;&gt;"UNRESOLVED"),"PARTIALLY ADOPTED","DECISIONS REMAIN")))</x:f>
        <x:v>COVERAGE FIRST</x:v>
      </x:c>
    </x:row>
    <x:row r="744">
      <x:c r="A744" s="13" t="str">
        <x:v>NAAFTC-HS6-152200</x:v>
      </x:c>
      <x:c r="B744" s="13" t="str">
        <x:v>152200</x:v>
      </x:c>
      <x:c r="C744" s="13" t="str">
        <x:v>15</x:v>
      </x:c>
      <x:c r="D744" s="13" t="str">
        <x:v>TRILATERAL_1_TO_1_TO_1</x:v>
      </x:c>
      <x:c r="E744" s="13" t="str">
        <x:v>Pending</x:v>
      </x:c>
      <x:c r="F744" s="13" t="n">
        <x:v>1</x:v>
      </x:c>
      <x:c r="G744" s="13" t="n">
        <x:v>1</x:v>
      </x:c>
      <x:c r="H744" s="13" t="n">
        <x:v>1</x:v>
      </x:c>
      <x:c r="I744" s="13" t="str">
        <x:v>1522000000</x:v>
      </x:c>
      <x:c r="J744" s="13" t="str">
        <x:v>1522000100</x:v>
      </x:c>
      <x:c r="K744" s="13" t="str">
        <x:v>1522000000</x:v>
      </x:c>
      <x:c r="L744" s="13" t="str">
        <x:v>UNRESOLVED</x:v>
      </x:c>
      <x:c r="M744" s="13" t="str"/>
      <x:c r="N744" s="13" t="str">
        <x:v>NO / DEFAULT</x:v>
      </x:c>
      <x:c r="O744" s="13" t="str"/>
      <x:c r="P744" s="13" t="str">
        <x:v>NO / DEFAULT</x:v>
      </x:c>
      <x:c r="Q744" s="13" t="str"/>
      <x:c r="R744" s="13" t="str">
        <x:v>INDEPENDENT / DEFAULT</x:v>
      </x:c>
      <x:c r="S744" s="13" t="str"/>
      <x:c r="T744" s="13" t="str">
        <x:v>UNRESOLVED</x:v>
      </x:c>
      <x:c r="U744" s="13" t="str"/>
      <x:c r="V744" s="13" t="str"/>
      <x:c r="W744" s="13" t="str"/>
      <x:c r="X744" s="13" t="str">
        <x:f>IF(L744&lt;&gt;"COVERED","HELD — COVERAGE",IF(N744="YES — SENSITIVE","C ACTIONABLE","CHAPTER 5 DEFAULT"))</x:f>
        <x:v>HELD — COVERAGE</x:v>
      </x:c>
      <x:c r="Y744" s="13" t="str">
        <x:f>IF(L744&lt;&gt;"COVERED","HELD — COVERAGE",IF(P744="YES — MANAGED ACCESS","D ACTIONABLE","NO D FIELD"))</x:f>
        <x:v>HELD — COVERAGE</x:v>
      </x:c>
      <x:c r="Z744" s="13" t="str">
        <x:f>IF(L744&lt;&gt;"COVERED","HELD — COVERAGE",IF(OR(R744="PAIRED SYNCHRONIZED",R744="TRILATERAL SYNCHRONIZED"),"E ACTIONABLE","INDEPENDENT"))</x:f>
        <x:v>HELD — COVERAGE</x:v>
      </x:c>
      <x:c r="AA744" s="13" t="str">
        <x:f>IF(L744&lt;&gt;"COVERED","HELD — COVERAGE","WAIT FOR UPSTREAM COMPLETION")</x:f>
        <x:v>HELD — COVERAGE</x:v>
      </x:c>
      <x:c r="AB744" s="13" t="str">
        <x:f>IF(L744&lt;&gt;"COVERED","HELD — COVERAGE",IF(T744="UNRESOLVED","G DECISION REQUIRED",IF(T744="NOT APPLICABLE","G N/A","G ACTIONABLE")))</x:f>
        <x:v>HELD — COVERAGE</x:v>
      </x:c>
      <x:c r="AC744" s="13" t="str">
        <x:f>IF(L744="UNRESOLVED","COVERAGE FIRST",IF(OR(L744="EXCLUDED",L744="OUT OF SCOPE"),"CLOSED BY COVERAGE",IF(AND(L744="COVERED",T744&lt;&gt;"UNRESOLVED"),"PARTIALLY ADOPTED","DECISIONS REMAIN")))</x:f>
        <x:v>COVERAGE FIRST</x:v>
      </x:c>
    </x:row>
    <x:row r="745">
      <x:c r="A745" s="13" t="str">
        <x:v>NAAFTC-HS6-160100</x:v>
      </x:c>
      <x:c r="B745" s="13" t="str">
        <x:v>160100</x:v>
      </x:c>
      <x:c r="C745" s="13" t="str">
        <x:v>16</x:v>
      </x:c>
      <x:c r="D745" s="13" t="str">
        <x:v>TRILATERAL_SPLIT_MERGE</x:v>
      </x:c>
      <x:c r="E745" s="13" t="str">
        <x:v>Pending</x:v>
      </x:c>
      <x:c r="F745" s="13" t="n">
        <x:v>7</x:v>
      </x:c>
      <x:c r="G745" s="13" t="n">
        <x:v>4</x:v>
      </x:c>
      <x:c r="H745" s="13" t="n">
        <x:v>8</x:v>
      </x:c>
      <x:c r="I745" s="13" t="str">
        <x:v>1601002010; 1601002090; 1601004010; 1601004090; 1601006020; 1601006060; +1 more</x:v>
      </x:c>
      <x:c r="J745" s="13" t="str">
        <x:v>1601000301; 1601000302; 1601000303; 1601000399</x:v>
      </x:c>
      <x:c r="K745" s="13" t="str">
        <x:v>1601001100; 1601001900; 1601002100; 1601002200; 1601002300; 1601003100; +2 more</x:v>
      </x:c>
      <x:c r="L745" s="13" t="str">
        <x:v>UNRESOLVED</x:v>
      </x:c>
      <x:c r="M745" s="13" t="str"/>
      <x:c r="N745" s="13" t="str">
        <x:v>NO / DEFAULT</x:v>
      </x:c>
      <x:c r="O745" s="13" t="str"/>
      <x:c r="P745" s="13" t="str">
        <x:v>NO / DEFAULT</x:v>
      </x:c>
      <x:c r="Q745" s="13" t="str"/>
      <x:c r="R745" s="13" t="str">
        <x:v>INDEPENDENT / DEFAULT</x:v>
      </x:c>
      <x:c r="S745" s="13" t="str"/>
      <x:c r="T745" s="13" t="str">
        <x:v>UNRESOLVED</x:v>
      </x:c>
      <x:c r="U745" s="13" t="str"/>
      <x:c r="V745" s="13" t="str"/>
      <x:c r="W745" s="13" t="str"/>
      <x:c r="X745" s="13" t="str">
        <x:f>IF(L745&lt;&gt;"COVERED","HELD — COVERAGE",IF(N745="YES — SENSITIVE","C ACTIONABLE","CHAPTER 5 DEFAULT"))</x:f>
        <x:v>HELD — COVERAGE</x:v>
      </x:c>
      <x:c r="Y745" s="13" t="str">
        <x:f>IF(L745&lt;&gt;"COVERED","HELD — COVERAGE",IF(P745="YES — MANAGED ACCESS","D ACTIONABLE","NO D FIELD"))</x:f>
        <x:v>HELD — COVERAGE</x:v>
      </x:c>
      <x:c r="Z745" s="13" t="str">
        <x:f>IF(L745&lt;&gt;"COVERED","HELD — COVERAGE",IF(OR(R745="PAIRED SYNCHRONIZED",R745="TRILATERAL SYNCHRONIZED"),"E ACTIONABLE","INDEPENDENT"))</x:f>
        <x:v>HELD — COVERAGE</x:v>
      </x:c>
      <x:c r="AA745" s="13" t="str">
        <x:f>IF(L745&lt;&gt;"COVERED","HELD — COVERAGE","WAIT FOR UPSTREAM COMPLETION")</x:f>
        <x:v>HELD — COVERAGE</x:v>
      </x:c>
      <x:c r="AB745" s="13" t="str">
        <x:f>IF(L745&lt;&gt;"COVERED","HELD — COVERAGE",IF(T745="UNRESOLVED","G DECISION REQUIRED",IF(T745="NOT APPLICABLE","G N/A","G ACTIONABLE")))</x:f>
        <x:v>HELD — COVERAGE</x:v>
      </x:c>
      <x:c r="AC745" s="13" t="str">
        <x:f>IF(L745="UNRESOLVED","COVERAGE FIRST",IF(OR(L745="EXCLUDED",L745="OUT OF SCOPE"),"CLOSED BY COVERAGE",IF(AND(L745="COVERED",T745&lt;&gt;"UNRESOLVED"),"PARTIALLY ADOPTED","DECISIONS REMAIN")))</x:f>
        <x:v>COVERAGE FIRST</x:v>
      </x:c>
    </x:row>
    <x:row r="746">
      <x:c r="A746" s="13" t="str">
        <x:v>NAAFTC-HS6-160210</x:v>
      </x:c>
      <x:c r="B746" s="13" t="str">
        <x:v>160210</x:v>
      </x:c>
      <x:c r="C746" s="13" t="str">
        <x:v>16</x:v>
      </x:c>
      <x:c r="D746" s="13" t="str">
        <x:v>TRILATERAL_SPLIT_MERGE</x:v>
      </x:c>
      <x:c r="E746" s="13" t="str">
        <x:v>Pending</x:v>
      </x:c>
      <x:c r="F746" s="13" t="n">
        <x:v>3</x:v>
      </x:c>
      <x:c r="G746" s="13" t="n">
        <x:v>2</x:v>
      </x:c>
      <x:c r="H746" s="13" t="n">
        <x:v>2</x:v>
      </x:c>
      <x:c r="I746" s="13" t="str">
        <x:v>1602101000; 1602105060; 1602105080</x:v>
      </x:c>
      <x:c r="J746" s="13" t="str">
        <x:v>1602100201; 1602100299</x:v>
      </x:c>
      <x:c r="K746" s="13" t="str">
        <x:v>1602101000; 1602109000</x:v>
      </x:c>
      <x:c r="L746" s="13" t="str">
        <x:v>UNRESOLVED</x:v>
      </x:c>
      <x:c r="M746" s="13" t="str"/>
      <x:c r="N746" s="13" t="str">
        <x:v>NO / DEFAULT</x:v>
      </x:c>
      <x:c r="O746" s="13" t="str"/>
      <x:c r="P746" s="13" t="str">
        <x:v>NO / DEFAULT</x:v>
      </x:c>
      <x:c r="Q746" s="13" t="str"/>
      <x:c r="R746" s="13" t="str">
        <x:v>INDEPENDENT / DEFAULT</x:v>
      </x:c>
      <x:c r="S746" s="13" t="str"/>
      <x:c r="T746" s="13" t="str">
        <x:v>UNRESOLVED</x:v>
      </x:c>
      <x:c r="U746" s="13" t="str"/>
      <x:c r="V746" s="13" t="str"/>
      <x:c r="W746" s="13" t="str"/>
      <x:c r="X746" s="13" t="str">
        <x:f>IF(L746&lt;&gt;"COVERED","HELD — COVERAGE",IF(N746="YES — SENSITIVE","C ACTIONABLE","CHAPTER 5 DEFAULT"))</x:f>
        <x:v>HELD — COVERAGE</x:v>
      </x:c>
      <x:c r="Y746" s="13" t="str">
        <x:f>IF(L746&lt;&gt;"COVERED","HELD — COVERAGE",IF(P746="YES — MANAGED ACCESS","D ACTIONABLE","NO D FIELD"))</x:f>
        <x:v>HELD — COVERAGE</x:v>
      </x:c>
      <x:c r="Z746" s="13" t="str">
        <x:f>IF(L746&lt;&gt;"COVERED","HELD — COVERAGE",IF(OR(R746="PAIRED SYNCHRONIZED",R746="TRILATERAL SYNCHRONIZED"),"E ACTIONABLE","INDEPENDENT"))</x:f>
        <x:v>HELD — COVERAGE</x:v>
      </x:c>
      <x:c r="AA746" s="13" t="str">
        <x:f>IF(L746&lt;&gt;"COVERED","HELD — COVERAGE","WAIT FOR UPSTREAM COMPLETION")</x:f>
        <x:v>HELD — COVERAGE</x:v>
      </x:c>
      <x:c r="AB746" s="13" t="str">
        <x:f>IF(L746&lt;&gt;"COVERED","HELD — COVERAGE",IF(T746="UNRESOLVED","G DECISION REQUIRED",IF(T746="NOT APPLICABLE","G N/A","G ACTIONABLE")))</x:f>
        <x:v>HELD — COVERAGE</x:v>
      </x:c>
      <x:c r="AC746" s="13" t="str">
        <x:f>IF(L746="UNRESOLVED","COVERAGE FIRST",IF(OR(L746="EXCLUDED",L746="OUT OF SCOPE"),"CLOSED BY COVERAGE",IF(AND(L746="COVERED",T746&lt;&gt;"UNRESOLVED"),"PARTIALLY ADOPTED","DECISIONS REMAIN")))</x:f>
        <x:v>COVERAGE FIRST</x:v>
      </x:c>
    </x:row>
    <x:row r="747">
      <x:c r="A747" s="13" t="str">
        <x:v>NAAFTC-HS6-160220</x:v>
      </x:c>
      <x:c r="B747" s="13" t="str">
        <x:v>160220</x:v>
      </x:c>
      <x:c r="C747" s="13" t="str">
        <x:v>16</x:v>
      </x:c>
      <x:c r="D747" s="13" t="str">
        <x:v>TRILATERAL_SPLIT_MERGE</x:v>
      </x:c>
      <x:c r="E747" s="13" t="str">
        <x:v>Pending</x:v>
      </x:c>
      <x:c r="F747" s="13" t="n">
        <x:v>2</x:v>
      </x:c>
      <x:c r="G747" s="13" t="n">
        <x:v>1</x:v>
      </x:c>
      <x:c r="H747" s="13" t="n">
        <x:v>3</x:v>
      </x:c>
      <x:c r="I747" s="13" t="str">
        <x:v>1602202000; 1602204000</x:v>
      </x:c>
      <x:c r="J747" s="13" t="str">
        <x:v>1602200200</x:v>
      </x:c>
      <x:c r="K747" s="13" t="str">
        <x:v>1602201000; 1602202100; 1602202200</x:v>
      </x:c>
      <x:c r="L747" s="13" t="str">
        <x:v>UNRESOLVED</x:v>
      </x:c>
      <x:c r="M747" s="13" t="str"/>
      <x:c r="N747" s="13" t="str">
        <x:v>NO / DEFAULT</x:v>
      </x:c>
      <x:c r="O747" s="13" t="str"/>
      <x:c r="P747" s="13" t="str">
        <x:v>NO / DEFAULT</x:v>
      </x:c>
      <x:c r="Q747" s="13" t="str"/>
      <x:c r="R747" s="13" t="str">
        <x:v>INDEPENDENT / DEFAULT</x:v>
      </x:c>
      <x:c r="S747" s="13" t="str"/>
      <x:c r="T747" s="13" t="str">
        <x:v>UNRESOLVED</x:v>
      </x:c>
      <x:c r="U747" s="13" t="str"/>
      <x:c r="V747" s="13" t="str"/>
      <x:c r="W747" s="13" t="str"/>
      <x:c r="X747" s="13" t="str">
        <x:f>IF(L747&lt;&gt;"COVERED","HELD — COVERAGE",IF(N747="YES — SENSITIVE","C ACTIONABLE","CHAPTER 5 DEFAULT"))</x:f>
        <x:v>HELD — COVERAGE</x:v>
      </x:c>
      <x:c r="Y747" s="13" t="str">
        <x:f>IF(L747&lt;&gt;"COVERED","HELD — COVERAGE",IF(P747="YES — MANAGED ACCESS","D ACTIONABLE","NO D FIELD"))</x:f>
        <x:v>HELD — COVERAGE</x:v>
      </x:c>
      <x:c r="Z747" s="13" t="str">
        <x:f>IF(L747&lt;&gt;"COVERED","HELD — COVERAGE",IF(OR(R747="PAIRED SYNCHRONIZED",R747="TRILATERAL SYNCHRONIZED"),"E ACTIONABLE","INDEPENDENT"))</x:f>
        <x:v>HELD — COVERAGE</x:v>
      </x:c>
      <x:c r="AA747" s="13" t="str">
        <x:f>IF(L747&lt;&gt;"COVERED","HELD — COVERAGE","WAIT FOR UPSTREAM COMPLETION")</x:f>
        <x:v>HELD — COVERAGE</x:v>
      </x:c>
      <x:c r="AB747" s="13" t="str">
        <x:f>IF(L747&lt;&gt;"COVERED","HELD — COVERAGE",IF(T747="UNRESOLVED","G DECISION REQUIRED",IF(T747="NOT APPLICABLE","G N/A","G ACTIONABLE")))</x:f>
        <x:v>HELD — COVERAGE</x:v>
      </x:c>
      <x:c r="AC747" s="13" t="str">
        <x:f>IF(L747="UNRESOLVED","COVERAGE FIRST",IF(OR(L747="EXCLUDED",L747="OUT OF SCOPE"),"CLOSED BY COVERAGE",IF(AND(L747="COVERED",T747&lt;&gt;"UNRESOLVED"),"PARTIALLY ADOPTED","DECISIONS REMAIN")))</x:f>
        <x:v>COVERAGE FIRST</x:v>
      </x:c>
    </x:row>
    <x:row r="748">
      <x:c r="A748" s="13" t="str">
        <x:v>NAAFTC-HS6-160231</x:v>
      </x:c>
      <x:c r="B748" s="13" t="str">
        <x:v>160231</x:v>
      </x:c>
      <x:c r="C748" s="13" t="str">
        <x:v>16</x:v>
      </x:c>
      <x:c r="D748" s="13" t="str">
        <x:v>TRILATERAL_SPLIT_MERGE</x:v>
      </x:c>
      <x:c r="E748" s="13" t="str">
        <x:v>Pending</x:v>
      </x:c>
      <x:c r="F748" s="13" t="n">
        <x:v>2</x:v>
      </x:c>
      <x:c r="G748" s="13" t="n">
        <x:v>1</x:v>
      </x:c>
      <x:c r="H748" s="13" t="n">
        <x:v>5</x:v>
      </x:c>
      <x:c r="I748" s="13" t="str">
        <x:v>1602310020; 1602310040</x:v>
      </x:c>
      <x:c r="J748" s="13" t="str">
        <x:v>1602310100</x:v>
      </x:c>
      <x:c r="K748" s="13" t="str">
        <x:v>1602319100; 1602319200; 1602319300; 1602319400; 1602319500</x:v>
      </x:c>
      <x:c r="L748" s="13" t="str">
        <x:v>UNRESOLVED</x:v>
      </x:c>
      <x:c r="M748" s="13" t="str"/>
      <x:c r="N748" s="13" t="str">
        <x:v>NO / DEFAULT</x:v>
      </x:c>
      <x:c r="O748" s="13" t="str"/>
      <x:c r="P748" s="13" t="str">
        <x:v>NO / DEFAULT</x:v>
      </x:c>
      <x:c r="Q748" s="13" t="str"/>
      <x:c r="R748" s="13" t="str">
        <x:v>INDEPENDENT / DEFAULT</x:v>
      </x:c>
      <x:c r="S748" s="13" t="str"/>
      <x:c r="T748" s="13" t="str">
        <x:v>UNRESOLVED</x:v>
      </x:c>
      <x:c r="U748" s="13" t="str"/>
      <x:c r="V748" s="13" t="str"/>
      <x:c r="W748" s="13" t="str"/>
      <x:c r="X748" s="13" t="str">
        <x:f>IF(L748&lt;&gt;"COVERED","HELD — COVERAGE",IF(N748="YES — SENSITIVE","C ACTIONABLE","CHAPTER 5 DEFAULT"))</x:f>
        <x:v>HELD — COVERAGE</x:v>
      </x:c>
      <x:c r="Y748" s="13" t="str">
        <x:f>IF(L748&lt;&gt;"COVERED","HELD — COVERAGE",IF(P748="YES — MANAGED ACCESS","D ACTIONABLE","NO D FIELD"))</x:f>
        <x:v>HELD — COVERAGE</x:v>
      </x:c>
      <x:c r="Z748" s="13" t="str">
        <x:f>IF(L748&lt;&gt;"COVERED","HELD — COVERAGE",IF(OR(R748="PAIRED SYNCHRONIZED",R748="TRILATERAL SYNCHRONIZED"),"E ACTIONABLE","INDEPENDENT"))</x:f>
        <x:v>HELD — COVERAGE</x:v>
      </x:c>
      <x:c r="AA748" s="13" t="str">
        <x:f>IF(L748&lt;&gt;"COVERED","HELD — COVERAGE","WAIT FOR UPSTREAM COMPLETION")</x:f>
        <x:v>HELD — COVERAGE</x:v>
      </x:c>
      <x:c r="AB748" s="13" t="str">
        <x:f>IF(L748&lt;&gt;"COVERED","HELD — COVERAGE",IF(T748="UNRESOLVED","G DECISION REQUIRED",IF(T748="NOT APPLICABLE","G N/A","G ACTIONABLE")))</x:f>
        <x:v>HELD — COVERAGE</x:v>
      </x:c>
      <x:c r="AC748" s="13" t="str">
        <x:f>IF(L748="UNRESOLVED","COVERAGE FIRST",IF(OR(L748="EXCLUDED",L748="OUT OF SCOPE"),"CLOSED BY COVERAGE",IF(AND(L748="COVERED",T748&lt;&gt;"UNRESOLVED"),"PARTIALLY ADOPTED","DECISIONS REMAIN")))</x:f>
        <x:v>COVERAGE FIRST</x:v>
      </x:c>
    </x:row>
    <x:row r="749">
      <x:c r="A749" s="13" t="str">
        <x:v>NAAFTC-HS6-160232</x:v>
      </x:c>
      <x:c r="B749" s="13" t="str">
        <x:v>160232</x:v>
      </x:c>
      <x:c r="C749" s="13" t="str">
        <x:v>16</x:v>
      </x:c>
      <x:c r="D749" s="13" t="str">
        <x:v>TRILATERAL_SPLIT_MERGE</x:v>
      </x:c>
      <x:c r="E749" s="13" t="str">
        <x:v>Pending</x:v>
      </x:c>
      <x:c r="F749" s="13" t="n">
        <x:v>3</x:v>
      </x:c>
      <x:c r="G749" s="13" t="n">
        <x:v>1</x:v>
      </x:c>
      <x:c r="H749" s="13" t="n">
        <x:v>3</x:v>
      </x:c>
      <x:c r="I749" s="13" t="str">
        <x:v>1602320010; 1602320030; 1602320040</x:v>
      </x:c>
      <x:c r="J749" s="13" t="str">
        <x:v>1602320100</x:v>
      </x:c>
      <x:c r="K749" s="13" t="str">
        <x:v>16023211; 1602321200; 1602321300</x:v>
      </x:c>
      <x:c r="L749" s="13" t="str">
        <x:v>UNRESOLVED</x:v>
      </x:c>
      <x:c r="M749" s="13" t="str"/>
      <x:c r="N749" s="13" t="str">
        <x:v>NO / DEFAULT</x:v>
      </x:c>
      <x:c r="O749" s="13" t="str"/>
      <x:c r="P749" s="13" t="str">
        <x:v>NO / DEFAULT</x:v>
      </x:c>
      <x:c r="Q749" s="13" t="str"/>
      <x:c r="R749" s="13" t="str">
        <x:v>INDEPENDENT / DEFAULT</x:v>
      </x:c>
      <x:c r="S749" s="13" t="str"/>
      <x:c r="T749" s="13" t="str">
        <x:v>UNRESOLVED</x:v>
      </x:c>
      <x:c r="U749" s="13" t="str"/>
      <x:c r="V749" s="13" t="str"/>
      <x:c r="W749" s="13" t="str"/>
      <x:c r="X749" s="13" t="str">
        <x:f>IF(L749&lt;&gt;"COVERED","HELD — COVERAGE",IF(N749="YES — SENSITIVE","C ACTIONABLE","CHAPTER 5 DEFAULT"))</x:f>
        <x:v>HELD — COVERAGE</x:v>
      </x:c>
      <x:c r="Y749" s="13" t="str">
        <x:f>IF(L749&lt;&gt;"COVERED","HELD — COVERAGE",IF(P749="YES — MANAGED ACCESS","D ACTIONABLE","NO D FIELD"))</x:f>
        <x:v>HELD — COVERAGE</x:v>
      </x:c>
      <x:c r="Z749" s="13" t="str">
        <x:f>IF(L749&lt;&gt;"COVERED","HELD — COVERAGE",IF(OR(R749="PAIRED SYNCHRONIZED",R749="TRILATERAL SYNCHRONIZED"),"E ACTIONABLE","INDEPENDENT"))</x:f>
        <x:v>HELD — COVERAGE</x:v>
      </x:c>
      <x:c r="AA749" s="13" t="str">
        <x:f>IF(L749&lt;&gt;"COVERED","HELD — COVERAGE","WAIT FOR UPSTREAM COMPLETION")</x:f>
        <x:v>HELD — COVERAGE</x:v>
      </x:c>
      <x:c r="AB749" s="13" t="str">
        <x:f>IF(L749&lt;&gt;"COVERED","HELD — COVERAGE",IF(T749="UNRESOLVED","G DECISION REQUIRED",IF(T749="NOT APPLICABLE","G N/A","G ACTIONABLE")))</x:f>
        <x:v>HELD — COVERAGE</x:v>
      </x:c>
      <x:c r="AC749" s="13" t="str">
        <x:f>IF(L749="UNRESOLVED","COVERAGE FIRST",IF(OR(L749="EXCLUDED",L749="OUT OF SCOPE"),"CLOSED BY COVERAGE",IF(AND(L749="COVERED",T749&lt;&gt;"UNRESOLVED"),"PARTIALLY ADOPTED","DECISIONS REMAIN")))</x:f>
        <x:v>COVERAGE FIRST</x:v>
      </x:c>
    </x:row>
    <x:row r="750">
      <x:c r="A750" s="13" t="str">
        <x:v>NAAFTC-HS6-160239</x:v>
      </x:c>
      <x:c r="B750" s="13" t="str">
        <x:v>160239</x:v>
      </x:c>
      <x:c r="C750" s="13" t="str">
        <x:v>16</x:v>
      </x:c>
      <x:c r="D750" s="13" t="str">
        <x:v>TRILATERAL_SPLIT_MERGE</x:v>
      </x:c>
      <x:c r="E750" s="13" t="str">
        <x:v>Pending</x:v>
      </x:c>
      <x:c r="F750" s="13" t="n">
        <x:v>3</x:v>
      </x:c>
      <x:c r="G750" s="13" t="n">
        <x:v>1</x:v>
      </x:c>
      <x:c r="H750" s="13" t="n">
        <x:v>1</x:v>
      </x:c>
      <x:c r="I750" s="13" t="str">
        <x:v>1602390015; 1602390035; 1602390045</x:v>
      </x:c>
      <x:c r="J750" s="13" t="str">
        <x:v>1602399900</x:v>
      </x:c>
      <x:c r="K750" s="13" t="str">
        <x:v>1602399900</x:v>
      </x:c>
      <x:c r="L750" s="13" t="str">
        <x:v>UNRESOLVED</x:v>
      </x:c>
      <x:c r="M750" s="13" t="str"/>
      <x:c r="N750" s="13" t="str">
        <x:v>NO / DEFAULT</x:v>
      </x:c>
      <x:c r="O750" s="13" t="str"/>
      <x:c r="P750" s="13" t="str">
        <x:v>NO / DEFAULT</x:v>
      </x:c>
      <x:c r="Q750" s="13" t="str"/>
      <x:c r="R750" s="13" t="str">
        <x:v>INDEPENDENT / DEFAULT</x:v>
      </x:c>
      <x:c r="S750" s="13" t="str"/>
      <x:c r="T750" s="13" t="str">
        <x:v>UNRESOLVED</x:v>
      </x:c>
      <x:c r="U750" s="13" t="str"/>
      <x:c r="V750" s="13" t="str"/>
      <x:c r="W750" s="13" t="str"/>
      <x:c r="X750" s="13" t="str">
        <x:f>IF(L750&lt;&gt;"COVERED","HELD — COVERAGE",IF(N750="YES — SENSITIVE","C ACTIONABLE","CHAPTER 5 DEFAULT"))</x:f>
        <x:v>HELD — COVERAGE</x:v>
      </x:c>
      <x:c r="Y750" s="13" t="str">
        <x:f>IF(L750&lt;&gt;"COVERED","HELD — COVERAGE",IF(P750="YES — MANAGED ACCESS","D ACTIONABLE","NO D FIELD"))</x:f>
        <x:v>HELD — COVERAGE</x:v>
      </x:c>
      <x:c r="Z750" s="13" t="str">
        <x:f>IF(L750&lt;&gt;"COVERED","HELD — COVERAGE",IF(OR(R750="PAIRED SYNCHRONIZED",R750="TRILATERAL SYNCHRONIZED"),"E ACTIONABLE","INDEPENDENT"))</x:f>
        <x:v>HELD — COVERAGE</x:v>
      </x:c>
      <x:c r="AA750" s="13" t="str">
        <x:f>IF(L750&lt;&gt;"COVERED","HELD — COVERAGE","WAIT FOR UPSTREAM COMPLETION")</x:f>
        <x:v>HELD — COVERAGE</x:v>
      </x:c>
      <x:c r="AB750" s="13" t="str">
        <x:f>IF(L750&lt;&gt;"COVERED","HELD — COVERAGE",IF(T750="UNRESOLVED","G DECISION REQUIRED",IF(T750="NOT APPLICABLE","G N/A","G ACTIONABLE")))</x:f>
        <x:v>HELD — COVERAGE</x:v>
      </x:c>
      <x:c r="AC750" s="13" t="str">
        <x:f>IF(L750="UNRESOLVED","COVERAGE FIRST",IF(OR(L750="EXCLUDED",L750="OUT OF SCOPE"),"CLOSED BY COVERAGE",IF(AND(L750="COVERED",T750&lt;&gt;"UNRESOLVED"),"PARTIALLY ADOPTED","DECISIONS REMAIN")))</x:f>
        <x:v>COVERAGE FIRST</x:v>
      </x:c>
    </x:row>
    <x:row r="751">
      <x:c r="A751" s="13" t="str">
        <x:v>NAAFTC-HS6-160241</x:v>
      </x:c>
      <x:c r="B751" s="13" t="str">
        <x:v>160241</x:v>
      </x:c>
      <x:c r="C751" s="13" t="str">
        <x:v>16</x:v>
      </x:c>
      <x:c r="D751" s="13" t="str">
        <x:v>TRILATERAL_SPLIT_MERGE</x:v>
      </x:c>
      <x:c r="E751" s="13" t="str">
        <x:v>Pending</x:v>
      </x:c>
      <x:c r="F751" s="13" t="n">
        <x:v>4</x:v>
      </x:c>
      <x:c r="G751" s="13" t="n">
        <x:v>1</x:v>
      </x:c>
      <x:c r="H751" s="13" t="n">
        <x:v>2</x:v>
      </x:c>
      <x:c r="I751" s="13" t="str">
        <x:v>1602411000; 1602412020; 1602412040; 1602419000</x:v>
      </x:c>
      <x:c r="J751" s="13" t="str">
        <x:v>1602410100</x:v>
      </x:c>
      <x:c r="K751" s="13" t="str">
        <x:v>1602411000; 1602419000</x:v>
      </x:c>
      <x:c r="L751" s="13" t="str">
        <x:v>UNRESOLVED</x:v>
      </x:c>
      <x:c r="M751" s="13" t="str"/>
      <x:c r="N751" s="13" t="str">
        <x:v>NO / DEFAULT</x:v>
      </x:c>
      <x:c r="O751" s="13" t="str"/>
      <x:c r="P751" s="13" t="str">
        <x:v>NO / DEFAULT</x:v>
      </x:c>
      <x:c r="Q751" s="13" t="str"/>
      <x:c r="R751" s="13" t="str">
        <x:v>INDEPENDENT / DEFAULT</x:v>
      </x:c>
      <x:c r="S751" s="13" t="str"/>
      <x:c r="T751" s="13" t="str">
        <x:v>UNRESOLVED</x:v>
      </x:c>
      <x:c r="U751" s="13" t="str"/>
      <x:c r="V751" s="13" t="str"/>
      <x:c r="W751" s="13" t="str"/>
      <x:c r="X751" s="13" t="str">
        <x:f>IF(L751&lt;&gt;"COVERED","HELD — COVERAGE",IF(N751="YES — SENSITIVE","C ACTIONABLE","CHAPTER 5 DEFAULT"))</x:f>
        <x:v>HELD — COVERAGE</x:v>
      </x:c>
      <x:c r="Y751" s="13" t="str">
        <x:f>IF(L751&lt;&gt;"COVERED","HELD — COVERAGE",IF(P751="YES — MANAGED ACCESS","D ACTIONABLE","NO D FIELD"))</x:f>
        <x:v>HELD — COVERAGE</x:v>
      </x:c>
      <x:c r="Z751" s="13" t="str">
        <x:f>IF(L751&lt;&gt;"COVERED","HELD — COVERAGE",IF(OR(R751="PAIRED SYNCHRONIZED",R751="TRILATERAL SYNCHRONIZED"),"E ACTIONABLE","INDEPENDENT"))</x:f>
        <x:v>HELD — COVERAGE</x:v>
      </x:c>
      <x:c r="AA751" s="13" t="str">
        <x:f>IF(L751&lt;&gt;"COVERED","HELD — COVERAGE","WAIT FOR UPSTREAM COMPLETION")</x:f>
        <x:v>HELD — COVERAGE</x:v>
      </x:c>
      <x:c r="AB751" s="13" t="str">
        <x:f>IF(L751&lt;&gt;"COVERED","HELD — COVERAGE",IF(T751="UNRESOLVED","G DECISION REQUIRED",IF(T751="NOT APPLICABLE","G N/A","G ACTIONABLE")))</x:f>
        <x:v>HELD — COVERAGE</x:v>
      </x:c>
      <x:c r="AC751" s="13" t="str">
        <x:f>IF(L751="UNRESOLVED","COVERAGE FIRST",IF(OR(L751="EXCLUDED",L751="OUT OF SCOPE"),"CLOSED BY COVERAGE",IF(AND(L751="COVERED",T751&lt;&gt;"UNRESOLVED"),"PARTIALLY ADOPTED","DECISIONS REMAIN")))</x:f>
        <x:v>COVERAGE FIRST</x:v>
      </x:c>
    </x:row>
    <x:row r="752">
      <x:c r="A752" s="13" t="str">
        <x:v>NAAFTC-HS6-160242</x:v>
      </x:c>
      <x:c r="B752" s="13" t="str">
        <x:v>160242</x:v>
      </x:c>
      <x:c r="C752" s="13" t="str">
        <x:v>16</x:v>
      </x:c>
      <x:c r="D752" s="13" t="str">
        <x:v>TRILATERAL_SPLIT_MERGE</x:v>
      </x:c>
      <x:c r="E752" s="13" t="str">
        <x:v>Pending</x:v>
      </x:c>
      <x:c r="F752" s="13" t="n">
        <x:v>3</x:v>
      </x:c>
      <x:c r="G752" s="13" t="n">
        <x:v>1</x:v>
      </x:c>
      <x:c r="H752" s="13" t="n">
        <x:v>2</x:v>
      </x:c>
      <x:c r="I752" s="13" t="str">
        <x:v>1602422020; 1602422040; 1602424000</x:v>
      </x:c>
      <x:c r="J752" s="13" t="str">
        <x:v>1602420100</x:v>
      </x:c>
      <x:c r="K752" s="13" t="str">
        <x:v>1602421000; 1602429000</x:v>
      </x:c>
      <x:c r="L752" s="13" t="str">
        <x:v>UNRESOLVED</x:v>
      </x:c>
      <x:c r="M752" s="13" t="str"/>
      <x:c r="N752" s="13" t="str">
        <x:v>NO / DEFAULT</x:v>
      </x:c>
      <x:c r="O752" s="13" t="str"/>
      <x:c r="P752" s="13" t="str">
        <x:v>NO / DEFAULT</x:v>
      </x:c>
      <x:c r="Q752" s="13" t="str"/>
      <x:c r="R752" s="13" t="str">
        <x:v>INDEPENDENT / DEFAULT</x:v>
      </x:c>
      <x:c r="S752" s="13" t="str"/>
      <x:c r="T752" s="13" t="str">
        <x:v>UNRESOLVED</x:v>
      </x:c>
      <x:c r="U752" s="13" t="str"/>
      <x:c r="V752" s="13" t="str"/>
      <x:c r="W752" s="13" t="str"/>
      <x:c r="X752" s="13" t="str">
        <x:f>IF(L752&lt;&gt;"COVERED","HELD — COVERAGE",IF(N752="YES — SENSITIVE","C ACTIONABLE","CHAPTER 5 DEFAULT"))</x:f>
        <x:v>HELD — COVERAGE</x:v>
      </x:c>
      <x:c r="Y752" s="13" t="str">
        <x:f>IF(L752&lt;&gt;"COVERED","HELD — COVERAGE",IF(P752="YES — MANAGED ACCESS","D ACTIONABLE","NO D FIELD"))</x:f>
        <x:v>HELD — COVERAGE</x:v>
      </x:c>
      <x:c r="Z752" s="13" t="str">
        <x:f>IF(L752&lt;&gt;"COVERED","HELD — COVERAGE",IF(OR(R752="PAIRED SYNCHRONIZED",R752="TRILATERAL SYNCHRONIZED"),"E ACTIONABLE","INDEPENDENT"))</x:f>
        <x:v>HELD — COVERAGE</x:v>
      </x:c>
      <x:c r="AA752" s="13" t="str">
        <x:f>IF(L752&lt;&gt;"COVERED","HELD — COVERAGE","WAIT FOR UPSTREAM COMPLETION")</x:f>
        <x:v>HELD — COVERAGE</x:v>
      </x:c>
      <x:c r="AB752" s="13" t="str">
        <x:f>IF(L752&lt;&gt;"COVERED","HELD — COVERAGE",IF(T752="UNRESOLVED","G DECISION REQUIRED",IF(T752="NOT APPLICABLE","G N/A","G ACTIONABLE")))</x:f>
        <x:v>HELD — COVERAGE</x:v>
      </x:c>
      <x:c r="AC752" s="13" t="str">
        <x:f>IF(L752="UNRESOLVED","COVERAGE FIRST",IF(OR(L752="EXCLUDED",L752="OUT OF SCOPE"),"CLOSED BY COVERAGE",IF(AND(L752="COVERED",T752&lt;&gt;"UNRESOLVED"),"PARTIALLY ADOPTED","DECISIONS REMAIN")))</x:f>
        <x:v>COVERAGE FIRST</x:v>
      </x:c>
    </x:row>
    <x:row r="753">
      <x:c r="A753" s="13" t="str">
        <x:v>NAAFTC-HS6-160249</x:v>
      </x:c>
      <x:c r="B753" s="13" t="str">
        <x:v>160249</x:v>
      </x:c>
      <x:c r="C753" s="13" t="str">
        <x:v>16</x:v>
      </x:c>
      <x:c r="D753" s="13" t="str">
        <x:v>TRILATERAL_SPLIT_MERGE</x:v>
      </x:c>
      <x:c r="E753" s="13" t="str">
        <x:v>Pending</x:v>
      </x:c>
      <x:c r="F753" s="13" t="n">
        <x:v>5</x:v>
      </x:c>
      <x:c r="G753" s="13" t="n">
        <x:v>2</x:v>
      </x:c>
      <x:c r="H753" s="13" t="n">
        <x:v>1</x:v>
      </x:c>
      <x:c r="I753" s="13" t="str">
        <x:v>1602491000; 1602492000; 1602494000; 1602496000; 1602499000</x:v>
      </x:c>
      <x:c r="J753" s="13" t="str">
        <x:v>1602499101; 1602499199</x:v>
      </x:c>
      <x:c r="K753" s="13" t="str">
        <x:v>16024910</x:v>
      </x:c>
      <x:c r="L753" s="13" t="str">
        <x:v>UNRESOLVED</x:v>
      </x:c>
      <x:c r="M753" s="13" t="str"/>
      <x:c r="N753" s="13" t="str">
        <x:v>NO / DEFAULT</x:v>
      </x:c>
      <x:c r="O753" s="13" t="str"/>
      <x:c r="P753" s="13" t="str">
        <x:v>NO / DEFAULT</x:v>
      </x:c>
      <x:c r="Q753" s="13" t="str"/>
      <x:c r="R753" s="13" t="str">
        <x:v>INDEPENDENT / DEFAULT</x:v>
      </x:c>
      <x:c r="S753" s="13" t="str"/>
      <x:c r="T753" s="13" t="str">
        <x:v>UNRESOLVED</x:v>
      </x:c>
      <x:c r="U753" s="13" t="str"/>
      <x:c r="V753" s="13" t="str"/>
      <x:c r="W753" s="13" t="str"/>
      <x:c r="X753" s="13" t="str">
        <x:f>IF(L753&lt;&gt;"COVERED","HELD — COVERAGE",IF(N753="YES — SENSITIVE","C ACTIONABLE","CHAPTER 5 DEFAULT"))</x:f>
        <x:v>HELD — COVERAGE</x:v>
      </x:c>
      <x:c r="Y753" s="13" t="str">
        <x:f>IF(L753&lt;&gt;"COVERED","HELD — COVERAGE",IF(P753="YES — MANAGED ACCESS","D ACTIONABLE","NO D FIELD"))</x:f>
        <x:v>HELD — COVERAGE</x:v>
      </x:c>
      <x:c r="Z753" s="13" t="str">
        <x:f>IF(L753&lt;&gt;"COVERED","HELD — COVERAGE",IF(OR(R753="PAIRED SYNCHRONIZED",R753="TRILATERAL SYNCHRONIZED"),"E ACTIONABLE","INDEPENDENT"))</x:f>
        <x:v>HELD — COVERAGE</x:v>
      </x:c>
      <x:c r="AA753" s="13" t="str">
        <x:f>IF(L753&lt;&gt;"COVERED","HELD — COVERAGE","WAIT FOR UPSTREAM COMPLETION")</x:f>
        <x:v>HELD — COVERAGE</x:v>
      </x:c>
      <x:c r="AB753" s="13" t="str">
        <x:f>IF(L753&lt;&gt;"COVERED","HELD — COVERAGE",IF(T753="UNRESOLVED","G DECISION REQUIRED",IF(T753="NOT APPLICABLE","G N/A","G ACTIONABLE")))</x:f>
        <x:v>HELD — COVERAGE</x:v>
      </x:c>
      <x:c r="AC753" s="13" t="str">
        <x:f>IF(L753="UNRESOLVED","COVERAGE FIRST",IF(OR(L753="EXCLUDED",L753="OUT OF SCOPE"),"CLOSED BY COVERAGE",IF(AND(L753="COVERED",T753&lt;&gt;"UNRESOLVED"),"PARTIALLY ADOPTED","DECISIONS REMAIN")))</x:f>
        <x:v>COVERAGE FIRST</x:v>
      </x:c>
    </x:row>
    <x:row r="754">
      <x:c r="A754" s="13" t="str">
        <x:v>NAAFTC-HS6-160250</x:v>
      </x:c>
      <x:c r="B754" s="13" t="str">
        <x:v>160250</x:v>
      </x:c>
      <x:c r="C754" s="13" t="str">
        <x:v>16</x:v>
      </x:c>
      <x:c r="D754" s="13" t="str">
        <x:v>TRILATERAL_SPLIT_MERGE</x:v>
      </x:c>
      <x:c r="E754" s="13" t="str">
        <x:v>Pending</x:v>
      </x:c>
      <x:c r="F754" s="13" t="n">
        <x:v>9</x:v>
      </x:c>
      <x:c r="G754" s="13" t="n">
        <x:v>1</x:v>
      </x:c>
      <x:c r="H754" s="13" t="n">
        <x:v>3</x:v>
      </x:c>
      <x:c r="I754" s="13" t="str">
        <x:v>1602500500; 1602500720; 1602500740; 1602500800; 1602502120; 1602502140; +3 more</x:v>
      </x:c>
      <x:c r="J754" s="13" t="str">
        <x:v>1602500200</x:v>
      </x:c>
      <x:c r="K754" s="13" t="str">
        <x:v>1602501000; 16025091; 1602509900</x:v>
      </x:c>
      <x:c r="L754" s="13" t="str">
        <x:v>UNRESOLVED</x:v>
      </x:c>
      <x:c r="M754" s="13" t="str"/>
      <x:c r="N754" s="13" t="str">
        <x:v>NO / DEFAULT</x:v>
      </x:c>
      <x:c r="O754" s="13" t="str"/>
      <x:c r="P754" s="13" t="str">
        <x:v>NO / DEFAULT</x:v>
      </x:c>
      <x:c r="Q754" s="13" t="str"/>
      <x:c r="R754" s="13" t="str">
        <x:v>INDEPENDENT / DEFAULT</x:v>
      </x:c>
      <x:c r="S754" s="13" t="str"/>
      <x:c r="T754" s="13" t="str">
        <x:v>UNRESOLVED</x:v>
      </x:c>
      <x:c r="U754" s="13" t="str"/>
      <x:c r="V754" s="13" t="str"/>
      <x:c r="W754" s="13" t="str"/>
      <x:c r="X754" s="13" t="str">
        <x:f>IF(L754&lt;&gt;"COVERED","HELD — COVERAGE",IF(N754="YES — SENSITIVE","C ACTIONABLE","CHAPTER 5 DEFAULT"))</x:f>
        <x:v>HELD — COVERAGE</x:v>
      </x:c>
      <x:c r="Y754" s="13" t="str">
        <x:f>IF(L754&lt;&gt;"COVERED","HELD — COVERAGE",IF(P754="YES — MANAGED ACCESS","D ACTIONABLE","NO D FIELD"))</x:f>
        <x:v>HELD — COVERAGE</x:v>
      </x:c>
      <x:c r="Z754" s="13" t="str">
        <x:f>IF(L754&lt;&gt;"COVERED","HELD — COVERAGE",IF(OR(R754="PAIRED SYNCHRONIZED",R754="TRILATERAL SYNCHRONIZED"),"E ACTIONABLE","INDEPENDENT"))</x:f>
        <x:v>HELD — COVERAGE</x:v>
      </x:c>
      <x:c r="AA754" s="13" t="str">
        <x:f>IF(L754&lt;&gt;"COVERED","HELD — COVERAGE","WAIT FOR UPSTREAM COMPLETION")</x:f>
        <x:v>HELD — COVERAGE</x:v>
      </x:c>
      <x:c r="AB754" s="13" t="str">
        <x:f>IF(L754&lt;&gt;"COVERED","HELD — COVERAGE",IF(T754="UNRESOLVED","G DECISION REQUIRED",IF(T754="NOT APPLICABLE","G N/A","G ACTIONABLE")))</x:f>
        <x:v>HELD — COVERAGE</x:v>
      </x:c>
      <x:c r="AC754" s="13" t="str">
        <x:f>IF(L754="UNRESOLVED","COVERAGE FIRST",IF(OR(L754="EXCLUDED",L754="OUT OF SCOPE"),"CLOSED BY COVERAGE",IF(AND(L754="COVERED",T754&lt;&gt;"UNRESOLVED"),"PARTIALLY ADOPTED","DECISIONS REMAIN")))</x:f>
        <x:v>COVERAGE FIRST</x:v>
      </x:c>
    </x:row>
    <x:row r="755">
      <x:c r="A755" s="13" t="str">
        <x:v>NAAFTC-HS6-160290</x:v>
      </x:c>
      <x:c r="B755" s="13" t="str">
        <x:v>160290</x:v>
      </x:c>
      <x:c r="C755" s="13" t="str">
        <x:v>16</x:v>
      </x:c>
      <x:c r="D755" s="13" t="str">
        <x:v>TRILATERAL_SPLIT_MERGE</x:v>
      </x:c>
      <x:c r="E755" s="13" t="str">
        <x:v>Pending</x:v>
      </x:c>
      <x:c r="F755" s="13" t="n">
        <x:v>3</x:v>
      </x:c>
      <x:c r="G755" s="13" t="n">
        <x:v>2</x:v>
      </x:c>
      <x:c r="H755" s="13" t="n">
        <x:v>1</x:v>
      </x:c>
      <x:c r="I755" s="13" t="str">
        <x:v>1602901000; 1602909160; 1602909180</x:v>
      </x:c>
      <x:c r="J755" s="13" t="str">
        <x:v>1602909101; 1602909199</x:v>
      </x:c>
      <x:c r="K755" s="13" t="str">
        <x:v>1602909900</x:v>
      </x:c>
      <x:c r="L755" s="13" t="str">
        <x:v>UNRESOLVED</x:v>
      </x:c>
      <x:c r="M755" s="13" t="str"/>
      <x:c r="N755" s="13" t="str">
        <x:v>NO / DEFAULT</x:v>
      </x:c>
      <x:c r="O755" s="13" t="str"/>
      <x:c r="P755" s="13" t="str">
        <x:v>NO / DEFAULT</x:v>
      </x:c>
      <x:c r="Q755" s="13" t="str"/>
      <x:c r="R755" s="13" t="str">
        <x:v>INDEPENDENT / DEFAULT</x:v>
      </x:c>
      <x:c r="S755" s="13" t="str"/>
      <x:c r="T755" s="13" t="str">
        <x:v>UNRESOLVED</x:v>
      </x:c>
      <x:c r="U755" s="13" t="str"/>
      <x:c r="V755" s="13" t="str"/>
      <x:c r="W755" s="13" t="str"/>
      <x:c r="X755" s="13" t="str">
        <x:f>IF(L755&lt;&gt;"COVERED","HELD — COVERAGE",IF(N755="YES — SENSITIVE","C ACTIONABLE","CHAPTER 5 DEFAULT"))</x:f>
        <x:v>HELD — COVERAGE</x:v>
      </x:c>
      <x:c r="Y755" s="13" t="str">
        <x:f>IF(L755&lt;&gt;"COVERED","HELD — COVERAGE",IF(P755="YES — MANAGED ACCESS","D ACTIONABLE","NO D FIELD"))</x:f>
        <x:v>HELD — COVERAGE</x:v>
      </x:c>
      <x:c r="Z755" s="13" t="str">
        <x:f>IF(L755&lt;&gt;"COVERED","HELD — COVERAGE",IF(OR(R755="PAIRED SYNCHRONIZED",R755="TRILATERAL SYNCHRONIZED"),"E ACTIONABLE","INDEPENDENT"))</x:f>
        <x:v>HELD — COVERAGE</x:v>
      </x:c>
      <x:c r="AA755" s="13" t="str">
        <x:f>IF(L755&lt;&gt;"COVERED","HELD — COVERAGE","WAIT FOR UPSTREAM COMPLETION")</x:f>
        <x:v>HELD — COVERAGE</x:v>
      </x:c>
      <x:c r="AB755" s="13" t="str">
        <x:f>IF(L755&lt;&gt;"COVERED","HELD — COVERAGE",IF(T755="UNRESOLVED","G DECISION REQUIRED",IF(T755="NOT APPLICABLE","G N/A","G ACTIONABLE")))</x:f>
        <x:v>HELD — COVERAGE</x:v>
      </x:c>
      <x:c r="AC755" s="13" t="str">
        <x:f>IF(L755="UNRESOLVED","COVERAGE FIRST",IF(OR(L755="EXCLUDED",L755="OUT OF SCOPE"),"CLOSED BY COVERAGE",IF(AND(L755="COVERED",T755&lt;&gt;"UNRESOLVED"),"PARTIALLY ADOPTED","DECISIONS REMAIN")))</x:f>
        <x:v>COVERAGE FIRST</x:v>
      </x:c>
    </x:row>
    <x:row r="756">
      <x:c r="A756" s="13" t="str">
        <x:v>NAAFTC-HS6-160300</x:v>
      </x:c>
      <x:c r="B756" s="13" t="str">
        <x:v>160300</x:v>
      </x:c>
      <x:c r="C756" s="13" t="str">
        <x:v>16</x:v>
      </x:c>
      <x:c r="D756" s="13" t="str">
        <x:v>TRILATERAL_SPLIT_MERGE</x:v>
      </x:c>
      <x:c r="E756" s="13" t="str">
        <x:v>Pending</x:v>
      </x:c>
      <x:c r="F756" s="13" t="n">
        <x:v>3</x:v>
      </x:c>
      <x:c r="G756" s="13" t="n">
        <x:v>2</x:v>
      </x:c>
      <x:c r="H756" s="13" t="n">
        <x:v>2</x:v>
      </x:c>
      <x:c r="I756" s="13" t="str">
        <x:v>1603001000; 1603009010; 1603009090</x:v>
      </x:c>
      <x:c r="J756" s="13" t="str">
        <x:v>1603000100; 1603009900</x:v>
      </x:c>
      <x:c r="K756" s="13" t="str">
        <x:v>1603001000; 1603002000</x:v>
      </x:c>
      <x:c r="L756" s="13" t="str">
        <x:v>UNRESOLVED</x:v>
      </x:c>
      <x:c r="M756" s="13" t="str"/>
      <x:c r="N756" s="13" t="str">
        <x:v>NO / DEFAULT</x:v>
      </x:c>
      <x:c r="O756" s="13" t="str"/>
      <x:c r="P756" s="13" t="str">
        <x:v>NO / DEFAULT</x:v>
      </x:c>
      <x:c r="Q756" s="13" t="str"/>
      <x:c r="R756" s="13" t="str">
        <x:v>INDEPENDENT / DEFAULT</x:v>
      </x:c>
      <x:c r="S756" s="13" t="str"/>
      <x:c r="T756" s="13" t="str">
        <x:v>UNRESOLVED</x:v>
      </x:c>
      <x:c r="U756" s="13" t="str"/>
      <x:c r="V756" s="13" t="str"/>
      <x:c r="W756" s="13" t="str"/>
      <x:c r="X756" s="13" t="str">
        <x:f>IF(L756&lt;&gt;"COVERED","HELD — COVERAGE",IF(N756="YES — SENSITIVE","C ACTIONABLE","CHAPTER 5 DEFAULT"))</x:f>
        <x:v>HELD — COVERAGE</x:v>
      </x:c>
      <x:c r="Y756" s="13" t="str">
        <x:f>IF(L756&lt;&gt;"COVERED","HELD — COVERAGE",IF(P756="YES — MANAGED ACCESS","D ACTIONABLE","NO D FIELD"))</x:f>
        <x:v>HELD — COVERAGE</x:v>
      </x:c>
      <x:c r="Z756" s="13" t="str">
        <x:f>IF(L756&lt;&gt;"COVERED","HELD — COVERAGE",IF(OR(R756="PAIRED SYNCHRONIZED",R756="TRILATERAL SYNCHRONIZED"),"E ACTIONABLE","INDEPENDENT"))</x:f>
        <x:v>HELD — COVERAGE</x:v>
      </x:c>
      <x:c r="AA756" s="13" t="str">
        <x:f>IF(L756&lt;&gt;"COVERED","HELD — COVERAGE","WAIT FOR UPSTREAM COMPLETION")</x:f>
        <x:v>HELD — COVERAGE</x:v>
      </x:c>
      <x:c r="AB756" s="13" t="str">
        <x:f>IF(L756&lt;&gt;"COVERED","HELD — COVERAGE",IF(T756="UNRESOLVED","G DECISION REQUIRED",IF(T756="NOT APPLICABLE","G N/A","G ACTIONABLE")))</x:f>
        <x:v>HELD — COVERAGE</x:v>
      </x:c>
      <x:c r="AC756" s="13" t="str">
        <x:f>IF(L756="UNRESOLVED","COVERAGE FIRST",IF(OR(L756="EXCLUDED",L756="OUT OF SCOPE"),"CLOSED BY COVERAGE",IF(AND(L756="COVERED",T756&lt;&gt;"UNRESOLVED"),"PARTIALLY ADOPTED","DECISIONS REMAIN")))</x:f>
        <x:v>COVERAGE FIRST</x:v>
      </x:c>
    </x:row>
    <x:row r="757">
      <x:c r="A757" s="13" t="str">
        <x:v>NAAFTC-HS6-160411</x:v>
      </x:c>
      <x:c r="B757" s="13" t="str">
        <x:v>160411</x:v>
      </x:c>
      <x:c r="C757" s="13" t="str">
        <x:v>16</x:v>
      </x:c>
      <x:c r="D757" s="13" t="str">
        <x:v>TRILATERAL_SPLIT_MERGE</x:v>
      </x:c>
      <x:c r="E757" s="13" t="str">
        <x:v>Pending</x:v>
      </x:c>
      <x:c r="F757" s="13" t="n">
        <x:v>8</x:v>
      </x:c>
      <x:c r="G757" s="13" t="n">
        <x:v>1</x:v>
      </x:c>
      <x:c r="H757" s="13" t="n">
        <x:v>1</x:v>
      </x:c>
      <x:c r="I757" s="13" t="str">
        <x:v>1604112020; 1604112030; 1604112090; 1604114010; 1604114020; 1604114030; +2 more</x:v>
      </x:c>
      <x:c r="J757" s="13" t="str">
        <x:v>1604110100</x:v>
      </x:c>
      <x:c r="K757" s="13" t="str">
        <x:v>16041100</x:v>
      </x:c>
      <x:c r="L757" s="13" t="str">
        <x:v>UNRESOLVED</x:v>
      </x:c>
      <x:c r="M757" s="13" t="str"/>
      <x:c r="N757" s="13" t="str">
        <x:v>NO / DEFAULT</x:v>
      </x:c>
      <x:c r="O757" s="13" t="str"/>
      <x:c r="P757" s="13" t="str">
        <x:v>NO / DEFAULT</x:v>
      </x:c>
      <x:c r="Q757" s="13" t="str"/>
      <x:c r="R757" s="13" t="str">
        <x:v>INDEPENDENT / DEFAULT</x:v>
      </x:c>
      <x:c r="S757" s="13" t="str"/>
      <x:c r="T757" s="13" t="str">
        <x:v>UNRESOLVED</x:v>
      </x:c>
      <x:c r="U757" s="13" t="str"/>
      <x:c r="V757" s="13" t="str"/>
      <x:c r="W757" s="13" t="str"/>
      <x:c r="X757" s="13" t="str">
        <x:f>IF(L757&lt;&gt;"COVERED","HELD — COVERAGE",IF(N757="YES — SENSITIVE","C ACTIONABLE","CHAPTER 5 DEFAULT"))</x:f>
        <x:v>HELD — COVERAGE</x:v>
      </x:c>
      <x:c r="Y757" s="13" t="str">
        <x:f>IF(L757&lt;&gt;"COVERED","HELD — COVERAGE",IF(P757="YES — MANAGED ACCESS","D ACTIONABLE","NO D FIELD"))</x:f>
        <x:v>HELD — COVERAGE</x:v>
      </x:c>
      <x:c r="Z757" s="13" t="str">
        <x:f>IF(L757&lt;&gt;"COVERED","HELD — COVERAGE",IF(OR(R757="PAIRED SYNCHRONIZED",R757="TRILATERAL SYNCHRONIZED"),"E ACTIONABLE","INDEPENDENT"))</x:f>
        <x:v>HELD — COVERAGE</x:v>
      </x:c>
      <x:c r="AA757" s="13" t="str">
        <x:f>IF(L757&lt;&gt;"COVERED","HELD — COVERAGE","WAIT FOR UPSTREAM COMPLETION")</x:f>
        <x:v>HELD — COVERAGE</x:v>
      </x:c>
      <x:c r="AB757" s="13" t="str">
        <x:f>IF(L757&lt;&gt;"COVERED","HELD — COVERAGE",IF(T757="UNRESOLVED","G DECISION REQUIRED",IF(T757="NOT APPLICABLE","G N/A","G ACTIONABLE")))</x:f>
        <x:v>HELD — COVERAGE</x:v>
      </x:c>
      <x:c r="AC757" s="13" t="str">
        <x:f>IF(L757="UNRESOLVED","COVERAGE FIRST",IF(OR(L757="EXCLUDED",L757="OUT OF SCOPE"),"CLOSED BY COVERAGE",IF(AND(L757="COVERED",T757&lt;&gt;"UNRESOLVED"),"PARTIALLY ADOPTED","DECISIONS REMAIN")))</x:f>
        <x:v>COVERAGE FIRST</x:v>
      </x:c>
    </x:row>
    <x:row r="758">
      <x:c r="A758" s="13" t="str">
        <x:v>NAAFTC-HS6-160412</x:v>
      </x:c>
      <x:c r="B758" s="13" t="str">
        <x:v>160412</x:v>
      </x:c>
      <x:c r="C758" s="13" t="str">
        <x:v>16</x:v>
      </x:c>
      <x:c r="D758" s="13" t="str">
        <x:v>TRILATERAL_SPLIT_MERGE</x:v>
      </x:c>
      <x:c r="E758" s="13" t="str">
        <x:v>Pending</x:v>
      </x:c>
      <x:c r="F758" s="13" t="n">
        <x:v>6</x:v>
      </x:c>
      <x:c r="G758" s="13" t="n">
        <x:v>1</x:v>
      </x:c>
      <x:c r="H758" s="13" t="n">
        <x:v>1</x:v>
      </x:c>
      <x:c r="I758" s="13" t="str">
        <x:v>1604122000; 1604124000; 1604126010; 1604126030; 1604126050; 1604126090</x:v>
      </x:c>
      <x:c r="J758" s="13" t="str">
        <x:v>1604120100</x:v>
      </x:c>
      <x:c r="K758" s="13" t="str">
        <x:v>1604121000</x:v>
      </x:c>
      <x:c r="L758" s="13" t="str">
        <x:v>UNRESOLVED</x:v>
      </x:c>
      <x:c r="M758" s="13" t="str"/>
      <x:c r="N758" s="13" t="str">
        <x:v>NO / DEFAULT</x:v>
      </x:c>
      <x:c r="O758" s="13" t="str"/>
      <x:c r="P758" s="13" t="str">
        <x:v>NO / DEFAULT</x:v>
      </x:c>
      <x:c r="Q758" s="13" t="str"/>
      <x:c r="R758" s="13" t="str">
        <x:v>INDEPENDENT / DEFAULT</x:v>
      </x:c>
      <x:c r="S758" s="13" t="str"/>
      <x:c r="T758" s="13" t="str">
        <x:v>UNRESOLVED</x:v>
      </x:c>
      <x:c r="U758" s="13" t="str"/>
      <x:c r="V758" s="13" t="str"/>
      <x:c r="W758" s="13" t="str"/>
      <x:c r="X758" s="13" t="str">
        <x:f>IF(L758&lt;&gt;"COVERED","HELD — COVERAGE",IF(N758="YES — SENSITIVE","C ACTIONABLE","CHAPTER 5 DEFAULT"))</x:f>
        <x:v>HELD — COVERAGE</x:v>
      </x:c>
      <x:c r="Y758" s="13" t="str">
        <x:f>IF(L758&lt;&gt;"COVERED","HELD — COVERAGE",IF(P758="YES — MANAGED ACCESS","D ACTIONABLE","NO D FIELD"))</x:f>
        <x:v>HELD — COVERAGE</x:v>
      </x:c>
      <x:c r="Z758" s="13" t="str">
        <x:f>IF(L758&lt;&gt;"COVERED","HELD — COVERAGE",IF(OR(R758="PAIRED SYNCHRONIZED",R758="TRILATERAL SYNCHRONIZED"),"E ACTIONABLE","INDEPENDENT"))</x:f>
        <x:v>HELD — COVERAGE</x:v>
      </x:c>
      <x:c r="AA758" s="13" t="str">
        <x:f>IF(L758&lt;&gt;"COVERED","HELD — COVERAGE","WAIT FOR UPSTREAM COMPLETION")</x:f>
        <x:v>HELD — COVERAGE</x:v>
      </x:c>
      <x:c r="AB758" s="13" t="str">
        <x:f>IF(L758&lt;&gt;"COVERED","HELD — COVERAGE",IF(T758="UNRESOLVED","G DECISION REQUIRED",IF(T758="NOT APPLICABLE","G N/A","G ACTIONABLE")))</x:f>
        <x:v>HELD — COVERAGE</x:v>
      </x:c>
      <x:c r="AC758" s="13" t="str">
        <x:f>IF(L758="UNRESOLVED","COVERAGE FIRST",IF(OR(L758="EXCLUDED",L758="OUT OF SCOPE"),"CLOSED BY COVERAGE",IF(AND(L758="COVERED",T758&lt;&gt;"UNRESOLVED"),"PARTIALLY ADOPTED","DECISIONS REMAIN")))</x:f>
        <x:v>COVERAGE FIRST</x:v>
      </x:c>
    </x:row>
    <x:row r="759">
      <x:c r="A759" s="13" t="str">
        <x:v>NAAFTC-HS6-160413</x:v>
      </x:c>
      <x:c r="B759" s="13" t="str">
        <x:v>160413</x:v>
      </x:c>
      <x:c r="C759" s="13" t="str">
        <x:v>16</x:v>
      </x:c>
      <x:c r="D759" s="13" t="str">
        <x:v>TRILATERAL_SPLIT_MERGE</x:v>
      </x:c>
      <x:c r="E759" s="13" t="str">
        <x:v>Pending</x:v>
      </x:c>
      <x:c r="F759" s="13" t="n">
        <x:v>5</x:v>
      </x:c>
      <x:c r="G759" s="13" t="n">
        <x:v>3</x:v>
      </x:c>
      <x:c r="H759" s="13" t="n">
        <x:v>2</x:v>
      </x:c>
      <x:c r="I759" s="13" t="str">
        <x:v>1604131000; 1604132000; 1604133000; 1604134000; 1604139000</x:v>
      </x:c>
      <x:c r="J759" s="13" t="str">
        <x:v>1604130201; 1604130202; 1604130299</x:v>
      </x:c>
      <x:c r="K759" s="13" t="str">
        <x:v>1604131000; 1604139000</x:v>
      </x:c>
      <x:c r="L759" s="13" t="str">
        <x:v>UNRESOLVED</x:v>
      </x:c>
      <x:c r="M759" s="13" t="str"/>
      <x:c r="N759" s="13" t="str">
        <x:v>NO / DEFAULT</x:v>
      </x:c>
      <x:c r="O759" s="13" t="str"/>
      <x:c r="P759" s="13" t="str">
        <x:v>NO / DEFAULT</x:v>
      </x:c>
      <x:c r="Q759" s="13" t="str"/>
      <x:c r="R759" s="13" t="str">
        <x:v>INDEPENDENT / DEFAULT</x:v>
      </x:c>
      <x:c r="S759" s="13" t="str"/>
      <x:c r="T759" s="13" t="str">
        <x:v>UNRESOLVED</x:v>
      </x:c>
      <x:c r="U759" s="13" t="str"/>
      <x:c r="V759" s="13" t="str"/>
      <x:c r="W759" s="13" t="str"/>
      <x:c r="X759" s="13" t="str">
        <x:f>IF(L759&lt;&gt;"COVERED","HELD — COVERAGE",IF(N759="YES — SENSITIVE","C ACTIONABLE","CHAPTER 5 DEFAULT"))</x:f>
        <x:v>HELD — COVERAGE</x:v>
      </x:c>
      <x:c r="Y759" s="13" t="str">
        <x:f>IF(L759&lt;&gt;"COVERED","HELD — COVERAGE",IF(P759="YES — MANAGED ACCESS","D ACTIONABLE","NO D FIELD"))</x:f>
        <x:v>HELD — COVERAGE</x:v>
      </x:c>
      <x:c r="Z759" s="13" t="str">
        <x:f>IF(L759&lt;&gt;"COVERED","HELD — COVERAGE",IF(OR(R759="PAIRED SYNCHRONIZED",R759="TRILATERAL SYNCHRONIZED"),"E ACTIONABLE","INDEPENDENT"))</x:f>
        <x:v>HELD — COVERAGE</x:v>
      </x:c>
      <x:c r="AA759" s="13" t="str">
        <x:f>IF(L759&lt;&gt;"COVERED","HELD — COVERAGE","WAIT FOR UPSTREAM COMPLETION")</x:f>
        <x:v>HELD — COVERAGE</x:v>
      </x:c>
      <x:c r="AB759" s="13" t="str">
        <x:f>IF(L759&lt;&gt;"COVERED","HELD — COVERAGE",IF(T759="UNRESOLVED","G DECISION REQUIRED",IF(T759="NOT APPLICABLE","G N/A","G ACTIONABLE")))</x:f>
        <x:v>HELD — COVERAGE</x:v>
      </x:c>
      <x:c r="AC759" s="13" t="str">
        <x:f>IF(L759="UNRESOLVED","COVERAGE FIRST",IF(OR(L759="EXCLUDED",L759="OUT OF SCOPE"),"CLOSED BY COVERAGE",IF(AND(L759="COVERED",T759&lt;&gt;"UNRESOLVED"),"PARTIALLY ADOPTED","DECISIONS REMAIN")))</x:f>
        <x:v>COVERAGE FIRST</x:v>
      </x:c>
    </x:row>
    <x:row r="760">
      <x:c r="A760" s="13" t="str">
        <x:v>NAAFTC-HS6-160414</x:v>
      </x:c>
      <x:c r="B760" s="13" t="str">
        <x:v>160414</x:v>
      </x:c>
      <x:c r="C760" s="13" t="str">
        <x:v>16</x:v>
      </x:c>
      <x:c r="D760" s="13" t="str">
        <x:v>TRILATERAL_SPLIT_MERGE</x:v>
      </x:c>
      <x:c r="E760" s="13" t="str">
        <x:v>Pending</x:v>
      </x:c>
      <x:c r="F760" s="13" t="n">
        <x:v>15</x:v>
      </x:c>
      <x:c r="G760" s="13" t="n">
        <x:v>4</x:v>
      </x:c>
      <x:c r="H760" s="13" t="n">
        <x:v>2</x:v>
      </x:c>
      <x:c r="I760" s="13" t="str">
        <x:v>1604141010; 1604141091; 1604141099; 1604142251; 1604142259; 1604142291; +9 more</x:v>
      </x:c>
      <x:c r="J760" s="13" t="str">
        <x:v>1604140400; 1604149901; 1604149902; 1604149999</x:v>
      </x:c>
      <x:c r="K760" s="13" t="str">
        <x:v>1604141000; 16041490</x:v>
      </x:c>
      <x:c r="L760" s="13" t="str">
        <x:v>UNRESOLVED</x:v>
      </x:c>
      <x:c r="M760" s="13" t="str"/>
      <x:c r="N760" s="13" t="str">
        <x:v>NO / DEFAULT</x:v>
      </x:c>
      <x:c r="O760" s="13" t="str"/>
      <x:c r="P760" s="13" t="str">
        <x:v>NO / DEFAULT</x:v>
      </x:c>
      <x:c r="Q760" s="13" t="str"/>
      <x:c r="R760" s="13" t="str">
        <x:v>INDEPENDENT / DEFAULT</x:v>
      </x:c>
      <x:c r="S760" s="13" t="str"/>
      <x:c r="T760" s="13" t="str">
        <x:v>UNRESOLVED</x:v>
      </x:c>
      <x:c r="U760" s="13" t="str"/>
      <x:c r="V760" s="13" t="str"/>
      <x:c r="W760" s="13" t="str"/>
      <x:c r="X760" s="13" t="str">
        <x:f>IF(L760&lt;&gt;"COVERED","HELD — COVERAGE",IF(N760="YES — SENSITIVE","C ACTIONABLE","CHAPTER 5 DEFAULT"))</x:f>
        <x:v>HELD — COVERAGE</x:v>
      </x:c>
      <x:c r="Y760" s="13" t="str">
        <x:f>IF(L760&lt;&gt;"COVERED","HELD — COVERAGE",IF(P760="YES — MANAGED ACCESS","D ACTIONABLE","NO D FIELD"))</x:f>
        <x:v>HELD — COVERAGE</x:v>
      </x:c>
      <x:c r="Z760" s="13" t="str">
        <x:f>IF(L760&lt;&gt;"COVERED","HELD — COVERAGE",IF(OR(R760="PAIRED SYNCHRONIZED",R760="TRILATERAL SYNCHRONIZED"),"E ACTIONABLE","INDEPENDENT"))</x:f>
        <x:v>HELD — COVERAGE</x:v>
      </x:c>
      <x:c r="AA760" s="13" t="str">
        <x:f>IF(L760&lt;&gt;"COVERED","HELD — COVERAGE","WAIT FOR UPSTREAM COMPLETION")</x:f>
        <x:v>HELD — COVERAGE</x:v>
      </x:c>
      <x:c r="AB760" s="13" t="str">
        <x:f>IF(L760&lt;&gt;"COVERED","HELD — COVERAGE",IF(T760="UNRESOLVED","G DECISION REQUIRED",IF(T760="NOT APPLICABLE","G N/A","G ACTIONABLE")))</x:f>
        <x:v>HELD — COVERAGE</x:v>
      </x:c>
      <x:c r="AC760" s="13" t="str">
        <x:f>IF(L760="UNRESOLVED","COVERAGE FIRST",IF(OR(L760="EXCLUDED",L760="OUT OF SCOPE"),"CLOSED BY COVERAGE",IF(AND(L760="COVERED",T760&lt;&gt;"UNRESOLVED"),"PARTIALLY ADOPTED","DECISIONS REMAIN")))</x:f>
        <x:v>COVERAGE FIRST</x:v>
      </x:c>
    </x:row>
    <x:row r="761">
      <x:c r="A761" s="13" t="str">
        <x:v>NAAFTC-HS6-160415</x:v>
      </x:c>
      <x:c r="B761" s="13" t="str">
        <x:v>160415</x:v>
      </x:c>
      <x:c r="C761" s="13" t="str">
        <x:v>16</x:v>
      </x:c>
      <x:c r="D761" s="13" t="str">
        <x:v>TRILATERAL_1_TO_1_TO_1</x:v>
      </x:c>
      <x:c r="E761" s="13" t="str">
        <x:v>Pending</x:v>
      </x:c>
      <x:c r="F761" s="13" t="n">
        <x:v>1</x:v>
      </x:c>
      <x:c r="G761" s="13" t="n">
        <x:v>1</x:v>
      </x:c>
      <x:c r="H761" s="13" t="n">
        <x:v>1</x:v>
      </x:c>
      <x:c r="I761" s="13" t="str">
        <x:v>1604150000</x:v>
      </x:c>
      <x:c r="J761" s="13" t="str">
        <x:v>1604150100</x:v>
      </x:c>
      <x:c r="K761" s="13" t="str">
        <x:v>1604150000</x:v>
      </x:c>
      <x:c r="L761" s="13" t="str">
        <x:v>UNRESOLVED</x:v>
      </x:c>
      <x:c r="M761" s="13" t="str"/>
      <x:c r="N761" s="13" t="str">
        <x:v>NO / DEFAULT</x:v>
      </x:c>
      <x:c r="O761" s="13" t="str"/>
      <x:c r="P761" s="13" t="str">
        <x:v>NO / DEFAULT</x:v>
      </x:c>
      <x:c r="Q761" s="13" t="str"/>
      <x:c r="R761" s="13" t="str">
        <x:v>INDEPENDENT / DEFAULT</x:v>
      </x:c>
      <x:c r="S761" s="13" t="str"/>
      <x:c r="T761" s="13" t="str">
        <x:v>UNRESOLVED</x:v>
      </x:c>
      <x:c r="U761" s="13" t="str"/>
      <x:c r="V761" s="13" t="str"/>
      <x:c r="W761" s="13" t="str"/>
      <x:c r="X761" s="13" t="str">
        <x:f>IF(L761&lt;&gt;"COVERED","HELD — COVERAGE",IF(N761="YES — SENSITIVE","C ACTIONABLE","CHAPTER 5 DEFAULT"))</x:f>
        <x:v>HELD — COVERAGE</x:v>
      </x:c>
      <x:c r="Y761" s="13" t="str">
        <x:f>IF(L761&lt;&gt;"COVERED","HELD — COVERAGE",IF(P761="YES — MANAGED ACCESS","D ACTIONABLE","NO D FIELD"))</x:f>
        <x:v>HELD — COVERAGE</x:v>
      </x:c>
      <x:c r="Z761" s="13" t="str">
        <x:f>IF(L761&lt;&gt;"COVERED","HELD — COVERAGE",IF(OR(R761="PAIRED SYNCHRONIZED",R761="TRILATERAL SYNCHRONIZED"),"E ACTIONABLE","INDEPENDENT"))</x:f>
        <x:v>HELD — COVERAGE</x:v>
      </x:c>
      <x:c r="AA761" s="13" t="str">
        <x:f>IF(L761&lt;&gt;"COVERED","HELD — COVERAGE","WAIT FOR UPSTREAM COMPLETION")</x:f>
        <x:v>HELD — COVERAGE</x:v>
      </x:c>
      <x:c r="AB761" s="13" t="str">
        <x:f>IF(L761&lt;&gt;"COVERED","HELD — COVERAGE",IF(T761="UNRESOLVED","G DECISION REQUIRED",IF(T761="NOT APPLICABLE","G N/A","G ACTIONABLE")))</x:f>
        <x:v>HELD — COVERAGE</x:v>
      </x:c>
      <x:c r="AC761" s="13" t="str">
        <x:f>IF(L761="UNRESOLVED","COVERAGE FIRST",IF(OR(L761="EXCLUDED",L761="OUT OF SCOPE"),"CLOSED BY COVERAGE",IF(AND(L761="COVERED",T761&lt;&gt;"UNRESOLVED"),"PARTIALLY ADOPTED","DECISIONS REMAIN")))</x:f>
        <x:v>COVERAGE FIRST</x:v>
      </x:c>
    </x:row>
    <x:row r="762">
      <x:c r="A762" s="13" t="str">
        <x:v>NAAFTC-HS6-160416</x:v>
      </x:c>
      <x:c r="B762" s="13" t="str">
        <x:v>160416</x:v>
      </x:c>
      <x:c r="C762" s="13" t="str">
        <x:v>16</x:v>
      </x:c>
      <x:c r="D762" s="13" t="str">
        <x:v>TRILATERAL_SPLIT_MERGE</x:v>
      </x:c>
      <x:c r="E762" s="13" t="str">
        <x:v>Pending</x:v>
      </x:c>
      <x:c r="F762" s="13" t="n">
        <x:v>3</x:v>
      </x:c>
      <x:c r="G762" s="13" t="n">
        <x:v>3</x:v>
      </x:c>
      <x:c r="H762" s="13" t="n">
        <x:v>2</x:v>
      </x:c>
      <x:c r="I762" s="13" t="str">
        <x:v>1604162000; 1604164000; 1604166000</x:v>
      </x:c>
      <x:c r="J762" s="13" t="str">
        <x:v>1604160201; 1604160202; 1604160299</x:v>
      </x:c>
      <x:c r="K762" s="13" t="str">
        <x:v>1604161000; 1604169000</x:v>
      </x:c>
      <x:c r="L762" s="13" t="str">
        <x:v>UNRESOLVED</x:v>
      </x:c>
      <x:c r="M762" s="13" t="str"/>
      <x:c r="N762" s="13" t="str">
        <x:v>NO / DEFAULT</x:v>
      </x:c>
      <x:c r="O762" s="13" t="str"/>
      <x:c r="P762" s="13" t="str">
        <x:v>NO / DEFAULT</x:v>
      </x:c>
      <x:c r="Q762" s="13" t="str"/>
      <x:c r="R762" s="13" t="str">
        <x:v>INDEPENDENT / DEFAULT</x:v>
      </x:c>
      <x:c r="S762" s="13" t="str"/>
      <x:c r="T762" s="13" t="str">
        <x:v>UNRESOLVED</x:v>
      </x:c>
      <x:c r="U762" s="13" t="str"/>
      <x:c r="V762" s="13" t="str"/>
      <x:c r="W762" s="13" t="str"/>
      <x:c r="X762" s="13" t="str">
        <x:f>IF(L762&lt;&gt;"COVERED","HELD — COVERAGE",IF(N762="YES — SENSITIVE","C ACTIONABLE","CHAPTER 5 DEFAULT"))</x:f>
        <x:v>HELD — COVERAGE</x:v>
      </x:c>
      <x:c r="Y762" s="13" t="str">
        <x:f>IF(L762&lt;&gt;"COVERED","HELD — COVERAGE",IF(P762="YES — MANAGED ACCESS","D ACTIONABLE","NO D FIELD"))</x:f>
        <x:v>HELD — COVERAGE</x:v>
      </x:c>
      <x:c r="Z762" s="13" t="str">
        <x:f>IF(L762&lt;&gt;"COVERED","HELD — COVERAGE",IF(OR(R762="PAIRED SYNCHRONIZED",R762="TRILATERAL SYNCHRONIZED"),"E ACTIONABLE","INDEPENDENT"))</x:f>
        <x:v>HELD — COVERAGE</x:v>
      </x:c>
      <x:c r="AA762" s="13" t="str">
        <x:f>IF(L762&lt;&gt;"COVERED","HELD — COVERAGE","WAIT FOR UPSTREAM COMPLETION")</x:f>
        <x:v>HELD — COVERAGE</x:v>
      </x:c>
      <x:c r="AB762" s="13" t="str">
        <x:f>IF(L762&lt;&gt;"COVERED","HELD — COVERAGE",IF(T762="UNRESOLVED","G DECISION REQUIRED",IF(T762="NOT APPLICABLE","G N/A","G ACTIONABLE")))</x:f>
        <x:v>HELD — COVERAGE</x:v>
      </x:c>
      <x:c r="AC762" s="13" t="str">
        <x:f>IF(L762="UNRESOLVED","COVERAGE FIRST",IF(OR(L762="EXCLUDED",L762="OUT OF SCOPE"),"CLOSED BY COVERAGE",IF(AND(L762="COVERED",T762&lt;&gt;"UNRESOLVED"),"PARTIALLY ADOPTED","DECISIONS REMAIN")))</x:f>
        <x:v>COVERAGE FIRST</x:v>
      </x:c>
    </x:row>
    <x:row r="763">
      <x:c r="A763" s="13" t="str">
        <x:v>NAAFTC-HS6-160417</x:v>
      </x:c>
      <x:c r="B763" s="13" t="str">
        <x:v>160417</x:v>
      </x:c>
      <x:c r="C763" s="13" t="str">
        <x:v>16</x:v>
      </x:c>
      <x:c r="D763" s="13" t="str">
        <x:v>TRILATERAL_SPLIT_MERGE</x:v>
      </x:c>
      <x:c r="E763" s="13" t="str">
        <x:v>Pending</x:v>
      </x:c>
      <x:c r="F763" s="13" t="n">
        <x:v>5</x:v>
      </x:c>
      <x:c r="G763" s="13" t="n">
        <x:v>1</x:v>
      </x:c>
      <x:c r="H763" s="13" t="n">
        <x:v>1</x:v>
      </x:c>
      <x:c r="I763" s="13" t="str">
        <x:v>1604171000; 1604174000; 1604175000; 1604176000; 1604178000</x:v>
      </x:c>
      <x:c r="J763" s="13" t="str">
        <x:v>1604170100</x:v>
      </x:c>
      <x:c r="K763" s="13" t="str">
        <x:v>1604170000</x:v>
      </x:c>
      <x:c r="L763" s="13" t="str">
        <x:v>UNRESOLVED</x:v>
      </x:c>
      <x:c r="M763" s="13" t="str"/>
      <x:c r="N763" s="13" t="str">
        <x:v>NO / DEFAULT</x:v>
      </x:c>
      <x:c r="O763" s="13" t="str"/>
      <x:c r="P763" s="13" t="str">
        <x:v>NO / DEFAULT</x:v>
      </x:c>
      <x:c r="Q763" s="13" t="str"/>
      <x:c r="R763" s="13" t="str">
        <x:v>INDEPENDENT / DEFAULT</x:v>
      </x:c>
      <x:c r="S763" s="13" t="str"/>
      <x:c r="T763" s="13" t="str">
        <x:v>UNRESOLVED</x:v>
      </x:c>
      <x:c r="U763" s="13" t="str"/>
      <x:c r="V763" s="13" t="str"/>
      <x:c r="W763" s="13" t="str"/>
      <x:c r="X763" s="13" t="str">
        <x:f>IF(L763&lt;&gt;"COVERED","HELD — COVERAGE",IF(N763="YES — SENSITIVE","C ACTIONABLE","CHAPTER 5 DEFAULT"))</x:f>
        <x:v>HELD — COVERAGE</x:v>
      </x:c>
      <x:c r="Y763" s="13" t="str">
        <x:f>IF(L763&lt;&gt;"COVERED","HELD — COVERAGE",IF(P763="YES — MANAGED ACCESS","D ACTIONABLE","NO D FIELD"))</x:f>
        <x:v>HELD — COVERAGE</x:v>
      </x:c>
      <x:c r="Z763" s="13" t="str">
        <x:f>IF(L763&lt;&gt;"COVERED","HELD — COVERAGE",IF(OR(R763="PAIRED SYNCHRONIZED",R763="TRILATERAL SYNCHRONIZED"),"E ACTIONABLE","INDEPENDENT"))</x:f>
        <x:v>HELD — COVERAGE</x:v>
      </x:c>
      <x:c r="AA763" s="13" t="str">
        <x:f>IF(L763&lt;&gt;"COVERED","HELD — COVERAGE","WAIT FOR UPSTREAM COMPLETION")</x:f>
        <x:v>HELD — COVERAGE</x:v>
      </x:c>
      <x:c r="AB763" s="13" t="str">
        <x:f>IF(L763&lt;&gt;"COVERED","HELD — COVERAGE",IF(T763="UNRESOLVED","G DECISION REQUIRED",IF(T763="NOT APPLICABLE","G N/A","G ACTIONABLE")))</x:f>
        <x:v>HELD — COVERAGE</x:v>
      </x:c>
      <x:c r="AC763" s="13" t="str">
        <x:f>IF(L763="UNRESOLVED","COVERAGE FIRST",IF(OR(L763="EXCLUDED",L763="OUT OF SCOPE"),"CLOSED BY COVERAGE",IF(AND(L763="COVERED",T763&lt;&gt;"UNRESOLVED"),"PARTIALLY ADOPTED","DECISIONS REMAIN")))</x:f>
        <x:v>COVERAGE FIRST</x:v>
      </x:c>
    </x:row>
    <x:row r="764">
      <x:c r="A764" s="13" t="str">
        <x:v>NAAFTC-HS6-160418</x:v>
      </x:c>
      <x:c r="B764" s="13" t="str">
        <x:v>160418</x:v>
      </x:c>
      <x:c r="C764" s="13" t="str">
        <x:v>16</x:v>
      </x:c>
      <x:c r="D764" s="13" t="str">
        <x:v>TRILATERAL_SPLIT_MERGE</x:v>
      </x:c>
      <x:c r="E764" s="13" t="str">
        <x:v>Pending</x:v>
      </x:c>
      <x:c r="F764" s="13" t="n">
        <x:v>2</x:v>
      </x:c>
      <x:c r="G764" s="13" t="n">
        <x:v>1</x:v>
      </x:c>
      <x:c r="H764" s="13" t="n">
        <x:v>1</x:v>
      </x:c>
      <x:c r="I764" s="13" t="str">
        <x:v>1604181000; 1604189000</x:v>
      </x:c>
      <x:c r="J764" s="13" t="str">
        <x:v>1604180100</x:v>
      </x:c>
      <x:c r="K764" s="13" t="str">
        <x:v>1604180000</x:v>
      </x:c>
      <x:c r="L764" s="13" t="str">
        <x:v>UNRESOLVED</x:v>
      </x:c>
      <x:c r="M764" s="13" t="str"/>
      <x:c r="N764" s="13" t="str">
        <x:v>NO / DEFAULT</x:v>
      </x:c>
      <x:c r="O764" s="13" t="str"/>
      <x:c r="P764" s="13" t="str">
        <x:v>NO / DEFAULT</x:v>
      </x:c>
      <x:c r="Q764" s="13" t="str"/>
      <x:c r="R764" s="13" t="str">
        <x:v>INDEPENDENT / DEFAULT</x:v>
      </x:c>
      <x:c r="S764" s="13" t="str"/>
      <x:c r="T764" s="13" t="str">
        <x:v>UNRESOLVED</x:v>
      </x:c>
      <x:c r="U764" s="13" t="str"/>
      <x:c r="V764" s="13" t="str"/>
      <x:c r="W764" s="13" t="str"/>
      <x:c r="X764" s="13" t="str">
        <x:f>IF(L764&lt;&gt;"COVERED","HELD — COVERAGE",IF(N764="YES — SENSITIVE","C ACTIONABLE","CHAPTER 5 DEFAULT"))</x:f>
        <x:v>HELD — COVERAGE</x:v>
      </x:c>
      <x:c r="Y764" s="13" t="str">
        <x:f>IF(L764&lt;&gt;"COVERED","HELD — COVERAGE",IF(P764="YES — MANAGED ACCESS","D ACTIONABLE","NO D FIELD"))</x:f>
        <x:v>HELD — COVERAGE</x:v>
      </x:c>
      <x:c r="Z764" s="13" t="str">
        <x:f>IF(L764&lt;&gt;"COVERED","HELD — COVERAGE",IF(OR(R764="PAIRED SYNCHRONIZED",R764="TRILATERAL SYNCHRONIZED"),"E ACTIONABLE","INDEPENDENT"))</x:f>
        <x:v>HELD — COVERAGE</x:v>
      </x:c>
      <x:c r="AA764" s="13" t="str">
        <x:f>IF(L764&lt;&gt;"COVERED","HELD — COVERAGE","WAIT FOR UPSTREAM COMPLETION")</x:f>
        <x:v>HELD — COVERAGE</x:v>
      </x:c>
      <x:c r="AB764" s="13" t="str">
        <x:f>IF(L764&lt;&gt;"COVERED","HELD — COVERAGE",IF(T764="UNRESOLVED","G DECISION REQUIRED",IF(T764="NOT APPLICABLE","G N/A","G ACTIONABLE")))</x:f>
        <x:v>HELD — COVERAGE</x:v>
      </x:c>
      <x:c r="AC764" s="13" t="str">
        <x:f>IF(L764="UNRESOLVED","COVERAGE FIRST",IF(OR(L764="EXCLUDED",L764="OUT OF SCOPE"),"CLOSED BY COVERAGE",IF(AND(L764="COVERED",T764&lt;&gt;"UNRESOLVED"),"PARTIALLY ADOPTED","DECISIONS REMAIN")))</x:f>
        <x:v>COVERAGE FIRST</x:v>
      </x:c>
    </x:row>
    <x:row r="765">
      <x:c r="A765" s="13" t="str">
        <x:v>NAAFTC-HS6-160419</x:v>
      </x:c>
      <x:c r="B765" s="13" t="str">
        <x:v>160419</x:v>
      </x:c>
      <x:c r="C765" s="13" t="str">
        <x:v>16</x:v>
      </x:c>
      <x:c r="D765" s="13" t="str">
        <x:v>TRILATERAL_SPLIT_MERGE</x:v>
      </x:c>
      <x:c r="E765" s="13" t="str">
        <x:v>Pending</x:v>
      </x:c>
      <x:c r="F765" s="13" t="n">
        <x:v>8</x:v>
      </x:c>
      <x:c r="G765" s="13" t="n">
        <x:v>4</x:v>
      </x:c>
      <x:c r="H765" s="13" t="n">
        <x:v>2</x:v>
      </x:c>
      <x:c r="I765" s="13" t="str">
        <x:v>1604191000; 1604192200; 1604192500; 1604193200; 1604194100; 1604195100; +2 more</x:v>
      </x:c>
      <x:c r="J765" s="13" t="str">
        <x:v>1604199901; 1604199902; 1604199903; 1604199999</x:v>
      </x:c>
      <x:c r="K765" s="13" t="str">
        <x:v>1604191000; 16041990</x:v>
      </x:c>
      <x:c r="L765" s="13" t="str">
        <x:v>UNRESOLVED</x:v>
      </x:c>
      <x:c r="M765" s="13" t="str"/>
      <x:c r="N765" s="13" t="str">
        <x:v>NO / DEFAULT</x:v>
      </x:c>
      <x:c r="O765" s="13" t="str"/>
      <x:c r="P765" s="13" t="str">
        <x:v>NO / DEFAULT</x:v>
      </x:c>
      <x:c r="Q765" s="13" t="str"/>
      <x:c r="R765" s="13" t="str">
        <x:v>INDEPENDENT / DEFAULT</x:v>
      </x:c>
      <x:c r="S765" s="13" t="str"/>
      <x:c r="T765" s="13" t="str">
        <x:v>UNRESOLVED</x:v>
      </x:c>
      <x:c r="U765" s="13" t="str"/>
      <x:c r="V765" s="13" t="str"/>
      <x:c r="W765" s="13" t="str"/>
      <x:c r="X765" s="13" t="str">
        <x:f>IF(L765&lt;&gt;"COVERED","HELD — COVERAGE",IF(N765="YES — SENSITIVE","C ACTIONABLE","CHAPTER 5 DEFAULT"))</x:f>
        <x:v>HELD — COVERAGE</x:v>
      </x:c>
      <x:c r="Y765" s="13" t="str">
        <x:f>IF(L765&lt;&gt;"COVERED","HELD — COVERAGE",IF(P765="YES — MANAGED ACCESS","D ACTIONABLE","NO D FIELD"))</x:f>
        <x:v>HELD — COVERAGE</x:v>
      </x:c>
      <x:c r="Z765" s="13" t="str">
        <x:f>IF(L765&lt;&gt;"COVERED","HELD — COVERAGE",IF(OR(R765="PAIRED SYNCHRONIZED",R765="TRILATERAL SYNCHRONIZED"),"E ACTIONABLE","INDEPENDENT"))</x:f>
        <x:v>HELD — COVERAGE</x:v>
      </x:c>
      <x:c r="AA765" s="13" t="str">
        <x:f>IF(L765&lt;&gt;"COVERED","HELD — COVERAGE","WAIT FOR UPSTREAM COMPLETION")</x:f>
        <x:v>HELD — COVERAGE</x:v>
      </x:c>
      <x:c r="AB765" s="13" t="str">
        <x:f>IF(L765&lt;&gt;"COVERED","HELD — COVERAGE",IF(T765="UNRESOLVED","G DECISION REQUIRED",IF(T765="NOT APPLICABLE","G N/A","G ACTIONABLE")))</x:f>
        <x:v>HELD — COVERAGE</x:v>
      </x:c>
      <x:c r="AC765" s="13" t="str">
        <x:f>IF(L765="UNRESOLVED","COVERAGE FIRST",IF(OR(L765="EXCLUDED",L765="OUT OF SCOPE"),"CLOSED BY COVERAGE",IF(AND(L765="COVERED",T765&lt;&gt;"UNRESOLVED"),"PARTIALLY ADOPTED","DECISIONS REMAIN")))</x:f>
        <x:v>COVERAGE FIRST</x:v>
      </x:c>
    </x:row>
    <x:row r="766">
      <x:c r="A766" s="13" t="str">
        <x:v>NAAFTC-HS6-160420</x:v>
      </x:c>
      <x:c r="B766" s="13" t="str">
        <x:v>160420</x:v>
      </x:c>
      <x:c r="C766" s="13" t="str">
        <x:v>16</x:v>
      </x:c>
      <x:c r="D766" s="13" t="str">
        <x:v>TRILATERAL_SPLIT_MERGE</x:v>
      </x:c>
      <x:c r="E766" s="13" t="str">
        <x:v>Pending</x:v>
      </x:c>
      <x:c r="F766" s="13" t="n">
        <x:v>12</x:v>
      </x:c>
      <x:c r="G766" s="13" t="n">
        <x:v>9</x:v>
      </x:c>
      <x:c r="H766" s="13" t="n">
        <x:v>3</x:v>
      </x:c>
      <x:c r="I766" s="13" t="str">
        <x:v>1604200510; 1604200590; 1604201000; 1604201500; 1604202000; 1604202500; +6 more</x:v>
      </x:c>
      <x:c r="J766" s="13" t="str">
        <x:v>1604209101; 1604209102; 1604209103; 1604209104; 1604209105; 1604209106; +3 more</x:v>
      </x:c>
      <x:c r="K766" s="13" t="str">
        <x:v>1604201000; 1604202000; 16042090</x:v>
      </x:c>
      <x:c r="L766" s="13" t="str">
        <x:v>UNRESOLVED</x:v>
      </x:c>
      <x:c r="M766" s="13" t="str"/>
      <x:c r="N766" s="13" t="str">
        <x:v>NO / DEFAULT</x:v>
      </x:c>
      <x:c r="O766" s="13" t="str"/>
      <x:c r="P766" s="13" t="str">
        <x:v>NO / DEFAULT</x:v>
      </x:c>
      <x:c r="Q766" s="13" t="str"/>
      <x:c r="R766" s="13" t="str">
        <x:v>INDEPENDENT / DEFAULT</x:v>
      </x:c>
      <x:c r="S766" s="13" t="str"/>
      <x:c r="T766" s="13" t="str">
        <x:v>UNRESOLVED</x:v>
      </x:c>
      <x:c r="U766" s="13" t="str"/>
      <x:c r="V766" s="13" t="str"/>
      <x:c r="W766" s="13" t="str"/>
      <x:c r="X766" s="13" t="str">
        <x:f>IF(L766&lt;&gt;"COVERED","HELD — COVERAGE",IF(N766="YES — SENSITIVE","C ACTIONABLE","CHAPTER 5 DEFAULT"))</x:f>
        <x:v>HELD — COVERAGE</x:v>
      </x:c>
      <x:c r="Y766" s="13" t="str">
        <x:f>IF(L766&lt;&gt;"COVERED","HELD — COVERAGE",IF(P766="YES — MANAGED ACCESS","D ACTIONABLE","NO D FIELD"))</x:f>
        <x:v>HELD — COVERAGE</x:v>
      </x:c>
      <x:c r="Z766" s="13" t="str">
        <x:f>IF(L766&lt;&gt;"COVERED","HELD — COVERAGE",IF(OR(R766="PAIRED SYNCHRONIZED",R766="TRILATERAL SYNCHRONIZED"),"E ACTIONABLE","INDEPENDENT"))</x:f>
        <x:v>HELD — COVERAGE</x:v>
      </x:c>
      <x:c r="AA766" s="13" t="str">
        <x:f>IF(L766&lt;&gt;"COVERED","HELD — COVERAGE","WAIT FOR UPSTREAM COMPLETION")</x:f>
        <x:v>HELD — COVERAGE</x:v>
      </x:c>
      <x:c r="AB766" s="13" t="str">
        <x:f>IF(L766&lt;&gt;"COVERED","HELD — COVERAGE",IF(T766="UNRESOLVED","G DECISION REQUIRED",IF(T766="NOT APPLICABLE","G N/A","G ACTIONABLE")))</x:f>
        <x:v>HELD — COVERAGE</x:v>
      </x:c>
      <x:c r="AC766" s="13" t="str">
        <x:f>IF(L766="UNRESOLVED","COVERAGE FIRST",IF(OR(L766="EXCLUDED",L766="OUT OF SCOPE"),"CLOSED BY COVERAGE",IF(AND(L766="COVERED",T766&lt;&gt;"UNRESOLVED"),"PARTIALLY ADOPTED","DECISIONS REMAIN")))</x:f>
        <x:v>COVERAGE FIRST</x:v>
      </x:c>
    </x:row>
    <x:row r="767">
      <x:c r="A767" s="13" t="str">
        <x:v>NAAFTC-HS6-160431</x:v>
      </x:c>
      <x:c r="B767" s="13" t="str">
        <x:v>160431</x:v>
      </x:c>
      <x:c r="C767" s="13" t="str">
        <x:v>16</x:v>
      </x:c>
      <x:c r="D767" s="13" t="str">
        <x:v>TRILATERAL_1_TO_1_TO_1</x:v>
      </x:c>
      <x:c r="E767" s="13" t="str">
        <x:v>Pending</x:v>
      </x:c>
      <x:c r="F767" s="13" t="n">
        <x:v>1</x:v>
      </x:c>
      <x:c r="G767" s="13" t="n">
        <x:v>1</x:v>
      </x:c>
      <x:c r="H767" s="13" t="n">
        <x:v>1</x:v>
      </x:c>
      <x:c r="I767" s="13" t="str">
        <x:v>1604310000</x:v>
      </x:c>
      <x:c r="J767" s="13" t="str">
        <x:v>1604310100</x:v>
      </x:c>
      <x:c r="K767" s="13" t="str">
        <x:v>1604310000</x:v>
      </x:c>
      <x:c r="L767" s="13" t="str">
        <x:v>UNRESOLVED</x:v>
      </x:c>
      <x:c r="M767" s="13" t="str"/>
      <x:c r="N767" s="13" t="str">
        <x:v>NO / DEFAULT</x:v>
      </x:c>
      <x:c r="O767" s="13" t="str"/>
      <x:c r="P767" s="13" t="str">
        <x:v>NO / DEFAULT</x:v>
      </x:c>
      <x:c r="Q767" s="13" t="str"/>
      <x:c r="R767" s="13" t="str">
        <x:v>INDEPENDENT / DEFAULT</x:v>
      </x:c>
      <x:c r="S767" s="13" t="str"/>
      <x:c r="T767" s="13" t="str">
        <x:v>UNRESOLVED</x:v>
      </x:c>
      <x:c r="U767" s="13" t="str"/>
      <x:c r="V767" s="13" t="str"/>
      <x:c r="W767" s="13" t="str"/>
      <x:c r="X767" s="13" t="str">
        <x:f>IF(L767&lt;&gt;"COVERED","HELD — COVERAGE",IF(N767="YES — SENSITIVE","C ACTIONABLE","CHAPTER 5 DEFAULT"))</x:f>
        <x:v>HELD — COVERAGE</x:v>
      </x:c>
      <x:c r="Y767" s="13" t="str">
        <x:f>IF(L767&lt;&gt;"COVERED","HELD — COVERAGE",IF(P767="YES — MANAGED ACCESS","D ACTIONABLE","NO D FIELD"))</x:f>
        <x:v>HELD — COVERAGE</x:v>
      </x:c>
      <x:c r="Z767" s="13" t="str">
        <x:f>IF(L767&lt;&gt;"COVERED","HELD — COVERAGE",IF(OR(R767="PAIRED SYNCHRONIZED",R767="TRILATERAL SYNCHRONIZED"),"E ACTIONABLE","INDEPENDENT"))</x:f>
        <x:v>HELD — COVERAGE</x:v>
      </x:c>
      <x:c r="AA767" s="13" t="str">
        <x:f>IF(L767&lt;&gt;"COVERED","HELD — COVERAGE","WAIT FOR UPSTREAM COMPLETION")</x:f>
        <x:v>HELD — COVERAGE</x:v>
      </x:c>
      <x:c r="AB767" s="13" t="str">
        <x:f>IF(L767&lt;&gt;"COVERED","HELD — COVERAGE",IF(T767="UNRESOLVED","G DECISION REQUIRED",IF(T767="NOT APPLICABLE","G N/A","G ACTIONABLE")))</x:f>
        <x:v>HELD — COVERAGE</x:v>
      </x:c>
      <x:c r="AC767" s="13" t="str">
        <x:f>IF(L767="UNRESOLVED","COVERAGE FIRST",IF(OR(L767="EXCLUDED",L767="OUT OF SCOPE"),"CLOSED BY COVERAGE",IF(AND(L767="COVERED",T767&lt;&gt;"UNRESOLVED"),"PARTIALLY ADOPTED","DECISIONS REMAIN")))</x:f>
        <x:v>COVERAGE FIRST</x:v>
      </x:c>
    </x:row>
    <x:row r="768">
      <x:c r="A768" s="13" t="str">
        <x:v>NAAFTC-HS6-160432</x:v>
      </x:c>
      <x:c r="B768" s="13" t="str">
        <x:v>160432</x:v>
      </x:c>
      <x:c r="C768" s="13" t="str">
        <x:v>16</x:v>
      </x:c>
      <x:c r="D768" s="13" t="str">
        <x:v>TRILATERAL_SPLIT_MERGE</x:v>
      </x:c>
      <x:c r="E768" s="13" t="str">
        <x:v>Pending</x:v>
      </x:c>
      <x:c r="F768" s="13" t="n">
        <x:v>2</x:v>
      </x:c>
      <x:c r="G768" s="13" t="n">
        <x:v>1</x:v>
      </x:c>
      <x:c r="H768" s="13" t="n">
        <x:v>1</x:v>
      </x:c>
      <x:c r="I768" s="13" t="str">
        <x:v>1604323000; 1604324000</x:v>
      </x:c>
      <x:c r="J768" s="13" t="str">
        <x:v>1604320100</x:v>
      </x:c>
      <x:c r="K768" s="13" t="str">
        <x:v>1604320000</x:v>
      </x:c>
      <x:c r="L768" s="13" t="str">
        <x:v>UNRESOLVED</x:v>
      </x:c>
      <x:c r="M768" s="13" t="str"/>
      <x:c r="N768" s="13" t="str">
        <x:v>NO / DEFAULT</x:v>
      </x:c>
      <x:c r="O768" s="13" t="str"/>
      <x:c r="P768" s="13" t="str">
        <x:v>NO / DEFAULT</x:v>
      </x:c>
      <x:c r="Q768" s="13" t="str"/>
      <x:c r="R768" s="13" t="str">
        <x:v>INDEPENDENT / DEFAULT</x:v>
      </x:c>
      <x:c r="S768" s="13" t="str"/>
      <x:c r="T768" s="13" t="str">
        <x:v>UNRESOLVED</x:v>
      </x:c>
      <x:c r="U768" s="13" t="str"/>
      <x:c r="V768" s="13" t="str"/>
      <x:c r="W768" s="13" t="str"/>
      <x:c r="X768" s="13" t="str">
        <x:f>IF(L768&lt;&gt;"COVERED","HELD — COVERAGE",IF(N768="YES — SENSITIVE","C ACTIONABLE","CHAPTER 5 DEFAULT"))</x:f>
        <x:v>HELD — COVERAGE</x:v>
      </x:c>
      <x:c r="Y768" s="13" t="str">
        <x:f>IF(L768&lt;&gt;"COVERED","HELD — COVERAGE",IF(P768="YES — MANAGED ACCESS","D ACTIONABLE","NO D FIELD"))</x:f>
        <x:v>HELD — COVERAGE</x:v>
      </x:c>
      <x:c r="Z768" s="13" t="str">
        <x:f>IF(L768&lt;&gt;"COVERED","HELD — COVERAGE",IF(OR(R768="PAIRED SYNCHRONIZED",R768="TRILATERAL SYNCHRONIZED"),"E ACTIONABLE","INDEPENDENT"))</x:f>
        <x:v>HELD — COVERAGE</x:v>
      </x:c>
      <x:c r="AA768" s="13" t="str">
        <x:f>IF(L768&lt;&gt;"COVERED","HELD — COVERAGE","WAIT FOR UPSTREAM COMPLETION")</x:f>
        <x:v>HELD — COVERAGE</x:v>
      </x:c>
      <x:c r="AB768" s="13" t="str">
        <x:f>IF(L768&lt;&gt;"COVERED","HELD — COVERAGE",IF(T768="UNRESOLVED","G DECISION REQUIRED",IF(T768="NOT APPLICABLE","G N/A","G ACTIONABLE")))</x:f>
        <x:v>HELD — COVERAGE</x:v>
      </x:c>
      <x:c r="AC768" s="13" t="str">
        <x:f>IF(L768="UNRESOLVED","COVERAGE FIRST",IF(OR(L768="EXCLUDED",L768="OUT OF SCOPE"),"CLOSED BY COVERAGE",IF(AND(L768="COVERED",T768&lt;&gt;"UNRESOLVED"),"PARTIALLY ADOPTED","DECISIONS REMAIN")))</x:f>
        <x:v>COVERAGE FIRST</x:v>
      </x:c>
    </x:row>
    <x:row r="769">
      <x:c r="A769" s="13" t="str">
        <x:v>NAAFTC-HS6-160510</x:v>
      </x:c>
      <x:c r="B769" s="13" t="str">
        <x:v>160510</x:v>
      </x:c>
      <x:c r="C769" s="13" t="str">
        <x:v>16</x:v>
      </x:c>
      <x:c r="D769" s="13" t="str">
        <x:v>TRILATERAL_SPLIT_MERGE</x:v>
      </x:c>
      <x:c r="E769" s="13" t="str">
        <x:v>Pending</x:v>
      </x:c>
      <x:c r="F769" s="13" t="n">
        <x:v>19</x:v>
      </x:c>
      <x:c r="G769" s="13" t="n">
        <x:v>2</x:v>
      </x:c>
      <x:c r="H769" s="13" t="n">
        <x:v>1</x:v>
      </x:c>
      <x:c r="I769" s="13" t="str">
        <x:v>1605100510; 1605100590; 1605102010; 1605102022; 1605102025; 1605102030; +13 more</x:v>
      </x:c>
      <x:c r="J769" s="13" t="str">
        <x:v>1605100201; 1605100299</x:v>
      </x:c>
      <x:c r="K769" s="13" t="str">
        <x:v>16051000</x:v>
      </x:c>
      <x:c r="L769" s="13" t="str">
        <x:v>UNRESOLVED</x:v>
      </x:c>
      <x:c r="M769" s="13" t="str"/>
      <x:c r="N769" s="13" t="str">
        <x:v>NO / DEFAULT</x:v>
      </x:c>
      <x:c r="O769" s="13" t="str"/>
      <x:c r="P769" s="13" t="str">
        <x:v>NO / DEFAULT</x:v>
      </x:c>
      <x:c r="Q769" s="13" t="str"/>
      <x:c r="R769" s="13" t="str">
        <x:v>INDEPENDENT / DEFAULT</x:v>
      </x:c>
      <x:c r="S769" s="13" t="str"/>
      <x:c r="T769" s="13" t="str">
        <x:v>UNRESOLVED</x:v>
      </x:c>
      <x:c r="U769" s="13" t="str"/>
      <x:c r="V769" s="13" t="str"/>
      <x:c r="W769" s="13" t="str"/>
      <x:c r="X769" s="13" t="str">
        <x:f>IF(L769&lt;&gt;"COVERED","HELD — COVERAGE",IF(N769="YES — SENSITIVE","C ACTIONABLE","CHAPTER 5 DEFAULT"))</x:f>
        <x:v>HELD — COVERAGE</x:v>
      </x:c>
      <x:c r="Y769" s="13" t="str">
        <x:f>IF(L769&lt;&gt;"COVERED","HELD — COVERAGE",IF(P769="YES — MANAGED ACCESS","D ACTIONABLE","NO D FIELD"))</x:f>
        <x:v>HELD — COVERAGE</x:v>
      </x:c>
      <x:c r="Z769" s="13" t="str">
        <x:f>IF(L769&lt;&gt;"COVERED","HELD — COVERAGE",IF(OR(R769="PAIRED SYNCHRONIZED",R769="TRILATERAL SYNCHRONIZED"),"E ACTIONABLE","INDEPENDENT"))</x:f>
        <x:v>HELD — COVERAGE</x:v>
      </x:c>
      <x:c r="AA769" s="13" t="str">
        <x:f>IF(L769&lt;&gt;"COVERED","HELD — COVERAGE","WAIT FOR UPSTREAM COMPLETION")</x:f>
        <x:v>HELD — COVERAGE</x:v>
      </x:c>
      <x:c r="AB769" s="13" t="str">
        <x:f>IF(L769&lt;&gt;"COVERED","HELD — COVERAGE",IF(T769="UNRESOLVED","G DECISION REQUIRED",IF(T769="NOT APPLICABLE","G N/A","G ACTIONABLE")))</x:f>
        <x:v>HELD — COVERAGE</x:v>
      </x:c>
      <x:c r="AC769" s="13" t="str">
        <x:f>IF(L769="UNRESOLVED","COVERAGE FIRST",IF(OR(L769="EXCLUDED",L769="OUT OF SCOPE"),"CLOSED BY COVERAGE",IF(AND(L769="COVERED",T769&lt;&gt;"UNRESOLVED"),"PARTIALLY ADOPTED","DECISIONS REMAIN")))</x:f>
        <x:v>COVERAGE FIRST</x:v>
      </x:c>
    </x:row>
    <x:row r="770">
      <x:c r="A770" s="13" t="str">
        <x:v>NAAFTC-HS6-160521</x:v>
      </x:c>
      <x:c r="B770" s="13" t="str">
        <x:v>160521</x:v>
      </x:c>
      <x:c r="C770" s="13" t="str">
        <x:v>16</x:v>
      </x:c>
      <x:c r="D770" s="13" t="str">
        <x:v>TRILATERAL_SPLIT_MERGE</x:v>
      </x:c>
      <x:c r="E770" s="13" t="str">
        <x:v>Pending</x:v>
      </x:c>
      <x:c r="F770" s="13" t="n">
        <x:v>4</x:v>
      </x:c>
      <x:c r="G770" s="13" t="n">
        <x:v>1</x:v>
      </x:c>
      <x:c r="H770" s="13" t="n">
        <x:v>1</x:v>
      </x:c>
      <x:c r="I770" s="13" t="str">
        <x:v>1605210500; 1605211020; 1605211030; 1605211050</x:v>
      </x:c>
      <x:c r="J770" s="13" t="str">
        <x:v>1605210100</x:v>
      </x:c>
      <x:c r="K770" s="13" t="str">
        <x:v>16052100</x:v>
      </x:c>
      <x:c r="L770" s="13" t="str">
        <x:v>UNRESOLVED</x:v>
      </x:c>
      <x:c r="M770" s="13" t="str"/>
      <x:c r="N770" s="13" t="str">
        <x:v>NO / DEFAULT</x:v>
      </x:c>
      <x:c r="O770" s="13" t="str"/>
      <x:c r="P770" s="13" t="str">
        <x:v>NO / DEFAULT</x:v>
      </x:c>
      <x:c r="Q770" s="13" t="str"/>
      <x:c r="R770" s="13" t="str">
        <x:v>INDEPENDENT / DEFAULT</x:v>
      </x:c>
      <x:c r="S770" s="13" t="str"/>
      <x:c r="T770" s="13" t="str">
        <x:v>UNRESOLVED</x:v>
      </x:c>
      <x:c r="U770" s="13" t="str"/>
      <x:c r="V770" s="13" t="str"/>
      <x:c r="W770" s="13" t="str"/>
      <x:c r="X770" s="13" t="str">
        <x:f>IF(L770&lt;&gt;"COVERED","HELD — COVERAGE",IF(N770="YES — SENSITIVE","C ACTIONABLE","CHAPTER 5 DEFAULT"))</x:f>
        <x:v>HELD — COVERAGE</x:v>
      </x:c>
      <x:c r="Y770" s="13" t="str">
        <x:f>IF(L770&lt;&gt;"COVERED","HELD — COVERAGE",IF(P770="YES — MANAGED ACCESS","D ACTIONABLE","NO D FIELD"))</x:f>
        <x:v>HELD — COVERAGE</x:v>
      </x:c>
      <x:c r="Z770" s="13" t="str">
        <x:f>IF(L770&lt;&gt;"COVERED","HELD — COVERAGE",IF(OR(R770="PAIRED SYNCHRONIZED",R770="TRILATERAL SYNCHRONIZED"),"E ACTIONABLE","INDEPENDENT"))</x:f>
        <x:v>HELD — COVERAGE</x:v>
      </x:c>
      <x:c r="AA770" s="13" t="str">
        <x:f>IF(L770&lt;&gt;"COVERED","HELD — COVERAGE","WAIT FOR UPSTREAM COMPLETION")</x:f>
        <x:v>HELD — COVERAGE</x:v>
      </x:c>
      <x:c r="AB770" s="13" t="str">
        <x:f>IF(L770&lt;&gt;"COVERED","HELD — COVERAGE",IF(T770="UNRESOLVED","G DECISION REQUIRED",IF(T770="NOT APPLICABLE","G N/A","G ACTIONABLE")))</x:f>
        <x:v>HELD — COVERAGE</x:v>
      </x:c>
      <x:c r="AC770" s="13" t="str">
        <x:f>IF(L770="UNRESOLVED","COVERAGE FIRST",IF(OR(L770="EXCLUDED",L770="OUT OF SCOPE"),"CLOSED BY COVERAGE",IF(AND(L770="COVERED",T770&lt;&gt;"UNRESOLVED"),"PARTIALLY ADOPTED","DECISIONS REMAIN")))</x:f>
        <x:v>COVERAGE FIRST</x:v>
      </x:c>
    </x:row>
    <x:row r="771">
      <x:c r="A771" s="13" t="str">
        <x:v>NAAFTC-HS6-160529</x:v>
      </x:c>
      <x:c r="B771" s="13" t="str">
        <x:v>160529</x:v>
      </x:c>
      <x:c r="C771" s="13" t="str">
        <x:v>16</x:v>
      </x:c>
      <x:c r="D771" s="13" t="str">
        <x:v>TRILATERAL_SPLIT_MERGE</x:v>
      </x:c>
      <x:c r="E771" s="13" t="str">
        <x:v>Pending</x:v>
      </x:c>
      <x:c r="F771" s="13" t="n">
        <x:v>3</x:v>
      </x:c>
      <x:c r="G771" s="13" t="n">
        <x:v>1</x:v>
      </x:c>
      <x:c r="H771" s="13" t="n">
        <x:v>1</x:v>
      </x:c>
      <x:c r="I771" s="13" t="str">
        <x:v>1605290500; 1605291010; 1605291040</x:v>
      </x:c>
      <x:c r="J771" s="13" t="str">
        <x:v>1605299900</x:v>
      </x:c>
      <x:c r="K771" s="13" t="str">
        <x:v>1605290000</x:v>
      </x:c>
      <x:c r="L771" s="13" t="str">
        <x:v>UNRESOLVED</x:v>
      </x:c>
      <x:c r="M771" s="13" t="str"/>
      <x:c r="N771" s="13" t="str">
        <x:v>NO / DEFAULT</x:v>
      </x:c>
      <x:c r="O771" s="13" t="str"/>
      <x:c r="P771" s="13" t="str">
        <x:v>NO / DEFAULT</x:v>
      </x:c>
      <x:c r="Q771" s="13" t="str"/>
      <x:c r="R771" s="13" t="str">
        <x:v>INDEPENDENT / DEFAULT</x:v>
      </x:c>
      <x:c r="S771" s="13" t="str"/>
      <x:c r="T771" s="13" t="str">
        <x:v>UNRESOLVED</x:v>
      </x:c>
      <x:c r="U771" s="13" t="str"/>
      <x:c r="V771" s="13" t="str"/>
      <x:c r="W771" s="13" t="str"/>
      <x:c r="X771" s="13" t="str">
        <x:f>IF(L771&lt;&gt;"COVERED","HELD — COVERAGE",IF(N771="YES — SENSITIVE","C ACTIONABLE","CHAPTER 5 DEFAULT"))</x:f>
        <x:v>HELD — COVERAGE</x:v>
      </x:c>
      <x:c r="Y771" s="13" t="str">
        <x:f>IF(L771&lt;&gt;"COVERED","HELD — COVERAGE",IF(P771="YES — MANAGED ACCESS","D ACTIONABLE","NO D FIELD"))</x:f>
        <x:v>HELD — COVERAGE</x:v>
      </x:c>
      <x:c r="Z771" s="13" t="str">
        <x:f>IF(L771&lt;&gt;"COVERED","HELD — COVERAGE",IF(OR(R771="PAIRED SYNCHRONIZED",R771="TRILATERAL SYNCHRONIZED"),"E ACTIONABLE","INDEPENDENT"))</x:f>
        <x:v>HELD — COVERAGE</x:v>
      </x:c>
      <x:c r="AA771" s="13" t="str">
        <x:f>IF(L771&lt;&gt;"COVERED","HELD — COVERAGE","WAIT FOR UPSTREAM COMPLETION")</x:f>
        <x:v>HELD — COVERAGE</x:v>
      </x:c>
      <x:c r="AB771" s="13" t="str">
        <x:f>IF(L771&lt;&gt;"COVERED","HELD — COVERAGE",IF(T771="UNRESOLVED","G DECISION REQUIRED",IF(T771="NOT APPLICABLE","G N/A","G ACTIONABLE")))</x:f>
        <x:v>HELD — COVERAGE</x:v>
      </x:c>
      <x:c r="AC771" s="13" t="str">
        <x:f>IF(L771="UNRESOLVED","COVERAGE FIRST",IF(OR(L771="EXCLUDED",L771="OUT OF SCOPE"),"CLOSED BY COVERAGE",IF(AND(L771="COVERED",T771&lt;&gt;"UNRESOLVED"),"PARTIALLY ADOPTED","DECISIONS REMAIN")))</x:f>
        <x:v>COVERAGE FIRST</x:v>
      </x:c>
    </x:row>
    <x:row r="772">
      <x:c r="A772" s="13" t="str">
        <x:v>NAAFTC-HS6-160530</x:v>
      </x:c>
      <x:c r="B772" s="13" t="str">
        <x:v>160530</x:v>
      </x:c>
      <x:c r="C772" s="13" t="str">
        <x:v>16</x:v>
      </x:c>
      <x:c r="D772" s="13" t="str">
        <x:v>TRILATERAL_SPLIT_MERGE</x:v>
      </x:c>
      <x:c r="E772" s="13" t="str">
        <x:v>Pending</x:v>
      </x:c>
      <x:c r="F772" s="13" t="n">
        <x:v>6</x:v>
      </x:c>
      <x:c r="G772" s="13" t="n">
        <x:v>1</x:v>
      </x:c>
      <x:c r="H772" s="13" t="n">
        <x:v>2</x:v>
      </x:c>
      <x:c r="I772" s="13" t="str">
        <x:v>1605300510; 1605300590; 1605301010; 1605301030; 1605301050; 1605301090</x:v>
      </x:c>
      <x:c r="J772" s="13" t="str">
        <x:v>1605300100</x:v>
      </x:c>
      <x:c r="K772" s="13" t="str">
        <x:v>1605301000; 1605309000</x:v>
      </x:c>
      <x:c r="L772" s="13" t="str">
        <x:v>UNRESOLVED</x:v>
      </x:c>
      <x:c r="M772" s="13" t="str"/>
      <x:c r="N772" s="13" t="str">
        <x:v>NO / DEFAULT</x:v>
      </x:c>
      <x:c r="O772" s="13" t="str"/>
      <x:c r="P772" s="13" t="str">
        <x:v>NO / DEFAULT</x:v>
      </x:c>
      <x:c r="Q772" s="13" t="str"/>
      <x:c r="R772" s="13" t="str">
        <x:v>INDEPENDENT / DEFAULT</x:v>
      </x:c>
      <x:c r="S772" s="13" t="str"/>
      <x:c r="T772" s="13" t="str">
        <x:v>UNRESOLVED</x:v>
      </x:c>
      <x:c r="U772" s="13" t="str"/>
      <x:c r="V772" s="13" t="str"/>
      <x:c r="W772" s="13" t="str"/>
      <x:c r="X772" s="13" t="str">
        <x:f>IF(L772&lt;&gt;"COVERED","HELD — COVERAGE",IF(N772="YES — SENSITIVE","C ACTIONABLE","CHAPTER 5 DEFAULT"))</x:f>
        <x:v>HELD — COVERAGE</x:v>
      </x:c>
      <x:c r="Y772" s="13" t="str">
        <x:f>IF(L772&lt;&gt;"COVERED","HELD — COVERAGE",IF(P772="YES — MANAGED ACCESS","D ACTIONABLE","NO D FIELD"))</x:f>
        <x:v>HELD — COVERAGE</x:v>
      </x:c>
      <x:c r="Z772" s="13" t="str">
        <x:f>IF(L772&lt;&gt;"COVERED","HELD — COVERAGE",IF(OR(R772="PAIRED SYNCHRONIZED",R772="TRILATERAL SYNCHRONIZED"),"E ACTIONABLE","INDEPENDENT"))</x:f>
        <x:v>HELD — COVERAGE</x:v>
      </x:c>
      <x:c r="AA772" s="13" t="str">
        <x:f>IF(L772&lt;&gt;"COVERED","HELD — COVERAGE","WAIT FOR UPSTREAM COMPLETION")</x:f>
        <x:v>HELD — COVERAGE</x:v>
      </x:c>
      <x:c r="AB772" s="13" t="str">
        <x:f>IF(L772&lt;&gt;"COVERED","HELD — COVERAGE",IF(T772="UNRESOLVED","G DECISION REQUIRED",IF(T772="NOT APPLICABLE","G N/A","G ACTIONABLE")))</x:f>
        <x:v>HELD — COVERAGE</x:v>
      </x:c>
      <x:c r="AC772" s="13" t="str">
        <x:f>IF(L772="UNRESOLVED","COVERAGE FIRST",IF(OR(L772="EXCLUDED",L772="OUT OF SCOPE"),"CLOSED BY COVERAGE",IF(AND(L772="COVERED",T772&lt;&gt;"UNRESOLVED"),"PARTIALLY ADOPTED","DECISIONS REMAIN")))</x:f>
        <x:v>COVERAGE FIRST</x:v>
      </x:c>
    </x:row>
    <x:row r="773">
      <x:c r="A773" s="13" t="str">
        <x:v>NAAFTC-HS6-160540</x:v>
      </x:c>
      <x:c r="B773" s="13" t="str">
        <x:v>160540</x:v>
      </x:c>
      <x:c r="C773" s="13" t="str">
        <x:v>16</x:v>
      </x:c>
      <x:c r="D773" s="13" t="str">
        <x:v>TRILATERAL_SPLIT_MERGE</x:v>
      </x:c>
      <x:c r="E773" s="13" t="str">
        <x:v>Pending</x:v>
      </x:c>
      <x:c r="F773" s="13" t="n">
        <x:v>3</x:v>
      </x:c>
      <x:c r="G773" s="13" t="n">
        <x:v>1</x:v>
      </x:c>
      <x:c r="H773" s="13" t="n">
        <x:v>2</x:v>
      </x:c>
      <x:c r="I773" s="13" t="str">
        <x:v>1605400500; 1605401010; 1605401090</x:v>
      </x:c>
      <x:c r="J773" s="13" t="str">
        <x:v>1605409100</x:v>
      </x:c>
      <x:c r="K773" s="13" t="str">
        <x:v>1605401000; 1605409000</x:v>
      </x:c>
      <x:c r="L773" s="13" t="str">
        <x:v>UNRESOLVED</x:v>
      </x:c>
      <x:c r="M773" s="13" t="str"/>
      <x:c r="N773" s="13" t="str">
        <x:v>NO / DEFAULT</x:v>
      </x:c>
      <x:c r="O773" s="13" t="str"/>
      <x:c r="P773" s="13" t="str">
        <x:v>NO / DEFAULT</x:v>
      </x:c>
      <x:c r="Q773" s="13" t="str"/>
      <x:c r="R773" s="13" t="str">
        <x:v>INDEPENDENT / DEFAULT</x:v>
      </x:c>
      <x:c r="S773" s="13" t="str"/>
      <x:c r="T773" s="13" t="str">
        <x:v>UNRESOLVED</x:v>
      </x:c>
      <x:c r="U773" s="13" t="str"/>
      <x:c r="V773" s="13" t="str"/>
      <x:c r="W773" s="13" t="str"/>
      <x:c r="X773" s="13" t="str">
        <x:f>IF(L773&lt;&gt;"COVERED","HELD — COVERAGE",IF(N773="YES — SENSITIVE","C ACTIONABLE","CHAPTER 5 DEFAULT"))</x:f>
        <x:v>HELD — COVERAGE</x:v>
      </x:c>
      <x:c r="Y773" s="13" t="str">
        <x:f>IF(L773&lt;&gt;"COVERED","HELD — COVERAGE",IF(P773="YES — MANAGED ACCESS","D ACTIONABLE","NO D FIELD"))</x:f>
        <x:v>HELD — COVERAGE</x:v>
      </x:c>
      <x:c r="Z773" s="13" t="str">
        <x:f>IF(L773&lt;&gt;"COVERED","HELD — COVERAGE",IF(OR(R773="PAIRED SYNCHRONIZED",R773="TRILATERAL SYNCHRONIZED"),"E ACTIONABLE","INDEPENDENT"))</x:f>
        <x:v>HELD — COVERAGE</x:v>
      </x:c>
      <x:c r="AA773" s="13" t="str">
        <x:f>IF(L773&lt;&gt;"COVERED","HELD — COVERAGE","WAIT FOR UPSTREAM COMPLETION")</x:f>
        <x:v>HELD — COVERAGE</x:v>
      </x:c>
      <x:c r="AB773" s="13" t="str">
        <x:f>IF(L773&lt;&gt;"COVERED","HELD — COVERAGE",IF(T773="UNRESOLVED","G DECISION REQUIRED",IF(T773="NOT APPLICABLE","G N/A","G ACTIONABLE")))</x:f>
        <x:v>HELD — COVERAGE</x:v>
      </x:c>
      <x:c r="AC773" s="13" t="str">
        <x:f>IF(L773="UNRESOLVED","COVERAGE FIRST",IF(OR(L773="EXCLUDED",L773="OUT OF SCOPE"),"CLOSED BY COVERAGE",IF(AND(L773="COVERED",T773&lt;&gt;"UNRESOLVED"),"PARTIALLY ADOPTED","DECISIONS REMAIN")))</x:f>
        <x:v>COVERAGE FIRST</x:v>
      </x:c>
    </x:row>
    <x:row r="774">
      <x:c r="A774" s="13" t="str">
        <x:v>NAAFTC-HS6-160551</x:v>
      </x:c>
      <x:c r="B774" s="13" t="str">
        <x:v>160551</x:v>
      </x:c>
      <x:c r="C774" s="13" t="str">
        <x:v>16</x:v>
      </x:c>
      <x:c r="D774" s="13" t="str">
        <x:v>TRILATERAL_SPLIT_MERGE</x:v>
      </x:c>
      <x:c r="E774" s="13" t="str">
        <x:v>Pending</x:v>
      </x:c>
      <x:c r="F774" s="13" t="n">
        <x:v>3</x:v>
      </x:c>
      <x:c r="G774" s="13" t="n">
        <x:v>1</x:v>
      </x:c>
      <x:c r="H774" s="13" t="n">
        <x:v>1</x:v>
      </x:c>
      <x:c r="I774" s="13" t="str">
        <x:v>1605510500; 1605514000; 1605515000</x:v>
      </x:c>
      <x:c r="J774" s="13" t="str">
        <x:v>1605510100</x:v>
      </x:c>
      <x:c r="K774" s="13" t="str">
        <x:v>1605510000</x:v>
      </x:c>
      <x:c r="L774" s="13" t="str">
        <x:v>UNRESOLVED</x:v>
      </x:c>
      <x:c r="M774" s="13" t="str"/>
      <x:c r="N774" s="13" t="str">
        <x:v>NO / DEFAULT</x:v>
      </x:c>
      <x:c r="O774" s="13" t="str"/>
      <x:c r="P774" s="13" t="str">
        <x:v>NO / DEFAULT</x:v>
      </x:c>
      <x:c r="Q774" s="13" t="str"/>
      <x:c r="R774" s="13" t="str">
        <x:v>INDEPENDENT / DEFAULT</x:v>
      </x:c>
      <x:c r="S774" s="13" t="str"/>
      <x:c r="T774" s="13" t="str">
        <x:v>UNRESOLVED</x:v>
      </x:c>
      <x:c r="U774" s="13" t="str"/>
      <x:c r="V774" s="13" t="str"/>
      <x:c r="W774" s="13" t="str"/>
      <x:c r="X774" s="13" t="str">
        <x:f>IF(L774&lt;&gt;"COVERED","HELD — COVERAGE",IF(N774="YES — SENSITIVE","C ACTIONABLE","CHAPTER 5 DEFAULT"))</x:f>
        <x:v>HELD — COVERAGE</x:v>
      </x:c>
      <x:c r="Y774" s="13" t="str">
        <x:f>IF(L774&lt;&gt;"COVERED","HELD — COVERAGE",IF(P774="YES — MANAGED ACCESS","D ACTIONABLE","NO D FIELD"))</x:f>
        <x:v>HELD — COVERAGE</x:v>
      </x:c>
      <x:c r="Z774" s="13" t="str">
        <x:f>IF(L774&lt;&gt;"COVERED","HELD — COVERAGE",IF(OR(R774="PAIRED SYNCHRONIZED",R774="TRILATERAL SYNCHRONIZED"),"E ACTIONABLE","INDEPENDENT"))</x:f>
        <x:v>HELD — COVERAGE</x:v>
      </x:c>
      <x:c r="AA774" s="13" t="str">
        <x:f>IF(L774&lt;&gt;"COVERED","HELD — COVERAGE","WAIT FOR UPSTREAM COMPLETION")</x:f>
        <x:v>HELD — COVERAGE</x:v>
      </x:c>
      <x:c r="AB774" s="13" t="str">
        <x:f>IF(L774&lt;&gt;"COVERED","HELD — COVERAGE",IF(T774="UNRESOLVED","G DECISION REQUIRED",IF(T774="NOT APPLICABLE","G N/A","G ACTIONABLE")))</x:f>
        <x:v>HELD — COVERAGE</x:v>
      </x:c>
      <x:c r="AC774" s="13" t="str">
        <x:f>IF(L774="UNRESOLVED","COVERAGE FIRST",IF(OR(L774="EXCLUDED",L774="OUT OF SCOPE"),"CLOSED BY COVERAGE",IF(AND(L774="COVERED",T774&lt;&gt;"UNRESOLVED"),"PARTIALLY ADOPTED","DECISIONS REMAIN")))</x:f>
        <x:v>COVERAGE FIRST</x:v>
      </x:c>
    </x:row>
    <x:row r="775">
      <x:c r="A775" s="13" t="str">
        <x:v>NAAFTC-HS6-160552</x:v>
      </x:c>
      <x:c r="B775" s="13" t="str">
        <x:v>160552</x:v>
      </x:c>
      <x:c r="C775" s="13" t="str">
        <x:v>16</x:v>
      </x:c>
      <x:c r="D775" s="13" t="str">
        <x:v>TRILATERAL_SPLIT_MERGE</x:v>
      </x:c>
      <x:c r="E775" s="13" t="str">
        <x:v>Pending</x:v>
      </x:c>
      <x:c r="F775" s="13" t="n">
        <x:v>2</x:v>
      </x:c>
      <x:c r="G775" s="13" t="n">
        <x:v>1</x:v>
      </x:c>
      <x:c r="H775" s="13" t="n">
        <x:v>1</x:v>
      </x:c>
      <x:c r="I775" s="13" t="str">
        <x:v>1605520500; 1605526000</x:v>
      </x:c>
      <x:c r="J775" s="13" t="str">
        <x:v>1605520100</x:v>
      </x:c>
      <x:c r="K775" s="13" t="str">
        <x:v>1605520000</x:v>
      </x:c>
      <x:c r="L775" s="13" t="str">
        <x:v>UNRESOLVED</x:v>
      </x:c>
      <x:c r="M775" s="13" t="str"/>
      <x:c r="N775" s="13" t="str">
        <x:v>NO / DEFAULT</x:v>
      </x:c>
      <x:c r="O775" s="13" t="str"/>
      <x:c r="P775" s="13" t="str">
        <x:v>NO / DEFAULT</x:v>
      </x:c>
      <x:c r="Q775" s="13" t="str"/>
      <x:c r="R775" s="13" t="str">
        <x:v>INDEPENDENT / DEFAULT</x:v>
      </x:c>
      <x:c r="S775" s="13" t="str"/>
      <x:c r="T775" s="13" t="str">
        <x:v>UNRESOLVED</x:v>
      </x:c>
      <x:c r="U775" s="13" t="str"/>
      <x:c r="V775" s="13" t="str"/>
      <x:c r="W775" s="13" t="str"/>
      <x:c r="X775" s="13" t="str">
        <x:f>IF(L775&lt;&gt;"COVERED","HELD — COVERAGE",IF(N775="YES — SENSITIVE","C ACTIONABLE","CHAPTER 5 DEFAULT"))</x:f>
        <x:v>HELD — COVERAGE</x:v>
      </x:c>
      <x:c r="Y775" s="13" t="str">
        <x:f>IF(L775&lt;&gt;"COVERED","HELD — COVERAGE",IF(P775="YES — MANAGED ACCESS","D ACTIONABLE","NO D FIELD"))</x:f>
        <x:v>HELD — COVERAGE</x:v>
      </x:c>
      <x:c r="Z775" s="13" t="str">
        <x:f>IF(L775&lt;&gt;"COVERED","HELD — COVERAGE",IF(OR(R775="PAIRED SYNCHRONIZED",R775="TRILATERAL SYNCHRONIZED"),"E ACTIONABLE","INDEPENDENT"))</x:f>
        <x:v>HELD — COVERAGE</x:v>
      </x:c>
      <x:c r="AA775" s="13" t="str">
        <x:f>IF(L775&lt;&gt;"COVERED","HELD — COVERAGE","WAIT FOR UPSTREAM COMPLETION")</x:f>
        <x:v>HELD — COVERAGE</x:v>
      </x:c>
      <x:c r="AB775" s="13" t="str">
        <x:f>IF(L775&lt;&gt;"COVERED","HELD — COVERAGE",IF(T775="UNRESOLVED","G DECISION REQUIRED",IF(T775="NOT APPLICABLE","G N/A","G ACTIONABLE")))</x:f>
        <x:v>HELD — COVERAGE</x:v>
      </x:c>
      <x:c r="AC775" s="13" t="str">
        <x:f>IF(L775="UNRESOLVED","COVERAGE FIRST",IF(OR(L775="EXCLUDED",L775="OUT OF SCOPE"),"CLOSED BY COVERAGE",IF(AND(L775="COVERED",T775&lt;&gt;"UNRESOLVED"),"PARTIALLY ADOPTED","DECISIONS REMAIN")))</x:f>
        <x:v>COVERAGE FIRST</x:v>
      </x:c>
    </x:row>
    <x:row r="776">
      <x:c r="A776" s="13" t="str">
        <x:v>NAAFTC-HS6-160553</x:v>
      </x:c>
      <x:c r="B776" s="13" t="str">
        <x:v>160553</x:v>
      </x:c>
      <x:c r="C776" s="13" t="str">
        <x:v>16</x:v>
      </x:c>
      <x:c r="D776" s="13" t="str">
        <x:v>TRILATERAL_SPLIT_MERGE</x:v>
      </x:c>
      <x:c r="E776" s="13" t="str">
        <x:v>Pending</x:v>
      </x:c>
      <x:c r="F776" s="13" t="n">
        <x:v>2</x:v>
      </x:c>
      <x:c r="G776" s="13" t="n">
        <x:v>1</x:v>
      </x:c>
      <x:c r="H776" s="13" t="n">
        <x:v>1</x:v>
      </x:c>
      <x:c r="I776" s="13" t="str">
        <x:v>1605530500; 1605536000</x:v>
      </x:c>
      <x:c r="J776" s="13" t="str">
        <x:v>1605530100</x:v>
      </x:c>
      <x:c r="K776" s="13" t="str">
        <x:v>1605530000</x:v>
      </x:c>
      <x:c r="L776" s="13" t="str">
        <x:v>UNRESOLVED</x:v>
      </x:c>
      <x:c r="M776" s="13" t="str"/>
      <x:c r="N776" s="13" t="str">
        <x:v>NO / DEFAULT</x:v>
      </x:c>
      <x:c r="O776" s="13" t="str"/>
      <x:c r="P776" s="13" t="str">
        <x:v>NO / DEFAULT</x:v>
      </x:c>
      <x:c r="Q776" s="13" t="str"/>
      <x:c r="R776" s="13" t="str">
        <x:v>INDEPENDENT / DEFAULT</x:v>
      </x:c>
      <x:c r="S776" s="13" t="str"/>
      <x:c r="T776" s="13" t="str">
        <x:v>UNRESOLVED</x:v>
      </x:c>
      <x:c r="U776" s="13" t="str"/>
      <x:c r="V776" s="13" t="str"/>
      <x:c r="W776" s="13" t="str"/>
      <x:c r="X776" s="13" t="str">
        <x:f>IF(L776&lt;&gt;"COVERED","HELD — COVERAGE",IF(N776="YES — SENSITIVE","C ACTIONABLE","CHAPTER 5 DEFAULT"))</x:f>
        <x:v>HELD — COVERAGE</x:v>
      </x:c>
      <x:c r="Y776" s="13" t="str">
        <x:f>IF(L776&lt;&gt;"COVERED","HELD — COVERAGE",IF(P776="YES — MANAGED ACCESS","D ACTIONABLE","NO D FIELD"))</x:f>
        <x:v>HELD — COVERAGE</x:v>
      </x:c>
      <x:c r="Z776" s="13" t="str">
        <x:f>IF(L776&lt;&gt;"COVERED","HELD — COVERAGE",IF(OR(R776="PAIRED SYNCHRONIZED",R776="TRILATERAL SYNCHRONIZED"),"E ACTIONABLE","INDEPENDENT"))</x:f>
        <x:v>HELD — COVERAGE</x:v>
      </x:c>
      <x:c r="AA776" s="13" t="str">
        <x:f>IF(L776&lt;&gt;"COVERED","HELD — COVERAGE","WAIT FOR UPSTREAM COMPLETION")</x:f>
        <x:v>HELD — COVERAGE</x:v>
      </x:c>
      <x:c r="AB776" s="13" t="str">
        <x:f>IF(L776&lt;&gt;"COVERED","HELD — COVERAGE",IF(T776="UNRESOLVED","G DECISION REQUIRED",IF(T776="NOT APPLICABLE","G N/A","G ACTIONABLE")))</x:f>
        <x:v>HELD — COVERAGE</x:v>
      </x:c>
      <x:c r="AC776" s="13" t="str">
        <x:f>IF(L776="UNRESOLVED","COVERAGE FIRST",IF(OR(L776="EXCLUDED",L776="OUT OF SCOPE"),"CLOSED BY COVERAGE",IF(AND(L776="COVERED",T776&lt;&gt;"UNRESOLVED"),"PARTIALLY ADOPTED","DECISIONS REMAIN")))</x:f>
        <x:v>COVERAGE FIRST</x:v>
      </x:c>
    </x:row>
    <x:row r="777">
      <x:c r="A777" s="13" t="str">
        <x:v>NAAFTC-HS6-160554</x:v>
      </x:c>
      <x:c r="B777" s="13" t="str">
        <x:v>160554</x:v>
      </x:c>
      <x:c r="C777" s="13" t="str">
        <x:v>16</x:v>
      </x:c>
      <x:c r="D777" s="13" t="str">
        <x:v>TRILATERAL_SPLIT_MERGE</x:v>
      </x:c>
      <x:c r="E777" s="13" t="str">
        <x:v>Pending</x:v>
      </x:c>
      <x:c r="F777" s="13" t="n">
        <x:v>4</x:v>
      </x:c>
      <x:c r="G777" s="13" t="n">
        <x:v>1</x:v>
      </x:c>
      <x:c r="H777" s="13" t="n">
        <x:v>1</x:v>
      </x:c>
      <x:c r="I777" s="13" t="str">
        <x:v>1605540500; 1605546010; 1605546020; 1605546030</x:v>
      </x:c>
      <x:c r="J777" s="13" t="str">
        <x:v>1605540100</x:v>
      </x:c>
      <x:c r="K777" s="13" t="str">
        <x:v>1605540000</x:v>
      </x:c>
      <x:c r="L777" s="13" t="str">
        <x:v>UNRESOLVED</x:v>
      </x:c>
      <x:c r="M777" s="13" t="str"/>
      <x:c r="N777" s="13" t="str">
        <x:v>NO / DEFAULT</x:v>
      </x:c>
      <x:c r="O777" s="13" t="str"/>
      <x:c r="P777" s="13" t="str">
        <x:v>NO / DEFAULT</x:v>
      </x:c>
      <x:c r="Q777" s="13" t="str"/>
      <x:c r="R777" s="13" t="str">
        <x:v>INDEPENDENT / DEFAULT</x:v>
      </x:c>
      <x:c r="S777" s="13" t="str"/>
      <x:c r="T777" s="13" t="str">
        <x:v>UNRESOLVED</x:v>
      </x:c>
      <x:c r="U777" s="13" t="str"/>
      <x:c r="V777" s="13" t="str"/>
      <x:c r="W777" s="13" t="str"/>
      <x:c r="X777" s="13" t="str">
        <x:f>IF(L777&lt;&gt;"COVERED","HELD — COVERAGE",IF(N777="YES — SENSITIVE","C ACTIONABLE","CHAPTER 5 DEFAULT"))</x:f>
        <x:v>HELD — COVERAGE</x:v>
      </x:c>
      <x:c r="Y777" s="13" t="str">
        <x:f>IF(L777&lt;&gt;"COVERED","HELD — COVERAGE",IF(P777="YES — MANAGED ACCESS","D ACTIONABLE","NO D FIELD"))</x:f>
        <x:v>HELD — COVERAGE</x:v>
      </x:c>
      <x:c r="Z777" s="13" t="str">
        <x:f>IF(L777&lt;&gt;"COVERED","HELD — COVERAGE",IF(OR(R777="PAIRED SYNCHRONIZED",R777="TRILATERAL SYNCHRONIZED"),"E ACTIONABLE","INDEPENDENT"))</x:f>
        <x:v>HELD — COVERAGE</x:v>
      </x:c>
      <x:c r="AA777" s="13" t="str">
        <x:f>IF(L777&lt;&gt;"COVERED","HELD — COVERAGE","WAIT FOR UPSTREAM COMPLETION")</x:f>
        <x:v>HELD — COVERAGE</x:v>
      </x:c>
      <x:c r="AB777" s="13" t="str">
        <x:f>IF(L777&lt;&gt;"COVERED","HELD — COVERAGE",IF(T777="UNRESOLVED","G DECISION REQUIRED",IF(T777="NOT APPLICABLE","G N/A","G ACTIONABLE")))</x:f>
        <x:v>HELD — COVERAGE</x:v>
      </x:c>
      <x:c r="AC777" s="13" t="str">
        <x:f>IF(L777="UNRESOLVED","COVERAGE FIRST",IF(OR(L777="EXCLUDED",L777="OUT OF SCOPE"),"CLOSED BY COVERAGE",IF(AND(L777="COVERED",T777&lt;&gt;"UNRESOLVED"),"PARTIALLY ADOPTED","DECISIONS REMAIN")))</x:f>
        <x:v>COVERAGE FIRST</x:v>
      </x:c>
    </x:row>
    <x:row r="778">
      <x:c r="A778" s="13" t="str">
        <x:v>NAAFTC-HS6-160555</x:v>
      </x:c>
      <x:c r="B778" s="13" t="str">
        <x:v>160555</x:v>
      </x:c>
      <x:c r="C778" s="13" t="str">
        <x:v>16</x:v>
      </x:c>
      <x:c r="D778" s="13" t="str">
        <x:v>TRILATERAL_SPLIT_MERGE</x:v>
      </x:c>
      <x:c r="E778" s="13" t="str">
        <x:v>Pending</x:v>
      </x:c>
      <x:c r="F778" s="13" t="n">
        <x:v>2</x:v>
      </x:c>
      <x:c r="G778" s="13" t="n">
        <x:v>1</x:v>
      </x:c>
      <x:c r="H778" s="13" t="n">
        <x:v>1</x:v>
      </x:c>
      <x:c r="I778" s="13" t="str">
        <x:v>1605550500; 1605556000</x:v>
      </x:c>
      <x:c r="J778" s="13" t="str">
        <x:v>1605550100</x:v>
      </x:c>
      <x:c r="K778" s="13" t="str">
        <x:v>1605550000</x:v>
      </x:c>
      <x:c r="L778" s="13" t="str">
        <x:v>UNRESOLVED</x:v>
      </x:c>
      <x:c r="M778" s="13" t="str"/>
      <x:c r="N778" s="13" t="str">
        <x:v>NO / DEFAULT</x:v>
      </x:c>
      <x:c r="O778" s="13" t="str"/>
      <x:c r="P778" s="13" t="str">
        <x:v>NO / DEFAULT</x:v>
      </x:c>
      <x:c r="Q778" s="13" t="str"/>
      <x:c r="R778" s="13" t="str">
        <x:v>INDEPENDENT / DEFAULT</x:v>
      </x:c>
      <x:c r="S778" s="13" t="str"/>
      <x:c r="T778" s="13" t="str">
        <x:v>UNRESOLVED</x:v>
      </x:c>
      <x:c r="U778" s="13" t="str"/>
      <x:c r="V778" s="13" t="str"/>
      <x:c r="W778" s="13" t="str"/>
      <x:c r="X778" s="13" t="str">
        <x:f>IF(L778&lt;&gt;"COVERED","HELD — COVERAGE",IF(N778="YES — SENSITIVE","C ACTIONABLE","CHAPTER 5 DEFAULT"))</x:f>
        <x:v>HELD — COVERAGE</x:v>
      </x:c>
      <x:c r="Y778" s="13" t="str">
        <x:f>IF(L778&lt;&gt;"COVERED","HELD — COVERAGE",IF(P778="YES — MANAGED ACCESS","D ACTIONABLE","NO D FIELD"))</x:f>
        <x:v>HELD — COVERAGE</x:v>
      </x:c>
      <x:c r="Z778" s="13" t="str">
        <x:f>IF(L778&lt;&gt;"COVERED","HELD — COVERAGE",IF(OR(R778="PAIRED SYNCHRONIZED",R778="TRILATERAL SYNCHRONIZED"),"E ACTIONABLE","INDEPENDENT"))</x:f>
        <x:v>HELD — COVERAGE</x:v>
      </x:c>
      <x:c r="AA778" s="13" t="str">
        <x:f>IF(L778&lt;&gt;"COVERED","HELD — COVERAGE","WAIT FOR UPSTREAM COMPLETION")</x:f>
        <x:v>HELD — COVERAGE</x:v>
      </x:c>
      <x:c r="AB778" s="13" t="str">
        <x:f>IF(L778&lt;&gt;"COVERED","HELD — COVERAGE",IF(T778="UNRESOLVED","G DECISION REQUIRED",IF(T778="NOT APPLICABLE","G N/A","G ACTIONABLE")))</x:f>
        <x:v>HELD — COVERAGE</x:v>
      </x:c>
      <x:c r="AC778" s="13" t="str">
        <x:f>IF(L778="UNRESOLVED","COVERAGE FIRST",IF(OR(L778="EXCLUDED",L778="OUT OF SCOPE"),"CLOSED BY COVERAGE",IF(AND(L778="COVERED",T778&lt;&gt;"UNRESOLVED"),"PARTIALLY ADOPTED","DECISIONS REMAIN")))</x:f>
        <x:v>COVERAGE FIRST</x:v>
      </x:c>
    </x:row>
    <x:row r="779">
      <x:c r="A779" s="13" t="str">
        <x:v>NAAFTC-HS6-160556</x:v>
      </x:c>
      <x:c r="B779" s="13" t="str">
        <x:v>160556</x:v>
      </x:c>
      <x:c r="C779" s="13" t="str">
        <x:v>16</x:v>
      </x:c>
      <x:c r="D779" s="13" t="str">
        <x:v>TRILATERAL_SPLIT_MERGE</x:v>
      </x:c>
      <x:c r="E779" s="13" t="str">
        <x:v>Pending</x:v>
      </x:c>
      <x:c r="F779" s="13" t="n">
        <x:v>6</x:v>
      </x:c>
      <x:c r="G779" s="13" t="n">
        <x:v>1</x:v>
      </x:c>
      <x:c r="H779" s="13" t="n">
        <x:v>1</x:v>
      </x:c>
      <x:c r="I779" s="13" t="str">
        <x:v>1605560500; 1605561000; 1605561500; 1605562000; 1605563000; 1605566000</x:v>
      </x:c>
      <x:c r="J779" s="13" t="str">
        <x:v>1605560100</x:v>
      </x:c>
      <x:c r="K779" s="13" t="str">
        <x:v>1605560000</x:v>
      </x:c>
      <x:c r="L779" s="13" t="str">
        <x:v>UNRESOLVED</x:v>
      </x:c>
      <x:c r="M779" s="13" t="str"/>
      <x:c r="N779" s="13" t="str">
        <x:v>NO / DEFAULT</x:v>
      </x:c>
      <x:c r="O779" s="13" t="str"/>
      <x:c r="P779" s="13" t="str">
        <x:v>NO / DEFAULT</x:v>
      </x:c>
      <x:c r="Q779" s="13" t="str"/>
      <x:c r="R779" s="13" t="str">
        <x:v>INDEPENDENT / DEFAULT</x:v>
      </x:c>
      <x:c r="S779" s="13" t="str"/>
      <x:c r="T779" s="13" t="str">
        <x:v>UNRESOLVED</x:v>
      </x:c>
      <x:c r="U779" s="13" t="str"/>
      <x:c r="V779" s="13" t="str"/>
      <x:c r="W779" s="13" t="str"/>
      <x:c r="X779" s="13" t="str">
        <x:f>IF(L779&lt;&gt;"COVERED","HELD — COVERAGE",IF(N779="YES — SENSITIVE","C ACTIONABLE","CHAPTER 5 DEFAULT"))</x:f>
        <x:v>HELD — COVERAGE</x:v>
      </x:c>
      <x:c r="Y779" s="13" t="str">
        <x:f>IF(L779&lt;&gt;"COVERED","HELD — COVERAGE",IF(P779="YES — MANAGED ACCESS","D ACTIONABLE","NO D FIELD"))</x:f>
        <x:v>HELD — COVERAGE</x:v>
      </x:c>
      <x:c r="Z779" s="13" t="str">
        <x:f>IF(L779&lt;&gt;"COVERED","HELD — COVERAGE",IF(OR(R779="PAIRED SYNCHRONIZED",R779="TRILATERAL SYNCHRONIZED"),"E ACTIONABLE","INDEPENDENT"))</x:f>
        <x:v>HELD — COVERAGE</x:v>
      </x:c>
      <x:c r="AA779" s="13" t="str">
        <x:f>IF(L779&lt;&gt;"COVERED","HELD — COVERAGE","WAIT FOR UPSTREAM COMPLETION")</x:f>
        <x:v>HELD — COVERAGE</x:v>
      </x:c>
      <x:c r="AB779" s="13" t="str">
        <x:f>IF(L779&lt;&gt;"COVERED","HELD — COVERAGE",IF(T779="UNRESOLVED","G DECISION REQUIRED",IF(T779="NOT APPLICABLE","G N/A","G ACTIONABLE")))</x:f>
        <x:v>HELD — COVERAGE</x:v>
      </x:c>
      <x:c r="AC779" s="13" t="str">
        <x:f>IF(L779="UNRESOLVED","COVERAGE FIRST",IF(OR(L779="EXCLUDED",L779="OUT OF SCOPE"),"CLOSED BY COVERAGE",IF(AND(L779="COVERED",T779&lt;&gt;"UNRESOLVED"),"PARTIALLY ADOPTED","DECISIONS REMAIN")))</x:f>
        <x:v>COVERAGE FIRST</x:v>
      </x:c>
    </x:row>
    <x:row r="780">
      <x:c r="A780" s="13" t="str">
        <x:v>NAAFTC-HS6-160557</x:v>
      </x:c>
      <x:c r="B780" s="13" t="str">
        <x:v>160557</x:v>
      </x:c>
      <x:c r="C780" s="13" t="str">
        <x:v>16</x:v>
      </x:c>
      <x:c r="D780" s="13" t="str">
        <x:v>TRILATERAL_SPLIT_MERGE</x:v>
      </x:c>
      <x:c r="E780" s="13" t="str">
        <x:v>Pending</x:v>
      </x:c>
      <x:c r="F780" s="13" t="n">
        <x:v>2</x:v>
      </x:c>
      <x:c r="G780" s="13" t="n">
        <x:v>1</x:v>
      </x:c>
      <x:c r="H780" s="13" t="n">
        <x:v>1</x:v>
      </x:c>
      <x:c r="I780" s="13" t="str">
        <x:v>1605570500; 1605576000</x:v>
      </x:c>
      <x:c r="J780" s="13" t="str">
        <x:v>1605570100</x:v>
      </x:c>
      <x:c r="K780" s="13" t="str">
        <x:v>1605570000</x:v>
      </x:c>
      <x:c r="L780" s="13" t="str">
        <x:v>UNRESOLVED</x:v>
      </x:c>
      <x:c r="M780" s="13" t="str"/>
      <x:c r="N780" s="13" t="str">
        <x:v>NO / DEFAULT</x:v>
      </x:c>
      <x:c r="O780" s="13" t="str"/>
      <x:c r="P780" s="13" t="str">
        <x:v>NO / DEFAULT</x:v>
      </x:c>
      <x:c r="Q780" s="13" t="str"/>
      <x:c r="R780" s="13" t="str">
        <x:v>INDEPENDENT / DEFAULT</x:v>
      </x:c>
      <x:c r="S780" s="13" t="str"/>
      <x:c r="T780" s="13" t="str">
        <x:v>UNRESOLVED</x:v>
      </x:c>
      <x:c r="U780" s="13" t="str"/>
      <x:c r="V780" s="13" t="str"/>
      <x:c r="W780" s="13" t="str"/>
      <x:c r="X780" s="13" t="str">
        <x:f>IF(L780&lt;&gt;"COVERED","HELD — COVERAGE",IF(N780="YES — SENSITIVE","C ACTIONABLE","CHAPTER 5 DEFAULT"))</x:f>
        <x:v>HELD — COVERAGE</x:v>
      </x:c>
      <x:c r="Y780" s="13" t="str">
        <x:f>IF(L780&lt;&gt;"COVERED","HELD — COVERAGE",IF(P780="YES — MANAGED ACCESS","D ACTIONABLE","NO D FIELD"))</x:f>
        <x:v>HELD — COVERAGE</x:v>
      </x:c>
      <x:c r="Z780" s="13" t="str">
        <x:f>IF(L780&lt;&gt;"COVERED","HELD — COVERAGE",IF(OR(R780="PAIRED SYNCHRONIZED",R780="TRILATERAL SYNCHRONIZED"),"E ACTIONABLE","INDEPENDENT"))</x:f>
        <x:v>HELD — COVERAGE</x:v>
      </x:c>
      <x:c r="AA780" s="13" t="str">
        <x:f>IF(L780&lt;&gt;"COVERED","HELD — COVERAGE","WAIT FOR UPSTREAM COMPLETION")</x:f>
        <x:v>HELD — COVERAGE</x:v>
      </x:c>
      <x:c r="AB780" s="13" t="str">
        <x:f>IF(L780&lt;&gt;"COVERED","HELD — COVERAGE",IF(T780="UNRESOLVED","G DECISION REQUIRED",IF(T780="NOT APPLICABLE","G N/A","G ACTIONABLE")))</x:f>
        <x:v>HELD — COVERAGE</x:v>
      </x:c>
      <x:c r="AC780" s="13" t="str">
        <x:f>IF(L780="UNRESOLVED","COVERAGE FIRST",IF(OR(L780="EXCLUDED",L780="OUT OF SCOPE"),"CLOSED BY COVERAGE",IF(AND(L780="COVERED",T780&lt;&gt;"UNRESOLVED"),"PARTIALLY ADOPTED","DECISIONS REMAIN")))</x:f>
        <x:v>COVERAGE FIRST</x:v>
      </x:c>
    </x:row>
    <x:row r="781">
      <x:c r="A781" s="13" t="str">
        <x:v>NAAFTC-HS6-160558</x:v>
      </x:c>
      <x:c r="B781" s="13" t="str">
        <x:v>160558</x:v>
      </x:c>
      <x:c r="C781" s="13" t="str">
        <x:v>16</x:v>
      </x:c>
      <x:c r="D781" s="13" t="str">
        <x:v>TRILATERAL_SPLIT_MERGE</x:v>
      </x:c>
      <x:c r="E781" s="13" t="str">
        <x:v>Pending</x:v>
      </x:c>
      <x:c r="F781" s="13" t="n">
        <x:v>2</x:v>
      </x:c>
      <x:c r="G781" s="13" t="n">
        <x:v>1</x:v>
      </x:c>
      <x:c r="H781" s="13" t="n">
        <x:v>1</x:v>
      </x:c>
      <x:c r="I781" s="13" t="str">
        <x:v>1605580500; 1605585500</x:v>
      </x:c>
      <x:c r="J781" s="13" t="str">
        <x:v>1605580100</x:v>
      </x:c>
      <x:c r="K781" s="13" t="str">
        <x:v>1605580000</x:v>
      </x:c>
      <x:c r="L781" s="13" t="str">
        <x:v>UNRESOLVED</x:v>
      </x:c>
      <x:c r="M781" s="13" t="str"/>
      <x:c r="N781" s="13" t="str">
        <x:v>NO / DEFAULT</x:v>
      </x:c>
      <x:c r="O781" s="13" t="str"/>
      <x:c r="P781" s="13" t="str">
        <x:v>NO / DEFAULT</x:v>
      </x:c>
      <x:c r="Q781" s="13" t="str"/>
      <x:c r="R781" s="13" t="str">
        <x:v>INDEPENDENT / DEFAULT</x:v>
      </x:c>
      <x:c r="S781" s="13" t="str"/>
      <x:c r="T781" s="13" t="str">
        <x:v>UNRESOLVED</x:v>
      </x:c>
      <x:c r="U781" s="13" t="str"/>
      <x:c r="V781" s="13" t="str"/>
      <x:c r="W781" s="13" t="str"/>
      <x:c r="X781" s="13" t="str">
        <x:f>IF(L781&lt;&gt;"COVERED","HELD — COVERAGE",IF(N781="YES — SENSITIVE","C ACTIONABLE","CHAPTER 5 DEFAULT"))</x:f>
        <x:v>HELD — COVERAGE</x:v>
      </x:c>
      <x:c r="Y781" s="13" t="str">
        <x:f>IF(L781&lt;&gt;"COVERED","HELD — COVERAGE",IF(P781="YES — MANAGED ACCESS","D ACTIONABLE","NO D FIELD"))</x:f>
        <x:v>HELD — COVERAGE</x:v>
      </x:c>
      <x:c r="Z781" s="13" t="str">
        <x:f>IF(L781&lt;&gt;"COVERED","HELD — COVERAGE",IF(OR(R781="PAIRED SYNCHRONIZED",R781="TRILATERAL SYNCHRONIZED"),"E ACTIONABLE","INDEPENDENT"))</x:f>
        <x:v>HELD — COVERAGE</x:v>
      </x:c>
      <x:c r="AA781" s="13" t="str">
        <x:f>IF(L781&lt;&gt;"COVERED","HELD — COVERAGE","WAIT FOR UPSTREAM COMPLETION")</x:f>
        <x:v>HELD — COVERAGE</x:v>
      </x:c>
      <x:c r="AB781" s="13" t="str">
        <x:f>IF(L781&lt;&gt;"COVERED","HELD — COVERAGE",IF(T781="UNRESOLVED","G DECISION REQUIRED",IF(T781="NOT APPLICABLE","G N/A","G ACTIONABLE")))</x:f>
        <x:v>HELD — COVERAGE</x:v>
      </x:c>
      <x:c r="AC781" s="13" t="str">
        <x:f>IF(L781="UNRESOLVED","COVERAGE FIRST",IF(OR(L781="EXCLUDED",L781="OUT OF SCOPE"),"CLOSED BY COVERAGE",IF(AND(L781="COVERED",T781&lt;&gt;"UNRESOLVED"),"PARTIALLY ADOPTED","DECISIONS REMAIN")))</x:f>
        <x:v>COVERAGE FIRST</x:v>
      </x:c>
    </x:row>
    <x:row r="782">
      <x:c r="A782" s="13" t="str">
        <x:v>NAAFTC-HS6-160559</x:v>
      </x:c>
      <x:c r="B782" s="13" t="str">
        <x:v>160559</x:v>
      </x:c>
      <x:c r="C782" s="13" t="str">
        <x:v>16</x:v>
      </x:c>
      <x:c r="D782" s="13" t="str">
        <x:v>TRILATERAL_SPLIT_MERGE</x:v>
      </x:c>
      <x:c r="E782" s="13" t="str">
        <x:v>Pending</x:v>
      </x:c>
      <x:c r="F782" s="13" t="n">
        <x:v>2</x:v>
      </x:c>
      <x:c r="G782" s="13" t="n">
        <x:v>1</x:v>
      </x:c>
      <x:c r="H782" s="13" t="n">
        <x:v>2</x:v>
      </x:c>
      <x:c r="I782" s="13" t="str">
        <x:v>1605590500; 1605596000</x:v>
      </x:c>
      <x:c r="J782" s="13" t="str">
        <x:v>1605599900</x:v>
      </x:c>
      <x:c r="K782" s="13" t="str">
        <x:v>1605591000; 1605599000</x:v>
      </x:c>
      <x:c r="L782" s="13" t="str">
        <x:v>UNRESOLVED</x:v>
      </x:c>
      <x:c r="M782" s="13" t="str"/>
      <x:c r="N782" s="13" t="str">
        <x:v>NO / DEFAULT</x:v>
      </x:c>
      <x:c r="O782" s="13" t="str"/>
      <x:c r="P782" s="13" t="str">
        <x:v>NO / DEFAULT</x:v>
      </x:c>
      <x:c r="Q782" s="13" t="str"/>
      <x:c r="R782" s="13" t="str">
        <x:v>INDEPENDENT / DEFAULT</x:v>
      </x:c>
      <x:c r="S782" s="13" t="str"/>
      <x:c r="T782" s="13" t="str">
        <x:v>UNRESOLVED</x:v>
      </x:c>
      <x:c r="U782" s="13" t="str"/>
      <x:c r="V782" s="13" t="str"/>
      <x:c r="W782" s="13" t="str"/>
      <x:c r="X782" s="13" t="str">
        <x:f>IF(L782&lt;&gt;"COVERED","HELD — COVERAGE",IF(N782="YES — SENSITIVE","C ACTIONABLE","CHAPTER 5 DEFAULT"))</x:f>
        <x:v>HELD — COVERAGE</x:v>
      </x:c>
      <x:c r="Y782" s="13" t="str">
        <x:f>IF(L782&lt;&gt;"COVERED","HELD — COVERAGE",IF(P782="YES — MANAGED ACCESS","D ACTIONABLE","NO D FIELD"))</x:f>
        <x:v>HELD — COVERAGE</x:v>
      </x:c>
      <x:c r="Z782" s="13" t="str">
        <x:f>IF(L782&lt;&gt;"COVERED","HELD — COVERAGE",IF(OR(R782="PAIRED SYNCHRONIZED",R782="TRILATERAL SYNCHRONIZED"),"E ACTIONABLE","INDEPENDENT"))</x:f>
        <x:v>HELD — COVERAGE</x:v>
      </x:c>
      <x:c r="AA782" s="13" t="str">
        <x:f>IF(L782&lt;&gt;"COVERED","HELD — COVERAGE","WAIT FOR UPSTREAM COMPLETION")</x:f>
        <x:v>HELD — COVERAGE</x:v>
      </x:c>
      <x:c r="AB782" s="13" t="str">
        <x:f>IF(L782&lt;&gt;"COVERED","HELD — COVERAGE",IF(T782="UNRESOLVED","G DECISION REQUIRED",IF(T782="NOT APPLICABLE","G N/A","G ACTIONABLE")))</x:f>
        <x:v>HELD — COVERAGE</x:v>
      </x:c>
      <x:c r="AC782" s="13" t="str">
        <x:f>IF(L782="UNRESOLVED","COVERAGE FIRST",IF(OR(L782="EXCLUDED",L782="OUT OF SCOPE"),"CLOSED BY COVERAGE",IF(AND(L782="COVERED",T782&lt;&gt;"UNRESOLVED"),"PARTIALLY ADOPTED","DECISIONS REMAIN")))</x:f>
        <x:v>COVERAGE FIRST</x:v>
      </x:c>
    </x:row>
    <x:row r="783">
      <x:c r="A783" s="13" t="str">
        <x:v>NAAFTC-HS6-160561</x:v>
      </x:c>
      <x:c r="B783" s="13" t="str">
        <x:v>160561</x:v>
      </x:c>
      <x:c r="C783" s="13" t="str">
        <x:v>16</x:v>
      </x:c>
      <x:c r="D783" s="13" t="str">
        <x:v>TRILATERAL_1_TO_1_TO_1</x:v>
      </x:c>
      <x:c r="E783" s="13" t="str">
        <x:v>Pending</x:v>
      </x:c>
      <x:c r="F783" s="13" t="n">
        <x:v>1</x:v>
      </x:c>
      <x:c r="G783" s="13" t="n">
        <x:v>1</x:v>
      </x:c>
      <x:c r="H783" s="13" t="n">
        <x:v>1</x:v>
      </x:c>
      <x:c r="I783" s="13" t="str">
        <x:v>1605610000</x:v>
      </x:c>
      <x:c r="J783" s="13" t="str">
        <x:v>1605610100</x:v>
      </x:c>
      <x:c r="K783" s="13" t="str">
        <x:v>1605610000</x:v>
      </x:c>
      <x:c r="L783" s="13" t="str">
        <x:v>UNRESOLVED</x:v>
      </x:c>
      <x:c r="M783" s="13" t="str"/>
      <x:c r="N783" s="13" t="str">
        <x:v>NO / DEFAULT</x:v>
      </x:c>
      <x:c r="O783" s="13" t="str"/>
      <x:c r="P783" s="13" t="str">
        <x:v>NO / DEFAULT</x:v>
      </x:c>
      <x:c r="Q783" s="13" t="str"/>
      <x:c r="R783" s="13" t="str">
        <x:v>INDEPENDENT / DEFAULT</x:v>
      </x:c>
      <x:c r="S783" s="13" t="str"/>
      <x:c r="T783" s="13" t="str">
        <x:v>UNRESOLVED</x:v>
      </x:c>
      <x:c r="U783" s="13" t="str"/>
      <x:c r="V783" s="13" t="str"/>
      <x:c r="W783" s="13" t="str"/>
      <x:c r="X783" s="13" t="str">
        <x:f>IF(L783&lt;&gt;"COVERED","HELD — COVERAGE",IF(N783="YES — SENSITIVE","C ACTIONABLE","CHAPTER 5 DEFAULT"))</x:f>
        <x:v>HELD — COVERAGE</x:v>
      </x:c>
      <x:c r="Y783" s="13" t="str">
        <x:f>IF(L783&lt;&gt;"COVERED","HELD — COVERAGE",IF(P783="YES — MANAGED ACCESS","D ACTIONABLE","NO D FIELD"))</x:f>
        <x:v>HELD — COVERAGE</x:v>
      </x:c>
      <x:c r="Z783" s="13" t="str">
        <x:f>IF(L783&lt;&gt;"COVERED","HELD — COVERAGE",IF(OR(R783="PAIRED SYNCHRONIZED",R783="TRILATERAL SYNCHRONIZED"),"E ACTIONABLE","INDEPENDENT"))</x:f>
        <x:v>HELD — COVERAGE</x:v>
      </x:c>
      <x:c r="AA783" s="13" t="str">
        <x:f>IF(L783&lt;&gt;"COVERED","HELD — COVERAGE","WAIT FOR UPSTREAM COMPLETION")</x:f>
        <x:v>HELD — COVERAGE</x:v>
      </x:c>
      <x:c r="AB783" s="13" t="str">
        <x:f>IF(L783&lt;&gt;"COVERED","HELD — COVERAGE",IF(T783="UNRESOLVED","G DECISION REQUIRED",IF(T783="NOT APPLICABLE","G N/A","G ACTIONABLE")))</x:f>
        <x:v>HELD — COVERAGE</x:v>
      </x:c>
      <x:c r="AC783" s="13" t="str">
        <x:f>IF(L783="UNRESOLVED","COVERAGE FIRST",IF(OR(L783="EXCLUDED",L783="OUT OF SCOPE"),"CLOSED BY COVERAGE",IF(AND(L783="COVERED",T783&lt;&gt;"UNRESOLVED"),"PARTIALLY ADOPTED","DECISIONS REMAIN")))</x:f>
        <x:v>COVERAGE FIRST</x:v>
      </x:c>
    </x:row>
    <x:row r="784">
      <x:c r="A784" s="13" t="str">
        <x:v>NAAFTC-HS6-160562</x:v>
      </x:c>
      <x:c r="B784" s="13" t="str">
        <x:v>160562</x:v>
      </x:c>
      <x:c r="C784" s="13" t="str">
        <x:v>16</x:v>
      </x:c>
      <x:c r="D784" s="13" t="str">
        <x:v>TRILATERAL_1_TO_1_TO_1</x:v>
      </x:c>
      <x:c r="E784" s="13" t="str">
        <x:v>Pending</x:v>
      </x:c>
      <x:c r="F784" s="13" t="n">
        <x:v>1</x:v>
      </x:c>
      <x:c r="G784" s="13" t="n">
        <x:v>1</x:v>
      </x:c>
      <x:c r="H784" s="13" t="n">
        <x:v>1</x:v>
      </x:c>
      <x:c r="I784" s="13" t="str">
        <x:v>1605620000</x:v>
      </x:c>
      <x:c r="J784" s="13" t="str">
        <x:v>1605620100</x:v>
      </x:c>
      <x:c r="K784" s="13" t="str">
        <x:v>1605620000</x:v>
      </x:c>
      <x:c r="L784" s="13" t="str">
        <x:v>UNRESOLVED</x:v>
      </x:c>
      <x:c r="M784" s="13" t="str"/>
      <x:c r="N784" s="13" t="str">
        <x:v>NO / DEFAULT</x:v>
      </x:c>
      <x:c r="O784" s="13" t="str"/>
      <x:c r="P784" s="13" t="str">
        <x:v>NO / DEFAULT</x:v>
      </x:c>
      <x:c r="Q784" s="13" t="str"/>
      <x:c r="R784" s="13" t="str">
        <x:v>INDEPENDENT / DEFAULT</x:v>
      </x:c>
      <x:c r="S784" s="13" t="str"/>
      <x:c r="T784" s="13" t="str">
        <x:v>UNRESOLVED</x:v>
      </x:c>
      <x:c r="U784" s="13" t="str"/>
      <x:c r="V784" s="13" t="str"/>
      <x:c r="W784" s="13" t="str"/>
      <x:c r="X784" s="13" t="str">
        <x:f>IF(L784&lt;&gt;"COVERED","HELD — COVERAGE",IF(N784="YES — SENSITIVE","C ACTIONABLE","CHAPTER 5 DEFAULT"))</x:f>
        <x:v>HELD — COVERAGE</x:v>
      </x:c>
      <x:c r="Y784" s="13" t="str">
        <x:f>IF(L784&lt;&gt;"COVERED","HELD — COVERAGE",IF(P784="YES — MANAGED ACCESS","D ACTIONABLE","NO D FIELD"))</x:f>
        <x:v>HELD — COVERAGE</x:v>
      </x:c>
      <x:c r="Z784" s="13" t="str">
        <x:f>IF(L784&lt;&gt;"COVERED","HELD — COVERAGE",IF(OR(R784="PAIRED SYNCHRONIZED",R784="TRILATERAL SYNCHRONIZED"),"E ACTIONABLE","INDEPENDENT"))</x:f>
        <x:v>HELD — COVERAGE</x:v>
      </x:c>
      <x:c r="AA784" s="13" t="str">
        <x:f>IF(L784&lt;&gt;"COVERED","HELD — COVERAGE","WAIT FOR UPSTREAM COMPLETION")</x:f>
        <x:v>HELD — COVERAGE</x:v>
      </x:c>
      <x:c r="AB784" s="13" t="str">
        <x:f>IF(L784&lt;&gt;"COVERED","HELD — COVERAGE",IF(T784="UNRESOLVED","G DECISION REQUIRED",IF(T784="NOT APPLICABLE","G N/A","G ACTIONABLE")))</x:f>
        <x:v>HELD — COVERAGE</x:v>
      </x:c>
      <x:c r="AC784" s="13" t="str">
        <x:f>IF(L784="UNRESOLVED","COVERAGE FIRST",IF(OR(L784="EXCLUDED",L784="OUT OF SCOPE"),"CLOSED BY COVERAGE",IF(AND(L784="COVERED",T784&lt;&gt;"UNRESOLVED"),"PARTIALLY ADOPTED","DECISIONS REMAIN")))</x:f>
        <x:v>COVERAGE FIRST</x:v>
      </x:c>
    </x:row>
    <x:row r="785">
      <x:c r="A785" s="13" t="str">
        <x:v>NAAFTC-HS6-160563</x:v>
      </x:c>
      <x:c r="B785" s="13" t="str">
        <x:v>160563</x:v>
      </x:c>
      <x:c r="C785" s="13" t="str">
        <x:v>16</x:v>
      </x:c>
      <x:c r="D785" s="13" t="str">
        <x:v>TRILATERAL_1_TO_1_TO_1</x:v>
      </x:c>
      <x:c r="E785" s="13" t="str">
        <x:v>Pending</x:v>
      </x:c>
      <x:c r="F785" s="13" t="n">
        <x:v>1</x:v>
      </x:c>
      <x:c r="G785" s="13" t="n">
        <x:v>1</x:v>
      </x:c>
      <x:c r="H785" s="13" t="n">
        <x:v>1</x:v>
      </x:c>
      <x:c r="I785" s="13" t="str">
        <x:v>1605630000</x:v>
      </x:c>
      <x:c r="J785" s="13" t="str">
        <x:v>1605630100</x:v>
      </x:c>
      <x:c r="K785" s="13" t="str">
        <x:v>1605630000</x:v>
      </x:c>
      <x:c r="L785" s="13" t="str">
        <x:v>UNRESOLVED</x:v>
      </x:c>
      <x:c r="M785" s="13" t="str"/>
      <x:c r="N785" s="13" t="str">
        <x:v>NO / DEFAULT</x:v>
      </x:c>
      <x:c r="O785" s="13" t="str"/>
      <x:c r="P785" s="13" t="str">
        <x:v>NO / DEFAULT</x:v>
      </x:c>
      <x:c r="Q785" s="13" t="str"/>
      <x:c r="R785" s="13" t="str">
        <x:v>INDEPENDENT / DEFAULT</x:v>
      </x:c>
      <x:c r="S785" s="13" t="str"/>
      <x:c r="T785" s="13" t="str">
        <x:v>UNRESOLVED</x:v>
      </x:c>
      <x:c r="U785" s="13" t="str"/>
      <x:c r="V785" s="13" t="str"/>
      <x:c r="W785" s="13" t="str"/>
      <x:c r="X785" s="13" t="str">
        <x:f>IF(L785&lt;&gt;"COVERED","HELD — COVERAGE",IF(N785="YES — SENSITIVE","C ACTIONABLE","CHAPTER 5 DEFAULT"))</x:f>
        <x:v>HELD — COVERAGE</x:v>
      </x:c>
      <x:c r="Y785" s="13" t="str">
        <x:f>IF(L785&lt;&gt;"COVERED","HELD — COVERAGE",IF(P785="YES — MANAGED ACCESS","D ACTIONABLE","NO D FIELD"))</x:f>
        <x:v>HELD — COVERAGE</x:v>
      </x:c>
      <x:c r="Z785" s="13" t="str">
        <x:f>IF(L785&lt;&gt;"COVERED","HELD — COVERAGE",IF(OR(R785="PAIRED SYNCHRONIZED",R785="TRILATERAL SYNCHRONIZED"),"E ACTIONABLE","INDEPENDENT"))</x:f>
        <x:v>HELD — COVERAGE</x:v>
      </x:c>
      <x:c r="AA785" s="13" t="str">
        <x:f>IF(L785&lt;&gt;"COVERED","HELD — COVERAGE","WAIT FOR UPSTREAM COMPLETION")</x:f>
        <x:v>HELD — COVERAGE</x:v>
      </x:c>
      <x:c r="AB785" s="13" t="str">
        <x:f>IF(L785&lt;&gt;"COVERED","HELD — COVERAGE",IF(T785="UNRESOLVED","G DECISION REQUIRED",IF(T785="NOT APPLICABLE","G N/A","G ACTIONABLE")))</x:f>
        <x:v>HELD — COVERAGE</x:v>
      </x:c>
      <x:c r="AC785" s="13" t="str">
        <x:f>IF(L785="UNRESOLVED","COVERAGE FIRST",IF(OR(L785="EXCLUDED",L785="OUT OF SCOPE"),"CLOSED BY COVERAGE",IF(AND(L785="COVERED",T785&lt;&gt;"UNRESOLVED"),"PARTIALLY ADOPTED","DECISIONS REMAIN")))</x:f>
        <x:v>COVERAGE FIRST</x:v>
      </x:c>
    </x:row>
    <x:row r="786">
      <x:c r="A786" s="13" t="str">
        <x:v>NAAFTC-HS6-160569</x:v>
      </x:c>
      <x:c r="B786" s="13" t="str">
        <x:v>160569</x:v>
      </x:c>
      <x:c r="C786" s="13" t="str">
        <x:v>16</x:v>
      </x:c>
      <x:c r="D786" s="13" t="str">
        <x:v>TRILATERAL_1_TO_1_TO_1</x:v>
      </x:c>
      <x:c r="E786" s="13" t="str">
        <x:v>Pending</x:v>
      </x:c>
      <x:c r="F786" s="13" t="n">
        <x:v>1</x:v>
      </x:c>
      <x:c r="G786" s="13" t="n">
        <x:v>1</x:v>
      </x:c>
      <x:c r="H786" s="13" t="n">
        <x:v>1</x:v>
      </x:c>
      <x:c r="I786" s="13" t="str">
        <x:v>1605690000</x:v>
      </x:c>
      <x:c r="J786" s="13" t="str">
        <x:v>1605699900</x:v>
      </x:c>
      <x:c r="K786" s="13" t="str">
        <x:v>1605690000</x:v>
      </x:c>
      <x:c r="L786" s="13" t="str">
        <x:v>UNRESOLVED</x:v>
      </x:c>
      <x:c r="M786" s="13" t="str"/>
      <x:c r="N786" s="13" t="str">
        <x:v>NO / DEFAULT</x:v>
      </x:c>
      <x:c r="O786" s="13" t="str"/>
      <x:c r="P786" s="13" t="str">
        <x:v>NO / DEFAULT</x:v>
      </x:c>
      <x:c r="Q786" s="13" t="str"/>
      <x:c r="R786" s="13" t="str">
        <x:v>INDEPENDENT / DEFAULT</x:v>
      </x:c>
      <x:c r="S786" s="13" t="str"/>
      <x:c r="T786" s="13" t="str">
        <x:v>UNRESOLVED</x:v>
      </x:c>
      <x:c r="U786" s="13" t="str"/>
      <x:c r="V786" s="13" t="str"/>
      <x:c r="W786" s="13" t="str"/>
      <x:c r="X786" s="13" t="str">
        <x:f>IF(L786&lt;&gt;"COVERED","HELD — COVERAGE",IF(N786="YES — SENSITIVE","C ACTIONABLE","CHAPTER 5 DEFAULT"))</x:f>
        <x:v>HELD — COVERAGE</x:v>
      </x:c>
      <x:c r="Y786" s="13" t="str">
        <x:f>IF(L786&lt;&gt;"COVERED","HELD — COVERAGE",IF(P786="YES — MANAGED ACCESS","D ACTIONABLE","NO D FIELD"))</x:f>
        <x:v>HELD — COVERAGE</x:v>
      </x:c>
      <x:c r="Z786" s="13" t="str">
        <x:f>IF(L786&lt;&gt;"COVERED","HELD — COVERAGE",IF(OR(R786="PAIRED SYNCHRONIZED",R786="TRILATERAL SYNCHRONIZED"),"E ACTIONABLE","INDEPENDENT"))</x:f>
        <x:v>HELD — COVERAGE</x:v>
      </x:c>
      <x:c r="AA786" s="13" t="str">
        <x:f>IF(L786&lt;&gt;"COVERED","HELD — COVERAGE","WAIT FOR UPSTREAM COMPLETION")</x:f>
        <x:v>HELD — COVERAGE</x:v>
      </x:c>
      <x:c r="AB786" s="13" t="str">
        <x:f>IF(L786&lt;&gt;"COVERED","HELD — COVERAGE",IF(T786="UNRESOLVED","G DECISION REQUIRED",IF(T786="NOT APPLICABLE","G N/A","G ACTIONABLE")))</x:f>
        <x:v>HELD — COVERAGE</x:v>
      </x:c>
      <x:c r="AC786" s="13" t="str">
        <x:f>IF(L786="UNRESOLVED","COVERAGE FIRST",IF(OR(L786="EXCLUDED",L786="OUT OF SCOPE"),"CLOSED BY COVERAGE",IF(AND(L786="COVERED",T786&lt;&gt;"UNRESOLVED"),"PARTIALLY ADOPTED","DECISIONS REMAIN")))</x:f>
        <x:v>COVERAGE FIRST</x:v>
      </x:c>
    </x:row>
    <x:row r="787">
      <x:c r="A787" s="13" t="str">
        <x:v>NAAFTC-HS6-170112</x:v>
      </x:c>
      <x:c r="B787" s="13" t="str">
        <x:v>170112</x:v>
      </x:c>
      <x:c r="C787" s="13" t="str">
        <x:v>17</x:v>
      </x:c>
      <x:c r="D787" s="13" t="str">
        <x:v>TRILATERAL_SPLIT_MERGE</x:v>
      </x:c>
      <x:c r="E787" s="13" t="str">
        <x:v>Pending</x:v>
      </x:c>
      <x:c r="F787" s="13" t="n">
        <x:v>3</x:v>
      </x:c>
      <x:c r="G787" s="13" t="n">
        <x:v>2</x:v>
      </x:c>
      <x:c r="H787" s="13" t="n">
        <x:v>2</x:v>
      </x:c>
      <x:c r="I787" s="13" t="str">
        <x:v>1701120500; 1701121000; 1701125000</x:v>
      </x:c>
      <x:c r="J787" s="13" t="str">
        <x:v>1701120501; 1701120502</x:v>
      </x:c>
      <x:c r="K787" s="13" t="str">
        <x:v>1701121000; 1701129000</x:v>
      </x:c>
      <x:c r="L787" s="13" t="str">
        <x:v>UNRESOLVED</x:v>
      </x:c>
      <x:c r="M787" s="13" t="str"/>
      <x:c r="N787" s="13" t="str">
        <x:v>NO / DEFAULT</x:v>
      </x:c>
      <x:c r="O787" s="13" t="str"/>
      <x:c r="P787" s="13" t="str">
        <x:v>NO / DEFAULT</x:v>
      </x:c>
      <x:c r="Q787" s="13" t="str"/>
      <x:c r="R787" s="13" t="str">
        <x:v>INDEPENDENT / DEFAULT</x:v>
      </x:c>
      <x:c r="S787" s="13" t="str"/>
      <x:c r="T787" s="13" t="str">
        <x:v>UNRESOLVED</x:v>
      </x:c>
      <x:c r="U787" s="13" t="str"/>
      <x:c r="V787" s="13" t="str"/>
      <x:c r="W787" s="13" t="str"/>
      <x:c r="X787" s="13" t="str">
        <x:f>IF(L787&lt;&gt;"COVERED","HELD — COVERAGE",IF(N787="YES — SENSITIVE","C ACTIONABLE","CHAPTER 5 DEFAULT"))</x:f>
        <x:v>HELD — COVERAGE</x:v>
      </x:c>
      <x:c r="Y787" s="13" t="str">
        <x:f>IF(L787&lt;&gt;"COVERED","HELD — COVERAGE",IF(P787="YES — MANAGED ACCESS","D ACTIONABLE","NO D FIELD"))</x:f>
        <x:v>HELD — COVERAGE</x:v>
      </x:c>
      <x:c r="Z787" s="13" t="str">
        <x:f>IF(L787&lt;&gt;"COVERED","HELD — COVERAGE",IF(OR(R787="PAIRED SYNCHRONIZED",R787="TRILATERAL SYNCHRONIZED"),"E ACTIONABLE","INDEPENDENT"))</x:f>
        <x:v>HELD — COVERAGE</x:v>
      </x:c>
      <x:c r="AA787" s="13" t="str">
        <x:f>IF(L787&lt;&gt;"COVERED","HELD — COVERAGE","WAIT FOR UPSTREAM COMPLETION")</x:f>
        <x:v>HELD — COVERAGE</x:v>
      </x:c>
      <x:c r="AB787" s="13" t="str">
        <x:f>IF(L787&lt;&gt;"COVERED","HELD — COVERAGE",IF(T787="UNRESOLVED","G DECISION REQUIRED",IF(T787="NOT APPLICABLE","G N/A","G ACTIONABLE")))</x:f>
        <x:v>HELD — COVERAGE</x:v>
      </x:c>
      <x:c r="AC787" s="13" t="str">
        <x:f>IF(L787="UNRESOLVED","COVERAGE FIRST",IF(OR(L787="EXCLUDED",L787="OUT OF SCOPE"),"CLOSED BY COVERAGE",IF(AND(L787="COVERED",T787&lt;&gt;"UNRESOLVED"),"PARTIALLY ADOPTED","DECISIONS REMAIN")))</x:f>
        <x:v>COVERAGE FIRST</x:v>
      </x:c>
    </x:row>
    <x:row r="788">
      <x:c r="A788" s="13" t="str">
        <x:v>NAAFTC-HS6-170113</x:v>
      </x:c>
      <x:c r="B788" s="13" t="str">
        <x:v>170113</x:v>
      </x:c>
      <x:c r="C788" s="13" t="str">
        <x:v>17</x:v>
      </x:c>
      <x:c r="D788" s="13" t="str">
        <x:v>TRILATERAL_SPLIT_MERGE</x:v>
      </x:c>
      <x:c r="E788" s="13" t="str">
        <x:v>Pending</x:v>
      </x:c>
      <x:c r="F788" s="13" t="n">
        <x:v>4</x:v>
      </x:c>
      <x:c r="G788" s="13" t="n">
        <x:v>1</x:v>
      </x:c>
      <x:c r="H788" s="13" t="n">
        <x:v>2</x:v>
      </x:c>
      <x:c r="I788" s="13" t="str">
        <x:v>1701130500; 1701131000; 1701132000; 1701135000</x:v>
      </x:c>
      <x:c r="J788" s="13" t="str">
        <x:v>1701130100</x:v>
      </x:c>
      <x:c r="K788" s="13" t="str">
        <x:v>1701131000; 1701139000</x:v>
      </x:c>
      <x:c r="L788" s="13" t="str">
        <x:v>UNRESOLVED</x:v>
      </x:c>
      <x:c r="M788" s="13" t="str"/>
      <x:c r="N788" s="13" t="str">
        <x:v>NO / DEFAULT</x:v>
      </x:c>
      <x:c r="O788" s="13" t="str"/>
      <x:c r="P788" s="13" t="str">
        <x:v>NO / DEFAULT</x:v>
      </x:c>
      <x:c r="Q788" s="13" t="str"/>
      <x:c r="R788" s="13" t="str">
        <x:v>INDEPENDENT / DEFAULT</x:v>
      </x:c>
      <x:c r="S788" s="13" t="str"/>
      <x:c r="T788" s="13" t="str">
        <x:v>UNRESOLVED</x:v>
      </x:c>
      <x:c r="U788" s="13" t="str"/>
      <x:c r="V788" s="13" t="str"/>
      <x:c r="W788" s="13" t="str"/>
      <x:c r="X788" s="13" t="str">
        <x:f>IF(L788&lt;&gt;"COVERED","HELD — COVERAGE",IF(N788="YES — SENSITIVE","C ACTIONABLE","CHAPTER 5 DEFAULT"))</x:f>
        <x:v>HELD — COVERAGE</x:v>
      </x:c>
      <x:c r="Y788" s="13" t="str">
        <x:f>IF(L788&lt;&gt;"COVERED","HELD — COVERAGE",IF(P788="YES — MANAGED ACCESS","D ACTIONABLE","NO D FIELD"))</x:f>
        <x:v>HELD — COVERAGE</x:v>
      </x:c>
      <x:c r="Z788" s="13" t="str">
        <x:f>IF(L788&lt;&gt;"COVERED","HELD — COVERAGE",IF(OR(R788="PAIRED SYNCHRONIZED",R788="TRILATERAL SYNCHRONIZED"),"E ACTIONABLE","INDEPENDENT"))</x:f>
        <x:v>HELD — COVERAGE</x:v>
      </x:c>
      <x:c r="AA788" s="13" t="str">
        <x:f>IF(L788&lt;&gt;"COVERED","HELD — COVERAGE","WAIT FOR UPSTREAM COMPLETION")</x:f>
        <x:v>HELD — COVERAGE</x:v>
      </x:c>
      <x:c r="AB788" s="13" t="str">
        <x:f>IF(L788&lt;&gt;"COVERED","HELD — COVERAGE",IF(T788="UNRESOLVED","G DECISION REQUIRED",IF(T788="NOT APPLICABLE","G N/A","G ACTIONABLE")))</x:f>
        <x:v>HELD — COVERAGE</x:v>
      </x:c>
      <x:c r="AC788" s="13" t="str">
        <x:f>IF(L788="UNRESOLVED","COVERAGE FIRST",IF(OR(L788="EXCLUDED",L788="OUT OF SCOPE"),"CLOSED BY COVERAGE",IF(AND(L788="COVERED",T788&lt;&gt;"UNRESOLVED"),"PARTIALLY ADOPTED","DECISIONS REMAIN")))</x:f>
        <x:v>COVERAGE FIRST</x:v>
      </x:c>
    </x:row>
    <x:row r="789">
      <x:c r="A789" s="13" t="str">
        <x:v>NAAFTC-HS6-170114</x:v>
      </x:c>
      <x:c r="B789" s="13" t="str">
        <x:v>170114</x:v>
      </x:c>
      <x:c r="C789" s="13" t="str">
        <x:v>17</x:v>
      </x:c>
      <x:c r="D789" s="13" t="str">
        <x:v>TRILATERAL_SPLIT_MERGE</x:v>
      </x:c>
      <x:c r="E789" s="13" t="str">
        <x:v>Pending</x:v>
      </x:c>
      <x:c r="F789" s="13" t="n">
        <x:v>5</x:v>
      </x:c>
      <x:c r="G789" s="13" t="n">
        <x:v>2</x:v>
      </x:c>
      <x:c r="H789" s="13" t="n">
        <x:v>1</x:v>
      </x:c>
      <x:c r="I789" s="13" t="str">
        <x:v>1701140500; 1701141020; 1701141040; 1701142000; 1701145000</x:v>
      </x:c>
      <x:c r="J789" s="13" t="str">
        <x:v>1701149101; 1701149102</x:v>
      </x:c>
      <x:c r="K789" s="13" t="str">
        <x:v>1701140000</x:v>
      </x:c>
      <x:c r="L789" s="13" t="str">
        <x:v>UNRESOLVED</x:v>
      </x:c>
      <x:c r="M789" s="13" t="str"/>
      <x:c r="N789" s="13" t="str">
        <x:v>NO / DEFAULT</x:v>
      </x:c>
      <x:c r="O789" s="13" t="str"/>
      <x:c r="P789" s="13" t="str">
        <x:v>NO / DEFAULT</x:v>
      </x:c>
      <x:c r="Q789" s="13" t="str"/>
      <x:c r="R789" s="13" t="str">
        <x:v>INDEPENDENT / DEFAULT</x:v>
      </x:c>
      <x:c r="S789" s="13" t="str"/>
      <x:c r="T789" s="13" t="str">
        <x:v>UNRESOLVED</x:v>
      </x:c>
      <x:c r="U789" s="13" t="str"/>
      <x:c r="V789" s="13" t="str"/>
      <x:c r="W789" s="13" t="str"/>
      <x:c r="X789" s="13" t="str">
        <x:f>IF(L789&lt;&gt;"COVERED","HELD — COVERAGE",IF(N789="YES — SENSITIVE","C ACTIONABLE","CHAPTER 5 DEFAULT"))</x:f>
        <x:v>HELD — COVERAGE</x:v>
      </x:c>
      <x:c r="Y789" s="13" t="str">
        <x:f>IF(L789&lt;&gt;"COVERED","HELD — COVERAGE",IF(P789="YES — MANAGED ACCESS","D ACTIONABLE","NO D FIELD"))</x:f>
        <x:v>HELD — COVERAGE</x:v>
      </x:c>
      <x:c r="Z789" s="13" t="str">
        <x:f>IF(L789&lt;&gt;"COVERED","HELD — COVERAGE",IF(OR(R789="PAIRED SYNCHRONIZED",R789="TRILATERAL SYNCHRONIZED"),"E ACTIONABLE","INDEPENDENT"))</x:f>
        <x:v>HELD — COVERAGE</x:v>
      </x:c>
      <x:c r="AA789" s="13" t="str">
        <x:f>IF(L789&lt;&gt;"COVERED","HELD — COVERAGE","WAIT FOR UPSTREAM COMPLETION")</x:f>
        <x:v>HELD — COVERAGE</x:v>
      </x:c>
      <x:c r="AB789" s="13" t="str">
        <x:f>IF(L789&lt;&gt;"COVERED","HELD — COVERAGE",IF(T789="UNRESOLVED","G DECISION REQUIRED",IF(T789="NOT APPLICABLE","G N/A","G ACTIONABLE")))</x:f>
        <x:v>HELD — COVERAGE</x:v>
      </x:c>
      <x:c r="AC789" s="13" t="str">
        <x:f>IF(L789="UNRESOLVED","COVERAGE FIRST",IF(OR(L789="EXCLUDED",L789="OUT OF SCOPE"),"CLOSED BY COVERAGE",IF(AND(L789="COVERED",T789&lt;&gt;"UNRESOLVED"),"PARTIALLY ADOPTED","DECISIONS REMAIN")))</x:f>
        <x:v>COVERAGE FIRST</x:v>
      </x:c>
    </x:row>
    <x:row r="790">
      <x:c r="A790" s="13" t="str">
        <x:v>NAAFTC-HS6-170191</x:v>
      </x:c>
      <x:c r="B790" s="13" t="str">
        <x:v>170191</x:v>
      </x:c>
      <x:c r="C790" s="13" t="str">
        <x:v>17</x:v>
      </x:c>
      <x:c r="D790" s="13" t="str">
        <x:v>TRILATERAL_SPLIT_MERGE</x:v>
      </x:c>
      <x:c r="E790" s="13" t="str">
        <x:v>Pending</x:v>
      </x:c>
      <x:c r="F790" s="13" t="n">
        <x:v>10</x:v>
      </x:c>
      <x:c r="G790" s="13" t="n">
        <x:v>2</x:v>
      </x:c>
      <x:c r="H790" s="13" t="n">
        <x:v>2</x:v>
      </x:c>
      <x:c r="I790" s="13" t="str">
        <x:v>1701910500; 1701911000; 1701913000; 1701914200; 1701914400; 1701914800; +4 more</x:v>
      </x:c>
      <x:c r="J790" s="13" t="str">
        <x:v>1701910401; 1701910402</x:v>
      </x:c>
      <x:c r="K790" s="13" t="str">
        <x:v>1701911000; 17019190</x:v>
      </x:c>
      <x:c r="L790" s="13" t="str">
        <x:v>UNRESOLVED</x:v>
      </x:c>
      <x:c r="M790" s="13" t="str"/>
      <x:c r="N790" s="13" t="str">
        <x:v>NO / DEFAULT</x:v>
      </x:c>
      <x:c r="O790" s="13" t="str"/>
      <x:c r="P790" s="13" t="str">
        <x:v>NO / DEFAULT</x:v>
      </x:c>
      <x:c r="Q790" s="13" t="str"/>
      <x:c r="R790" s="13" t="str">
        <x:v>INDEPENDENT / DEFAULT</x:v>
      </x:c>
      <x:c r="S790" s="13" t="str"/>
      <x:c r="T790" s="13" t="str">
        <x:v>UNRESOLVED</x:v>
      </x:c>
      <x:c r="U790" s="13" t="str"/>
      <x:c r="V790" s="13" t="str"/>
      <x:c r="W790" s="13" t="str"/>
      <x:c r="X790" s="13" t="str">
        <x:f>IF(L790&lt;&gt;"COVERED","HELD — COVERAGE",IF(N790="YES — SENSITIVE","C ACTIONABLE","CHAPTER 5 DEFAULT"))</x:f>
        <x:v>HELD — COVERAGE</x:v>
      </x:c>
      <x:c r="Y790" s="13" t="str">
        <x:f>IF(L790&lt;&gt;"COVERED","HELD — COVERAGE",IF(P790="YES — MANAGED ACCESS","D ACTIONABLE","NO D FIELD"))</x:f>
        <x:v>HELD — COVERAGE</x:v>
      </x:c>
      <x:c r="Z790" s="13" t="str">
        <x:f>IF(L790&lt;&gt;"COVERED","HELD — COVERAGE",IF(OR(R790="PAIRED SYNCHRONIZED",R790="TRILATERAL SYNCHRONIZED"),"E ACTIONABLE","INDEPENDENT"))</x:f>
        <x:v>HELD — COVERAGE</x:v>
      </x:c>
      <x:c r="AA790" s="13" t="str">
        <x:f>IF(L790&lt;&gt;"COVERED","HELD — COVERAGE","WAIT FOR UPSTREAM COMPLETION")</x:f>
        <x:v>HELD — COVERAGE</x:v>
      </x:c>
      <x:c r="AB790" s="13" t="str">
        <x:f>IF(L790&lt;&gt;"COVERED","HELD — COVERAGE",IF(T790="UNRESOLVED","G DECISION REQUIRED",IF(T790="NOT APPLICABLE","G N/A","G ACTIONABLE")))</x:f>
        <x:v>HELD — COVERAGE</x:v>
      </x:c>
      <x:c r="AC790" s="13" t="str">
        <x:f>IF(L790="UNRESOLVED","COVERAGE FIRST",IF(OR(L790="EXCLUDED",L790="OUT OF SCOPE"),"CLOSED BY COVERAGE",IF(AND(L790="COVERED",T790&lt;&gt;"UNRESOLVED"),"PARTIALLY ADOPTED","DECISIONS REMAIN")))</x:f>
        <x:v>COVERAGE FIRST</x:v>
      </x:c>
    </x:row>
    <x:row r="791">
      <x:c r="A791" s="13" t="str">
        <x:v>NAAFTC-HS6-170199</x:v>
      </x:c>
      <x:c r="B791" s="13" t="str">
        <x:v>170199</x:v>
      </x:c>
      <x:c r="C791" s="13" t="str">
        <x:v>17</x:v>
      </x:c>
      <x:c r="D791" s="13" t="str">
        <x:v>TRILATERAL_SPLIT_MERGE</x:v>
      </x:c>
      <x:c r="E791" s="13" t="str">
        <x:v>Pending</x:v>
      </x:c>
      <x:c r="F791" s="13" t="n">
        <x:v>9</x:v>
      </x:c>
      <x:c r="G791" s="13" t="n">
        <x:v>3</x:v>
      </x:c>
      <x:c r="H791" s="13" t="n">
        <x:v>2</x:v>
      </x:c>
      <x:c r="I791" s="13" t="str">
        <x:v>1701990500; 1701991015; 1701991017; 1701991025; 1701991050; 1701995015; +3 more</x:v>
      </x:c>
      <x:c r="J791" s="13" t="str">
        <x:v>1701999901; 1701999902; 1701999999</x:v>
      </x:c>
      <x:c r="K791" s="13" t="str">
        <x:v>1701991000; 17019990</x:v>
      </x:c>
      <x:c r="L791" s="13" t="str">
        <x:v>UNRESOLVED</x:v>
      </x:c>
      <x:c r="M791" s="13" t="str"/>
      <x:c r="N791" s="13" t="str">
        <x:v>NO / DEFAULT</x:v>
      </x:c>
      <x:c r="O791" s="13" t="str"/>
      <x:c r="P791" s="13" t="str">
        <x:v>NO / DEFAULT</x:v>
      </x:c>
      <x:c r="Q791" s="13" t="str"/>
      <x:c r="R791" s="13" t="str">
        <x:v>INDEPENDENT / DEFAULT</x:v>
      </x:c>
      <x:c r="S791" s="13" t="str"/>
      <x:c r="T791" s="13" t="str">
        <x:v>UNRESOLVED</x:v>
      </x:c>
      <x:c r="U791" s="13" t="str"/>
      <x:c r="V791" s="13" t="str"/>
      <x:c r="W791" s="13" t="str"/>
      <x:c r="X791" s="13" t="str">
        <x:f>IF(L791&lt;&gt;"COVERED","HELD — COVERAGE",IF(N791="YES — SENSITIVE","C ACTIONABLE","CHAPTER 5 DEFAULT"))</x:f>
        <x:v>HELD — COVERAGE</x:v>
      </x:c>
      <x:c r="Y791" s="13" t="str">
        <x:f>IF(L791&lt;&gt;"COVERED","HELD — COVERAGE",IF(P791="YES — MANAGED ACCESS","D ACTIONABLE","NO D FIELD"))</x:f>
        <x:v>HELD — COVERAGE</x:v>
      </x:c>
      <x:c r="Z791" s="13" t="str">
        <x:f>IF(L791&lt;&gt;"COVERED","HELD — COVERAGE",IF(OR(R791="PAIRED SYNCHRONIZED",R791="TRILATERAL SYNCHRONIZED"),"E ACTIONABLE","INDEPENDENT"))</x:f>
        <x:v>HELD — COVERAGE</x:v>
      </x:c>
      <x:c r="AA791" s="13" t="str">
        <x:f>IF(L791&lt;&gt;"COVERED","HELD — COVERAGE","WAIT FOR UPSTREAM COMPLETION")</x:f>
        <x:v>HELD — COVERAGE</x:v>
      </x:c>
      <x:c r="AB791" s="13" t="str">
        <x:f>IF(L791&lt;&gt;"COVERED","HELD — COVERAGE",IF(T791="UNRESOLVED","G DECISION REQUIRED",IF(T791="NOT APPLICABLE","G N/A","G ACTIONABLE")))</x:f>
        <x:v>HELD — COVERAGE</x:v>
      </x:c>
      <x:c r="AC791" s="13" t="str">
        <x:f>IF(L791="UNRESOLVED","COVERAGE FIRST",IF(OR(L791="EXCLUDED",L791="OUT OF SCOPE"),"CLOSED BY COVERAGE",IF(AND(L791="COVERED",T791&lt;&gt;"UNRESOLVED"),"PARTIALLY ADOPTED","DECISIONS REMAIN")))</x:f>
        <x:v>COVERAGE FIRST</x:v>
      </x:c>
    </x:row>
    <x:row r="792">
      <x:c r="A792" s="13" t="str">
        <x:v>NAAFTC-HS6-170211</x:v>
      </x:c>
      <x:c r="B792" s="13" t="str">
        <x:v>170211</x:v>
      </x:c>
      <x:c r="C792" s="13" t="str">
        <x:v>17</x:v>
      </x:c>
      <x:c r="D792" s="13" t="str">
        <x:v>TRILATERAL_1_TO_1_TO_1</x:v>
      </x:c>
      <x:c r="E792" s="13" t="str">
        <x:v>Pending</x:v>
      </x:c>
      <x:c r="F792" s="13" t="n">
        <x:v>1</x:v>
      </x:c>
      <x:c r="G792" s="13" t="n">
        <x:v>1</x:v>
      </x:c>
      <x:c r="H792" s="13" t="n">
        <x:v>1</x:v>
      </x:c>
      <x:c r="I792" s="13" t="str">
        <x:v>1702110000</x:v>
      </x:c>
      <x:c r="J792" s="13" t="str">
        <x:v>1702110100</x:v>
      </x:c>
      <x:c r="K792" s="13" t="str">
        <x:v>1702110000</x:v>
      </x:c>
      <x:c r="L792" s="13" t="str">
        <x:v>UNRESOLVED</x:v>
      </x:c>
      <x:c r="M792" s="13" t="str"/>
      <x:c r="N792" s="13" t="str">
        <x:v>NO / DEFAULT</x:v>
      </x:c>
      <x:c r="O792" s="13" t="str"/>
      <x:c r="P792" s="13" t="str">
        <x:v>NO / DEFAULT</x:v>
      </x:c>
      <x:c r="Q792" s="13" t="str"/>
      <x:c r="R792" s="13" t="str">
        <x:v>INDEPENDENT / DEFAULT</x:v>
      </x:c>
      <x:c r="S792" s="13" t="str"/>
      <x:c r="T792" s="13" t="str">
        <x:v>UNRESOLVED</x:v>
      </x:c>
      <x:c r="U792" s="13" t="str"/>
      <x:c r="V792" s="13" t="str"/>
      <x:c r="W792" s="13" t="str"/>
      <x:c r="X792" s="13" t="str">
        <x:f>IF(L792&lt;&gt;"COVERED","HELD — COVERAGE",IF(N792="YES — SENSITIVE","C ACTIONABLE","CHAPTER 5 DEFAULT"))</x:f>
        <x:v>HELD — COVERAGE</x:v>
      </x:c>
      <x:c r="Y792" s="13" t="str">
        <x:f>IF(L792&lt;&gt;"COVERED","HELD — COVERAGE",IF(P792="YES — MANAGED ACCESS","D ACTIONABLE","NO D FIELD"))</x:f>
        <x:v>HELD — COVERAGE</x:v>
      </x:c>
      <x:c r="Z792" s="13" t="str">
        <x:f>IF(L792&lt;&gt;"COVERED","HELD — COVERAGE",IF(OR(R792="PAIRED SYNCHRONIZED",R792="TRILATERAL SYNCHRONIZED"),"E ACTIONABLE","INDEPENDENT"))</x:f>
        <x:v>HELD — COVERAGE</x:v>
      </x:c>
      <x:c r="AA792" s="13" t="str">
        <x:f>IF(L792&lt;&gt;"COVERED","HELD — COVERAGE","WAIT FOR UPSTREAM COMPLETION")</x:f>
        <x:v>HELD — COVERAGE</x:v>
      </x:c>
      <x:c r="AB792" s="13" t="str">
        <x:f>IF(L792&lt;&gt;"COVERED","HELD — COVERAGE",IF(T792="UNRESOLVED","G DECISION REQUIRED",IF(T792="NOT APPLICABLE","G N/A","G ACTIONABLE")))</x:f>
        <x:v>HELD — COVERAGE</x:v>
      </x:c>
      <x:c r="AC792" s="13" t="str">
        <x:f>IF(L792="UNRESOLVED","COVERAGE FIRST",IF(OR(L792="EXCLUDED",L792="OUT OF SCOPE"),"CLOSED BY COVERAGE",IF(AND(L792="COVERED",T792&lt;&gt;"UNRESOLVED"),"PARTIALLY ADOPTED","DECISIONS REMAIN")))</x:f>
        <x:v>COVERAGE FIRST</x:v>
      </x:c>
    </x:row>
    <x:row r="793">
      <x:c r="A793" s="13" t="str">
        <x:v>NAAFTC-HS6-170219</x:v>
      </x:c>
      <x:c r="B793" s="13" t="str">
        <x:v>170219</x:v>
      </x:c>
      <x:c r="C793" s="13" t="str">
        <x:v>17</x:v>
      </x:c>
      <x:c r="D793" s="13" t="str">
        <x:v>TRILATERAL_SPLIT_MERGE</x:v>
      </x:c>
      <x:c r="E793" s="13" t="str">
        <x:v>Pending</x:v>
      </x:c>
      <x:c r="F793" s="13" t="n">
        <x:v>1</x:v>
      </x:c>
      <x:c r="G793" s="13" t="n">
        <x:v>2</x:v>
      </x:c>
      <x:c r="H793" s="13" t="n">
        <x:v>1</x:v>
      </x:c>
      <x:c r="I793" s="13" t="str">
        <x:v>1702190000</x:v>
      </x:c>
      <x:c r="J793" s="13" t="str">
        <x:v>1702190100; 1702199900</x:v>
      </x:c>
      <x:c r="K793" s="13" t="str">
        <x:v>1702190000</x:v>
      </x:c>
      <x:c r="L793" s="13" t="str">
        <x:v>UNRESOLVED</x:v>
      </x:c>
      <x:c r="M793" s="13" t="str"/>
      <x:c r="N793" s="13" t="str">
        <x:v>NO / DEFAULT</x:v>
      </x:c>
      <x:c r="O793" s="13" t="str"/>
      <x:c r="P793" s="13" t="str">
        <x:v>NO / DEFAULT</x:v>
      </x:c>
      <x:c r="Q793" s="13" t="str"/>
      <x:c r="R793" s="13" t="str">
        <x:v>INDEPENDENT / DEFAULT</x:v>
      </x:c>
      <x:c r="S793" s="13" t="str"/>
      <x:c r="T793" s="13" t="str">
        <x:v>UNRESOLVED</x:v>
      </x:c>
      <x:c r="U793" s="13" t="str"/>
      <x:c r="V793" s="13" t="str"/>
      <x:c r="W793" s="13" t="str"/>
      <x:c r="X793" s="13" t="str">
        <x:f>IF(L793&lt;&gt;"COVERED","HELD — COVERAGE",IF(N793="YES — SENSITIVE","C ACTIONABLE","CHAPTER 5 DEFAULT"))</x:f>
        <x:v>HELD — COVERAGE</x:v>
      </x:c>
      <x:c r="Y793" s="13" t="str">
        <x:f>IF(L793&lt;&gt;"COVERED","HELD — COVERAGE",IF(P793="YES — MANAGED ACCESS","D ACTIONABLE","NO D FIELD"))</x:f>
        <x:v>HELD — COVERAGE</x:v>
      </x:c>
      <x:c r="Z793" s="13" t="str">
        <x:f>IF(L793&lt;&gt;"COVERED","HELD — COVERAGE",IF(OR(R793="PAIRED SYNCHRONIZED",R793="TRILATERAL SYNCHRONIZED"),"E ACTIONABLE","INDEPENDENT"))</x:f>
        <x:v>HELD — COVERAGE</x:v>
      </x:c>
      <x:c r="AA793" s="13" t="str">
        <x:f>IF(L793&lt;&gt;"COVERED","HELD — COVERAGE","WAIT FOR UPSTREAM COMPLETION")</x:f>
        <x:v>HELD — COVERAGE</x:v>
      </x:c>
      <x:c r="AB793" s="13" t="str">
        <x:f>IF(L793&lt;&gt;"COVERED","HELD — COVERAGE",IF(T793="UNRESOLVED","G DECISION REQUIRED",IF(T793="NOT APPLICABLE","G N/A","G ACTIONABLE")))</x:f>
        <x:v>HELD — COVERAGE</x:v>
      </x:c>
      <x:c r="AC793" s="13" t="str">
        <x:f>IF(L793="UNRESOLVED","COVERAGE FIRST",IF(OR(L793="EXCLUDED",L793="OUT OF SCOPE"),"CLOSED BY COVERAGE",IF(AND(L793="COVERED",T793&lt;&gt;"UNRESOLVED"),"PARTIALLY ADOPTED","DECISIONS REMAIN")))</x:f>
        <x:v>COVERAGE FIRST</x:v>
      </x:c>
    </x:row>
    <x:row r="794">
      <x:c r="A794" s="13" t="str">
        <x:v>NAAFTC-HS6-170220</x:v>
      </x:c>
      <x:c r="B794" s="13" t="str">
        <x:v>170220</x:v>
      </x:c>
      <x:c r="C794" s="13" t="str">
        <x:v>17</x:v>
      </x:c>
      <x:c r="D794" s="13" t="str">
        <x:v>TRILATERAL_SPLIT_MERGE</x:v>
      </x:c>
      <x:c r="E794" s="13" t="str">
        <x:v>Pending</x:v>
      </x:c>
      <x:c r="F794" s="13" t="n">
        <x:v>11</x:v>
      </x:c>
      <x:c r="G794" s="13" t="n">
        <x:v>1</x:v>
      </x:c>
      <x:c r="H794" s="13" t="n">
        <x:v>1</x:v>
      </x:c>
      <x:c r="I794" s="13" t="str">
        <x:v>1702202210; 1702202290; 1702202410; 1702202490; 1702202810; 1702202890; +5 more</x:v>
      </x:c>
      <x:c r="J794" s="13" t="str">
        <x:v>1702200100</x:v>
      </x:c>
      <x:c r="K794" s="13" t="str">
        <x:v>17022000</x:v>
      </x:c>
      <x:c r="L794" s="13" t="str">
        <x:v>UNRESOLVED</x:v>
      </x:c>
      <x:c r="M794" s="13" t="str"/>
      <x:c r="N794" s="13" t="str">
        <x:v>NO / DEFAULT</x:v>
      </x:c>
      <x:c r="O794" s="13" t="str"/>
      <x:c r="P794" s="13" t="str">
        <x:v>NO / DEFAULT</x:v>
      </x:c>
      <x:c r="Q794" s="13" t="str"/>
      <x:c r="R794" s="13" t="str">
        <x:v>INDEPENDENT / DEFAULT</x:v>
      </x:c>
      <x:c r="S794" s="13" t="str"/>
      <x:c r="T794" s="13" t="str">
        <x:v>UNRESOLVED</x:v>
      </x:c>
      <x:c r="U794" s="13" t="str"/>
      <x:c r="V794" s="13" t="str"/>
      <x:c r="W794" s="13" t="str"/>
      <x:c r="X794" s="13" t="str">
        <x:f>IF(L794&lt;&gt;"COVERED","HELD — COVERAGE",IF(N794="YES — SENSITIVE","C ACTIONABLE","CHAPTER 5 DEFAULT"))</x:f>
        <x:v>HELD — COVERAGE</x:v>
      </x:c>
      <x:c r="Y794" s="13" t="str">
        <x:f>IF(L794&lt;&gt;"COVERED","HELD — COVERAGE",IF(P794="YES — MANAGED ACCESS","D ACTIONABLE","NO D FIELD"))</x:f>
        <x:v>HELD — COVERAGE</x:v>
      </x:c>
      <x:c r="Z794" s="13" t="str">
        <x:f>IF(L794&lt;&gt;"COVERED","HELD — COVERAGE",IF(OR(R794="PAIRED SYNCHRONIZED",R794="TRILATERAL SYNCHRONIZED"),"E ACTIONABLE","INDEPENDENT"))</x:f>
        <x:v>HELD — COVERAGE</x:v>
      </x:c>
      <x:c r="AA794" s="13" t="str">
        <x:f>IF(L794&lt;&gt;"COVERED","HELD — COVERAGE","WAIT FOR UPSTREAM COMPLETION")</x:f>
        <x:v>HELD — COVERAGE</x:v>
      </x:c>
      <x:c r="AB794" s="13" t="str">
        <x:f>IF(L794&lt;&gt;"COVERED","HELD — COVERAGE",IF(T794="UNRESOLVED","G DECISION REQUIRED",IF(T794="NOT APPLICABLE","G N/A","G ACTIONABLE")))</x:f>
        <x:v>HELD — COVERAGE</x:v>
      </x:c>
      <x:c r="AC794" s="13" t="str">
        <x:f>IF(L794="UNRESOLVED","COVERAGE FIRST",IF(OR(L794="EXCLUDED",L794="OUT OF SCOPE"),"CLOSED BY COVERAGE",IF(AND(L794="COVERED",T794&lt;&gt;"UNRESOLVED"),"PARTIALLY ADOPTED","DECISIONS REMAIN")))</x:f>
        <x:v>COVERAGE FIRST</x:v>
      </x:c>
    </x:row>
    <x:row r="795">
      <x:c r="A795" s="13" t="str">
        <x:v>NAAFTC-HS6-170230</x:v>
      </x:c>
      <x:c r="B795" s="13" t="str">
        <x:v>170230</x:v>
      </x:c>
      <x:c r="C795" s="13" t="str">
        <x:v>17</x:v>
      </x:c>
      <x:c r="D795" s="13" t="str">
        <x:v>TRILATERAL_SPLIT_MERGE</x:v>
      </x:c>
      <x:c r="E795" s="13" t="str">
        <x:v>Pending</x:v>
      </x:c>
      <x:c r="F795" s="13" t="n">
        <x:v>7</x:v>
      </x:c>
      <x:c r="G795" s="13" t="n">
        <x:v>1</x:v>
      </x:c>
      <x:c r="H795" s="13" t="n">
        <x:v>2</x:v>
      </x:c>
      <x:c r="I795" s="13" t="str">
        <x:v>1702302200; 1702302400; 1702302800; 1702304045; 1702304065; 1702304075; +1 more</x:v>
      </x:c>
      <x:c r="J795" s="13" t="str">
        <x:v>1702300100</x:v>
      </x:c>
      <x:c r="K795" s="13" t="str">
        <x:v>1702301000; 17023090</x:v>
      </x:c>
      <x:c r="L795" s="13" t="str">
        <x:v>UNRESOLVED</x:v>
      </x:c>
      <x:c r="M795" s="13" t="str"/>
      <x:c r="N795" s="13" t="str">
        <x:v>NO / DEFAULT</x:v>
      </x:c>
      <x:c r="O795" s="13" t="str"/>
      <x:c r="P795" s="13" t="str">
        <x:v>NO / DEFAULT</x:v>
      </x:c>
      <x:c r="Q795" s="13" t="str"/>
      <x:c r="R795" s="13" t="str">
        <x:v>INDEPENDENT / DEFAULT</x:v>
      </x:c>
      <x:c r="S795" s="13" t="str"/>
      <x:c r="T795" s="13" t="str">
        <x:v>UNRESOLVED</x:v>
      </x:c>
      <x:c r="U795" s="13" t="str"/>
      <x:c r="V795" s="13" t="str"/>
      <x:c r="W795" s="13" t="str"/>
      <x:c r="X795" s="13" t="str">
        <x:f>IF(L795&lt;&gt;"COVERED","HELD — COVERAGE",IF(N795="YES — SENSITIVE","C ACTIONABLE","CHAPTER 5 DEFAULT"))</x:f>
        <x:v>HELD — COVERAGE</x:v>
      </x:c>
      <x:c r="Y795" s="13" t="str">
        <x:f>IF(L795&lt;&gt;"COVERED","HELD — COVERAGE",IF(P795="YES — MANAGED ACCESS","D ACTIONABLE","NO D FIELD"))</x:f>
        <x:v>HELD — COVERAGE</x:v>
      </x:c>
      <x:c r="Z795" s="13" t="str">
        <x:f>IF(L795&lt;&gt;"COVERED","HELD — COVERAGE",IF(OR(R795="PAIRED SYNCHRONIZED",R795="TRILATERAL SYNCHRONIZED"),"E ACTIONABLE","INDEPENDENT"))</x:f>
        <x:v>HELD — COVERAGE</x:v>
      </x:c>
      <x:c r="AA795" s="13" t="str">
        <x:f>IF(L795&lt;&gt;"COVERED","HELD — COVERAGE","WAIT FOR UPSTREAM COMPLETION")</x:f>
        <x:v>HELD — COVERAGE</x:v>
      </x:c>
      <x:c r="AB795" s="13" t="str">
        <x:f>IF(L795&lt;&gt;"COVERED","HELD — COVERAGE",IF(T795="UNRESOLVED","G DECISION REQUIRED",IF(T795="NOT APPLICABLE","G N/A","G ACTIONABLE")))</x:f>
        <x:v>HELD — COVERAGE</x:v>
      </x:c>
      <x:c r="AC795" s="13" t="str">
        <x:f>IF(L795="UNRESOLVED","COVERAGE FIRST",IF(OR(L795="EXCLUDED",L795="OUT OF SCOPE"),"CLOSED BY COVERAGE",IF(AND(L795="COVERED",T795&lt;&gt;"UNRESOLVED"),"PARTIALLY ADOPTED","DECISIONS REMAIN")))</x:f>
        <x:v>COVERAGE FIRST</x:v>
      </x:c>
    </x:row>
    <x:row r="796">
      <x:c r="A796" s="13" t="str">
        <x:v>NAAFTC-HS6-170240</x:v>
      </x:c>
      <x:c r="B796" s="13" t="str">
        <x:v>170240</x:v>
      </x:c>
      <x:c r="C796" s="13" t="str">
        <x:v>17</x:v>
      </x:c>
      <x:c r="D796" s="13" t="str">
        <x:v>TRILATERAL_SPLIT_MERGE</x:v>
      </x:c>
      <x:c r="E796" s="13" t="str">
        <x:v>Pending</x:v>
      </x:c>
      <x:c r="F796" s="13" t="n">
        <x:v>4</x:v>
      </x:c>
      <x:c r="G796" s="13" t="n">
        <x:v>2</x:v>
      </x:c>
      <x:c r="H796" s="13" t="n">
        <x:v>1</x:v>
      </x:c>
      <x:c r="I796" s="13" t="str">
        <x:v>1702402200; 1702402400; 1702402800; 1702404000</x:v>
      </x:c>
      <x:c r="J796" s="13" t="str">
        <x:v>1702400100; 1702409900</x:v>
      </x:c>
      <x:c r="K796" s="13" t="str">
        <x:v>1702400000</x:v>
      </x:c>
      <x:c r="L796" s="13" t="str">
        <x:v>UNRESOLVED</x:v>
      </x:c>
      <x:c r="M796" s="13" t="str"/>
      <x:c r="N796" s="13" t="str">
        <x:v>NO / DEFAULT</x:v>
      </x:c>
      <x:c r="O796" s="13" t="str"/>
      <x:c r="P796" s="13" t="str">
        <x:v>NO / DEFAULT</x:v>
      </x:c>
      <x:c r="Q796" s="13" t="str"/>
      <x:c r="R796" s="13" t="str">
        <x:v>INDEPENDENT / DEFAULT</x:v>
      </x:c>
      <x:c r="S796" s="13" t="str"/>
      <x:c r="T796" s="13" t="str">
        <x:v>UNRESOLVED</x:v>
      </x:c>
      <x:c r="U796" s="13" t="str"/>
      <x:c r="V796" s="13" t="str"/>
      <x:c r="W796" s="13" t="str"/>
      <x:c r="X796" s="13" t="str">
        <x:f>IF(L796&lt;&gt;"COVERED","HELD — COVERAGE",IF(N796="YES — SENSITIVE","C ACTIONABLE","CHAPTER 5 DEFAULT"))</x:f>
        <x:v>HELD — COVERAGE</x:v>
      </x:c>
      <x:c r="Y796" s="13" t="str">
        <x:f>IF(L796&lt;&gt;"COVERED","HELD — COVERAGE",IF(P796="YES — MANAGED ACCESS","D ACTIONABLE","NO D FIELD"))</x:f>
        <x:v>HELD — COVERAGE</x:v>
      </x:c>
      <x:c r="Z796" s="13" t="str">
        <x:f>IF(L796&lt;&gt;"COVERED","HELD — COVERAGE",IF(OR(R796="PAIRED SYNCHRONIZED",R796="TRILATERAL SYNCHRONIZED"),"E ACTIONABLE","INDEPENDENT"))</x:f>
        <x:v>HELD — COVERAGE</x:v>
      </x:c>
      <x:c r="AA796" s="13" t="str">
        <x:f>IF(L796&lt;&gt;"COVERED","HELD — COVERAGE","WAIT FOR UPSTREAM COMPLETION")</x:f>
        <x:v>HELD — COVERAGE</x:v>
      </x:c>
      <x:c r="AB796" s="13" t="str">
        <x:f>IF(L796&lt;&gt;"COVERED","HELD — COVERAGE",IF(T796="UNRESOLVED","G DECISION REQUIRED",IF(T796="NOT APPLICABLE","G N/A","G ACTIONABLE")))</x:f>
        <x:v>HELD — COVERAGE</x:v>
      </x:c>
      <x:c r="AC796" s="13" t="str">
        <x:f>IF(L796="UNRESOLVED","COVERAGE FIRST",IF(OR(L796="EXCLUDED",L796="OUT OF SCOPE"),"CLOSED BY COVERAGE",IF(AND(L796="COVERED",T796&lt;&gt;"UNRESOLVED"),"PARTIALLY ADOPTED","DECISIONS REMAIN")))</x:f>
        <x:v>COVERAGE FIRST</x:v>
      </x:c>
    </x:row>
    <x:row r="797">
      <x:c r="A797" s="13" t="str">
        <x:v>NAAFTC-HS6-170250</x:v>
      </x:c>
      <x:c r="B797" s="13" t="str">
        <x:v>170250</x:v>
      </x:c>
      <x:c r="C797" s="13" t="str">
        <x:v>17</x:v>
      </x:c>
      <x:c r="D797" s="13" t="str">
        <x:v>TRILATERAL_1_TO_1_TO_1</x:v>
      </x:c>
      <x:c r="E797" s="13" t="str">
        <x:v>Pending</x:v>
      </x:c>
      <x:c r="F797" s="13" t="n">
        <x:v>1</x:v>
      </x:c>
      <x:c r="G797" s="13" t="n">
        <x:v>1</x:v>
      </x:c>
      <x:c r="H797" s="13" t="n">
        <x:v>1</x:v>
      </x:c>
      <x:c r="I797" s="13" t="str">
        <x:v>1702500000</x:v>
      </x:c>
      <x:c r="J797" s="13" t="str">
        <x:v>1702500100</x:v>
      </x:c>
      <x:c r="K797" s="13" t="str">
        <x:v>1702500000</x:v>
      </x:c>
      <x:c r="L797" s="13" t="str">
        <x:v>UNRESOLVED</x:v>
      </x:c>
      <x:c r="M797" s="13" t="str"/>
      <x:c r="N797" s="13" t="str">
        <x:v>NO / DEFAULT</x:v>
      </x:c>
      <x:c r="O797" s="13" t="str"/>
      <x:c r="P797" s="13" t="str">
        <x:v>NO / DEFAULT</x:v>
      </x:c>
      <x:c r="Q797" s="13" t="str"/>
      <x:c r="R797" s="13" t="str">
        <x:v>INDEPENDENT / DEFAULT</x:v>
      </x:c>
      <x:c r="S797" s="13" t="str"/>
      <x:c r="T797" s="13" t="str">
        <x:v>UNRESOLVED</x:v>
      </x:c>
      <x:c r="U797" s="13" t="str"/>
      <x:c r="V797" s="13" t="str"/>
      <x:c r="W797" s="13" t="str"/>
      <x:c r="X797" s="13" t="str">
        <x:f>IF(L797&lt;&gt;"COVERED","HELD — COVERAGE",IF(N797="YES — SENSITIVE","C ACTIONABLE","CHAPTER 5 DEFAULT"))</x:f>
        <x:v>HELD — COVERAGE</x:v>
      </x:c>
      <x:c r="Y797" s="13" t="str">
        <x:f>IF(L797&lt;&gt;"COVERED","HELD — COVERAGE",IF(P797="YES — MANAGED ACCESS","D ACTIONABLE","NO D FIELD"))</x:f>
        <x:v>HELD — COVERAGE</x:v>
      </x:c>
      <x:c r="Z797" s="13" t="str">
        <x:f>IF(L797&lt;&gt;"COVERED","HELD — COVERAGE",IF(OR(R797="PAIRED SYNCHRONIZED",R797="TRILATERAL SYNCHRONIZED"),"E ACTIONABLE","INDEPENDENT"))</x:f>
        <x:v>HELD — COVERAGE</x:v>
      </x:c>
      <x:c r="AA797" s="13" t="str">
        <x:f>IF(L797&lt;&gt;"COVERED","HELD — COVERAGE","WAIT FOR UPSTREAM COMPLETION")</x:f>
        <x:v>HELD — COVERAGE</x:v>
      </x:c>
      <x:c r="AB797" s="13" t="str">
        <x:f>IF(L797&lt;&gt;"COVERED","HELD — COVERAGE",IF(T797="UNRESOLVED","G DECISION REQUIRED",IF(T797="NOT APPLICABLE","G N/A","G ACTIONABLE")))</x:f>
        <x:v>HELD — COVERAGE</x:v>
      </x:c>
      <x:c r="AC797" s="13" t="str">
        <x:f>IF(L797="UNRESOLVED","COVERAGE FIRST",IF(OR(L797="EXCLUDED",L797="OUT OF SCOPE"),"CLOSED BY COVERAGE",IF(AND(L797="COVERED",T797&lt;&gt;"UNRESOLVED"),"PARTIALLY ADOPTED","DECISIONS REMAIN")))</x:f>
        <x:v>COVERAGE FIRST</x:v>
      </x:c>
    </x:row>
    <x:row r="798">
      <x:c r="A798" s="13" t="str">
        <x:v>NAAFTC-HS6-170260</x:v>
      </x:c>
      <x:c r="B798" s="13" t="str">
        <x:v>170260</x:v>
      </x:c>
      <x:c r="C798" s="13" t="str">
        <x:v>17</x:v>
      </x:c>
      <x:c r="D798" s="13" t="str">
        <x:v>TRILATERAL_SPLIT_MERGE</x:v>
      </x:c>
      <x:c r="E798" s="13" t="str">
        <x:v>Pending</x:v>
      </x:c>
      <x:c r="F798" s="13" t="n">
        <x:v>6</x:v>
      </x:c>
      <x:c r="G798" s="13" t="n">
        <x:v>7</x:v>
      </x:c>
      <x:c r="H798" s="13" t="n">
        <x:v>1</x:v>
      </x:c>
      <x:c r="I798" s="13" t="str">
        <x:v>1702602200; 1702602400; 1702602800; 1702604030; 1702604050; 1702604090</x:v>
      </x:c>
      <x:c r="J798" s="13" t="str">
        <x:v>1702609103; 1702609104; 1702609105; 1702609106; 1702609191; 1702609192; +1 more</x:v>
      </x:c>
      <x:c r="K798" s="13" t="str">
        <x:v>1702600000</x:v>
      </x:c>
      <x:c r="L798" s="13" t="str">
        <x:v>UNRESOLVED</x:v>
      </x:c>
      <x:c r="M798" s="13" t="str"/>
      <x:c r="N798" s="13" t="str">
        <x:v>NO / DEFAULT</x:v>
      </x:c>
      <x:c r="O798" s="13" t="str"/>
      <x:c r="P798" s="13" t="str">
        <x:v>NO / DEFAULT</x:v>
      </x:c>
      <x:c r="Q798" s="13" t="str"/>
      <x:c r="R798" s="13" t="str">
        <x:v>INDEPENDENT / DEFAULT</x:v>
      </x:c>
      <x:c r="S798" s="13" t="str"/>
      <x:c r="T798" s="13" t="str">
        <x:v>UNRESOLVED</x:v>
      </x:c>
      <x:c r="U798" s="13" t="str"/>
      <x:c r="V798" s="13" t="str"/>
      <x:c r="W798" s="13" t="str"/>
      <x:c r="X798" s="13" t="str">
        <x:f>IF(L798&lt;&gt;"COVERED","HELD — COVERAGE",IF(N798="YES — SENSITIVE","C ACTIONABLE","CHAPTER 5 DEFAULT"))</x:f>
        <x:v>HELD — COVERAGE</x:v>
      </x:c>
      <x:c r="Y798" s="13" t="str">
        <x:f>IF(L798&lt;&gt;"COVERED","HELD — COVERAGE",IF(P798="YES — MANAGED ACCESS","D ACTIONABLE","NO D FIELD"))</x:f>
        <x:v>HELD — COVERAGE</x:v>
      </x:c>
      <x:c r="Z798" s="13" t="str">
        <x:f>IF(L798&lt;&gt;"COVERED","HELD — COVERAGE",IF(OR(R798="PAIRED SYNCHRONIZED",R798="TRILATERAL SYNCHRONIZED"),"E ACTIONABLE","INDEPENDENT"))</x:f>
        <x:v>HELD — COVERAGE</x:v>
      </x:c>
      <x:c r="AA798" s="13" t="str">
        <x:f>IF(L798&lt;&gt;"COVERED","HELD — COVERAGE","WAIT FOR UPSTREAM COMPLETION")</x:f>
        <x:v>HELD — COVERAGE</x:v>
      </x:c>
      <x:c r="AB798" s="13" t="str">
        <x:f>IF(L798&lt;&gt;"COVERED","HELD — COVERAGE",IF(T798="UNRESOLVED","G DECISION REQUIRED",IF(T798="NOT APPLICABLE","G N/A","G ACTIONABLE")))</x:f>
        <x:v>HELD — COVERAGE</x:v>
      </x:c>
      <x:c r="AC798" s="13" t="str">
        <x:f>IF(L798="UNRESOLVED","COVERAGE FIRST",IF(OR(L798="EXCLUDED",L798="OUT OF SCOPE"),"CLOSED BY COVERAGE",IF(AND(L798="COVERED",T798&lt;&gt;"UNRESOLVED"),"PARTIALLY ADOPTED","DECISIONS REMAIN")))</x:f>
        <x:v>COVERAGE FIRST</x:v>
      </x:c>
    </x:row>
    <x:row r="799">
      <x:c r="A799" s="13" t="str">
        <x:v>NAAFTC-HS6-170290</x:v>
      </x:c>
      <x:c r="B799" s="13" t="str">
        <x:v>170290</x:v>
      </x:c>
      <x:c r="C799" s="13" t="str">
        <x:v>17</x:v>
      </x:c>
      <x:c r="D799" s="13" t="str">
        <x:v>TRILATERAL_SPLIT_MERGE</x:v>
      </x:c>
      <x:c r="E799" s="13" t="str">
        <x:v>Pending</x:v>
      </x:c>
      <x:c r="F799" s="13" t="n">
        <x:v>12</x:v>
      </x:c>
      <x:c r="G799" s="13" t="n">
        <x:v>2</x:v>
      </x:c>
      <x:c r="H799" s="13" t="n">
        <x:v>11</x:v>
      </x:c>
      <x:c r="I799" s="13" t="str">
        <x:v>1702900500; 1702901000; 1702902000; 1702903500; 1702904000; 1702905200; +6 more</x:v>
      </x:c>
      <x:c r="J799" s="13" t="str">
        <x:v>1702900100; 1702909900</x:v>
      </x:c>
      <x:c r="K799" s="13" t="str">
        <x:v>1702901100; 1702901200; 1702901300; 1702901400; 1702901500; 1702901600; +5 more</x:v>
      </x:c>
      <x:c r="L799" s="13" t="str">
        <x:v>UNRESOLVED</x:v>
      </x:c>
      <x:c r="M799" s="13" t="str"/>
      <x:c r="N799" s="13" t="str">
        <x:v>NO / DEFAULT</x:v>
      </x:c>
      <x:c r="O799" s="13" t="str"/>
      <x:c r="P799" s="13" t="str">
        <x:v>NO / DEFAULT</x:v>
      </x:c>
      <x:c r="Q799" s="13" t="str"/>
      <x:c r="R799" s="13" t="str">
        <x:v>INDEPENDENT / DEFAULT</x:v>
      </x:c>
      <x:c r="S799" s="13" t="str"/>
      <x:c r="T799" s="13" t="str">
        <x:v>UNRESOLVED</x:v>
      </x:c>
      <x:c r="U799" s="13" t="str"/>
      <x:c r="V799" s="13" t="str"/>
      <x:c r="W799" s="13" t="str"/>
      <x:c r="X799" s="13" t="str">
        <x:f>IF(L799&lt;&gt;"COVERED","HELD — COVERAGE",IF(N799="YES — SENSITIVE","C ACTIONABLE","CHAPTER 5 DEFAULT"))</x:f>
        <x:v>HELD — COVERAGE</x:v>
      </x:c>
      <x:c r="Y799" s="13" t="str">
        <x:f>IF(L799&lt;&gt;"COVERED","HELD — COVERAGE",IF(P799="YES — MANAGED ACCESS","D ACTIONABLE","NO D FIELD"))</x:f>
        <x:v>HELD — COVERAGE</x:v>
      </x:c>
      <x:c r="Z799" s="13" t="str">
        <x:f>IF(L799&lt;&gt;"COVERED","HELD — COVERAGE",IF(OR(R799="PAIRED SYNCHRONIZED",R799="TRILATERAL SYNCHRONIZED"),"E ACTIONABLE","INDEPENDENT"))</x:f>
        <x:v>HELD — COVERAGE</x:v>
      </x:c>
      <x:c r="AA799" s="13" t="str">
        <x:f>IF(L799&lt;&gt;"COVERED","HELD — COVERAGE","WAIT FOR UPSTREAM COMPLETION")</x:f>
        <x:v>HELD — COVERAGE</x:v>
      </x:c>
      <x:c r="AB799" s="13" t="str">
        <x:f>IF(L799&lt;&gt;"COVERED","HELD — COVERAGE",IF(T799="UNRESOLVED","G DECISION REQUIRED",IF(T799="NOT APPLICABLE","G N/A","G ACTIONABLE")))</x:f>
        <x:v>HELD — COVERAGE</x:v>
      </x:c>
      <x:c r="AC799" s="13" t="str">
        <x:f>IF(L799="UNRESOLVED","COVERAGE FIRST",IF(OR(L799="EXCLUDED",L799="OUT OF SCOPE"),"CLOSED BY COVERAGE",IF(AND(L799="COVERED",T799&lt;&gt;"UNRESOLVED"),"PARTIALLY ADOPTED","DECISIONS REMAIN")))</x:f>
        <x:v>COVERAGE FIRST</x:v>
      </x:c>
    </x:row>
    <x:row r="800">
      <x:c r="A800" s="13" t="str">
        <x:v>NAAFTC-HS6-170310</x:v>
      </x:c>
      <x:c r="B800" s="13" t="str">
        <x:v>170310</x:v>
      </x:c>
      <x:c r="C800" s="13" t="str">
        <x:v>17</x:v>
      </x:c>
      <x:c r="D800" s="13" t="str">
        <x:v>TRILATERAL_SPLIT_MERGE</x:v>
      </x:c>
      <x:c r="E800" s="13" t="str">
        <x:v>Pending</x:v>
      </x:c>
      <x:c r="F800" s="13" t="n">
        <x:v>2</x:v>
      </x:c>
      <x:c r="G800" s="13" t="n">
        <x:v>1</x:v>
      </x:c>
      <x:c r="H800" s="13" t="n">
        <x:v>2</x:v>
      </x:c>
      <x:c r="I800" s="13" t="str">
        <x:v>1703103000; 1703105000</x:v>
      </x:c>
      <x:c r="J800" s="13" t="str">
        <x:v>1703100100</x:v>
      </x:c>
      <x:c r="K800" s="13" t="str">
        <x:v>1703101000; 1703109000</x:v>
      </x:c>
      <x:c r="L800" s="13" t="str">
        <x:v>UNRESOLVED</x:v>
      </x:c>
      <x:c r="M800" s="13" t="str"/>
      <x:c r="N800" s="13" t="str">
        <x:v>NO / DEFAULT</x:v>
      </x:c>
      <x:c r="O800" s="13" t="str"/>
      <x:c r="P800" s="13" t="str">
        <x:v>NO / DEFAULT</x:v>
      </x:c>
      <x:c r="Q800" s="13" t="str"/>
      <x:c r="R800" s="13" t="str">
        <x:v>INDEPENDENT / DEFAULT</x:v>
      </x:c>
      <x:c r="S800" s="13" t="str"/>
      <x:c r="T800" s="13" t="str">
        <x:v>UNRESOLVED</x:v>
      </x:c>
      <x:c r="U800" s="13" t="str"/>
      <x:c r="V800" s="13" t="str"/>
      <x:c r="W800" s="13" t="str"/>
      <x:c r="X800" s="13" t="str">
        <x:f>IF(L800&lt;&gt;"COVERED","HELD — COVERAGE",IF(N800="YES — SENSITIVE","C ACTIONABLE","CHAPTER 5 DEFAULT"))</x:f>
        <x:v>HELD — COVERAGE</x:v>
      </x:c>
      <x:c r="Y800" s="13" t="str">
        <x:f>IF(L800&lt;&gt;"COVERED","HELD — COVERAGE",IF(P800="YES — MANAGED ACCESS","D ACTIONABLE","NO D FIELD"))</x:f>
        <x:v>HELD — COVERAGE</x:v>
      </x:c>
      <x:c r="Z800" s="13" t="str">
        <x:f>IF(L800&lt;&gt;"COVERED","HELD — COVERAGE",IF(OR(R800="PAIRED SYNCHRONIZED",R800="TRILATERAL SYNCHRONIZED"),"E ACTIONABLE","INDEPENDENT"))</x:f>
        <x:v>HELD — COVERAGE</x:v>
      </x:c>
      <x:c r="AA800" s="13" t="str">
        <x:f>IF(L800&lt;&gt;"COVERED","HELD — COVERAGE","WAIT FOR UPSTREAM COMPLETION")</x:f>
        <x:v>HELD — COVERAGE</x:v>
      </x:c>
      <x:c r="AB800" s="13" t="str">
        <x:f>IF(L800&lt;&gt;"COVERED","HELD — COVERAGE",IF(T800="UNRESOLVED","G DECISION REQUIRED",IF(T800="NOT APPLICABLE","G N/A","G ACTIONABLE")))</x:f>
        <x:v>HELD — COVERAGE</x:v>
      </x:c>
      <x:c r="AC800" s="13" t="str">
        <x:f>IF(L800="UNRESOLVED","COVERAGE FIRST",IF(OR(L800="EXCLUDED",L800="OUT OF SCOPE"),"CLOSED BY COVERAGE",IF(AND(L800="COVERED",T800&lt;&gt;"UNRESOLVED"),"PARTIALLY ADOPTED","DECISIONS REMAIN")))</x:f>
        <x:v>COVERAGE FIRST</x:v>
      </x:c>
    </x:row>
    <x:row r="801">
      <x:c r="A801" s="13" t="str">
        <x:v>NAAFTC-HS6-170390</x:v>
      </x:c>
      <x:c r="B801" s="13" t="str">
        <x:v>170390</x:v>
      </x:c>
      <x:c r="C801" s="13" t="str">
        <x:v>17</x:v>
      </x:c>
      <x:c r="D801" s="13" t="str">
        <x:v>TRILATERAL_SPLIT_MERGE</x:v>
      </x:c>
      <x:c r="E801" s="13" t="str">
        <x:v>Pending</x:v>
      </x:c>
      <x:c r="F801" s="13" t="n">
        <x:v>2</x:v>
      </x:c>
      <x:c r="G801" s="13" t="n">
        <x:v>1</x:v>
      </x:c>
      <x:c r="H801" s="13" t="n">
        <x:v>2</x:v>
      </x:c>
      <x:c r="I801" s="13" t="str">
        <x:v>1703903000; 1703905000</x:v>
      </x:c>
      <x:c r="J801" s="13" t="str">
        <x:v>1703909900</x:v>
      </x:c>
      <x:c r="K801" s="13" t="str">
        <x:v>1703901000; 17039090</x:v>
      </x:c>
      <x:c r="L801" s="13" t="str">
        <x:v>UNRESOLVED</x:v>
      </x:c>
      <x:c r="M801" s="13" t="str"/>
      <x:c r="N801" s="13" t="str">
        <x:v>NO / DEFAULT</x:v>
      </x:c>
      <x:c r="O801" s="13" t="str"/>
      <x:c r="P801" s="13" t="str">
        <x:v>NO / DEFAULT</x:v>
      </x:c>
      <x:c r="Q801" s="13" t="str"/>
      <x:c r="R801" s="13" t="str">
        <x:v>INDEPENDENT / DEFAULT</x:v>
      </x:c>
      <x:c r="S801" s="13" t="str"/>
      <x:c r="T801" s="13" t="str">
        <x:v>UNRESOLVED</x:v>
      </x:c>
      <x:c r="U801" s="13" t="str"/>
      <x:c r="V801" s="13" t="str"/>
      <x:c r="W801" s="13" t="str"/>
      <x:c r="X801" s="13" t="str">
        <x:f>IF(L801&lt;&gt;"COVERED","HELD — COVERAGE",IF(N801="YES — SENSITIVE","C ACTIONABLE","CHAPTER 5 DEFAULT"))</x:f>
        <x:v>HELD — COVERAGE</x:v>
      </x:c>
      <x:c r="Y801" s="13" t="str">
        <x:f>IF(L801&lt;&gt;"COVERED","HELD — COVERAGE",IF(P801="YES — MANAGED ACCESS","D ACTIONABLE","NO D FIELD"))</x:f>
        <x:v>HELD — COVERAGE</x:v>
      </x:c>
      <x:c r="Z801" s="13" t="str">
        <x:f>IF(L801&lt;&gt;"COVERED","HELD — COVERAGE",IF(OR(R801="PAIRED SYNCHRONIZED",R801="TRILATERAL SYNCHRONIZED"),"E ACTIONABLE","INDEPENDENT"))</x:f>
        <x:v>HELD — COVERAGE</x:v>
      </x:c>
      <x:c r="AA801" s="13" t="str">
        <x:f>IF(L801&lt;&gt;"COVERED","HELD — COVERAGE","WAIT FOR UPSTREAM COMPLETION")</x:f>
        <x:v>HELD — COVERAGE</x:v>
      </x:c>
      <x:c r="AB801" s="13" t="str">
        <x:f>IF(L801&lt;&gt;"COVERED","HELD — COVERAGE",IF(T801="UNRESOLVED","G DECISION REQUIRED",IF(T801="NOT APPLICABLE","G N/A","G ACTIONABLE")))</x:f>
        <x:v>HELD — COVERAGE</x:v>
      </x:c>
      <x:c r="AC801" s="13" t="str">
        <x:f>IF(L801="UNRESOLVED","COVERAGE FIRST",IF(OR(L801="EXCLUDED",L801="OUT OF SCOPE"),"CLOSED BY COVERAGE",IF(AND(L801="COVERED",T801&lt;&gt;"UNRESOLVED"),"PARTIALLY ADOPTED","DECISIONS REMAIN")))</x:f>
        <x:v>COVERAGE FIRST</x:v>
      </x:c>
    </x:row>
    <x:row r="802">
      <x:c r="A802" s="13" t="str">
        <x:v>NAAFTC-HS6-170410</x:v>
      </x:c>
      <x:c r="B802" s="13" t="str">
        <x:v>170410</x:v>
      </x:c>
      <x:c r="C802" s="13" t="str">
        <x:v>17</x:v>
      </x:c>
      <x:c r="D802" s="13" t="str">
        <x:v>TRILATERAL_1_TO_1_TO_1</x:v>
      </x:c>
      <x:c r="E802" s="13" t="str">
        <x:v>Pending</x:v>
      </x:c>
      <x:c r="F802" s="13" t="n">
        <x:v>1</x:v>
      </x:c>
      <x:c r="G802" s="13" t="n">
        <x:v>1</x:v>
      </x:c>
      <x:c r="H802" s="13" t="n">
        <x:v>1</x:v>
      </x:c>
      <x:c r="I802" s="13" t="str">
        <x:v>1704100000</x:v>
      </x:c>
      <x:c r="J802" s="13" t="str">
        <x:v>1704100100</x:v>
      </x:c>
      <x:c r="K802" s="13" t="str">
        <x:v>17041000</x:v>
      </x:c>
      <x:c r="L802" s="13" t="str">
        <x:v>UNRESOLVED</x:v>
      </x:c>
      <x:c r="M802" s="13" t="str"/>
      <x:c r="N802" s="13" t="str">
        <x:v>NO / DEFAULT</x:v>
      </x:c>
      <x:c r="O802" s="13" t="str"/>
      <x:c r="P802" s="13" t="str">
        <x:v>NO / DEFAULT</x:v>
      </x:c>
      <x:c r="Q802" s="13" t="str"/>
      <x:c r="R802" s="13" t="str">
        <x:v>INDEPENDENT / DEFAULT</x:v>
      </x:c>
      <x:c r="S802" s="13" t="str"/>
      <x:c r="T802" s="13" t="str">
        <x:v>UNRESOLVED</x:v>
      </x:c>
      <x:c r="U802" s="13" t="str"/>
      <x:c r="V802" s="13" t="str"/>
      <x:c r="W802" s="13" t="str"/>
      <x:c r="X802" s="13" t="str">
        <x:f>IF(L802&lt;&gt;"COVERED","HELD — COVERAGE",IF(N802="YES — SENSITIVE","C ACTIONABLE","CHAPTER 5 DEFAULT"))</x:f>
        <x:v>HELD — COVERAGE</x:v>
      </x:c>
      <x:c r="Y802" s="13" t="str">
        <x:f>IF(L802&lt;&gt;"COVERED","HELD — COVERAGE",IF(P802="YES — MANAGED ACCESS","D ACTIONABLE","NO D FIELD"))</x:f>
        <x:v>HELD — COVERAGE</x:v>
      </x:c>
      <x:c r="Z802" s="13" t="str">
        <x:f>IF(L802&lt;&gt;"COVERED","HELD — COVERAGE",IF(OR(R802="PAIRED SYNCHRONIZED",R802="TRILATERAL SYNCHRONIZED"),"E ACTIONABLE","INDEPENDENT"))</x:f>
        <x:v>HELD — COVERAGE</x:v>
      </x:c>
      <x:c r="AA802" s="13" t="str">
        <x:f>IF(L802&lt;&gt;"COVERED","HELD — COVERAGE","WAIT FOR UPSTREAM COMPLETION")</x:f>
        <x:v>HELD — COVERAGE</x:v>
      </x:c>
      <x:c r="AB802" s="13" t="str">
        <x:f>IF(L802&lt;&gt;"COVERED","HELD — COVERAGE",IF(T802="UNRESOLVED","G DECISION REQUIRED",IF(T802="NOT APPLICABLE","G N/A","G ACTIONABLE")))</x:f>
        <x:v>HELD — COVERAGE</x:v>
      </x:c>
      <x:c r="AC802" s="13" t="str">
        <x:f>IF(L802="UNRESOLVED","COVERAGE FIRST",IF(OR(L802="EXCLUDED",L802="OUT OF SCOPE"),"CLOSED BY COVERAGE",IF(AND(L802="COVERED",T802&lt;&gt;"UNRESOLVED"),"PARTIALLY ADOPTED","DECISIONS REMAIN")))</x:f>
        <x:v>COVERAGE FIRST</x:v>
      </x:c>
    </x:row>
    <x:row r="803">
      <x:c r="A803" s="13" t="str">
        <x:v>NAAFTC-HS6-170490</x:v>
      </x:c>
      <x:c r="B803" s="13" t="str">
        <x:v>170490</x:v>
      </x:c>
      <x:c r="C803" s="13" t="str">
        <x:v>17</x:v>
      </x:c>
      <x:c r="D803" s="13" t="str">
        <x:v>TRILATERAL_SPLIT_MERGE</x:v>
      </x:c>
      <x:c r="E803" s="13" t="str">
        <x:v>Pending</x:v>
      </x:c>
      <x:c r="F803" s="13" t="n">
        <x:v>13</x:v>
      </x:c>
      <x:c r="G803" s="13" t="n">
        <x:v>1</x:v>
      </x:c>
      <x:c r="H803" s="13" t="n">
        <x:v>1</x:v>
      </x:c>
      <x:c r="I803" s="13" t="str">
        <x:v>1704901000; 1704902500; 1704903520; 1704903550; 1704903590; 1704905200; +7 more</x:v>
      </x:c>
      <x:c r="J803" s="13" t="str">
        <x:v>1704909900</x:v>
      </x:c>
      <x:c r="K803" s="13" t="str">
        <x:v>17049090</x:v>
      </x:c>
      <x:c r="L803" s="13" t="str">
        <x:v>UNRESOLVED</x:v>
      </x:c>
      <x:c r="M803" s="13" t="str"/>
      <x:c r="N803" s="13" t="str">
        <x:v>NO / DEFAULT</x:v>
      </x:c>
      <x:c r="O803" s="13" t="str"/>
      <x:c r="P803" s="13" t="str">
        <x:v>NO / DEFAULT</x:v>
      </x:c>
      <x:c r="Q803" s="13" t="str"/>
      <x:c r="R803" s="13" t="str">
        <x:v>INDEPENDENT / DEFAULT</x:v>
      </x:c>
      <x:c r="S803" s="13" t="str"/>
      <x:c r="T803" s="13" t="str">
        <x:v>UNRESOLVED</x:v>
      </x:c>
      <x:c r="U803" s="13" t="str"/>
      <x:c r="V803" s="13" t="str"/>
      <x:c r="W803" s="13" t="str"/>
      <x:c r="X803" s="13" t="str">
        <x:f>IF(L803&lt;&gt;"COVERED","HELD — COVERAGE",IF(N803="YES — SENSITIVE","C ACTIONABLE","CHAPTER 5 DEFAULT"))</x:f>
        <x:v>HELD — COVERAGE</x:v>
      </x:c>
      <x:c r="Y803" s="13" t="str">
        <x:f>IF(L803&lt;&gt;"COVERED","HELD — COVERAGE",IF(P803="YES — MANAGED ACCESS","D ACTIONABLE","NO D FIELD"))</x:f>
        <x:v>HELD — COVERAGE</x:v>
      </x:c>
      <x:c r="Z803" s="13" t="str">
        <x:f>IF(L803&lt;&gt;"COVERED","HELD — COVERAGE",IF(OR(R803="PAIRED SYNCHRONIZED",R803="TRILATERAL SYNCHRONIZED"),"E ACTIONABLE","INDEPENDENT"))</x:f>
        <x:v>HELD — COVERAGE</x:v>
      </x:c>
      <x:c r="AA803" s="13" t="str">
        <x:f>IF(L803&lt;&gt;"COVERED","HELD — COVERAGE","WAIT FOR UPSTREAM COMPLETION")</x:f>
        <x:v>HELD — COVERAGE</x:v>
      </x:c>
      <x:c r="AB803" s="13" t="str">
        <x:f>IF(L803&lt;&gt;"COVERED","HELD — COVERAGE",IF(T803="UNRESOLVED","G DECISION REQUIRED",IF(T803="NOT APPLICABLE","G N/A","G ACTIONABLE")))</x:f>
        <x:v>HELD — COVERAGE</x:v>
      </x:c>
      <x:c r="AC803" s="13" t="str">
        <x:f>IF(L803="UNRESOLVED","COVERAGE FIRST",IF(OR(L803="EXCLUDED",L803="OUT OF SCOPE"),"CLOSED BY COVERAGE",IF(AND(L803="COVERED",T803&lt;&gt;"UNRESOLVED"),"PARTIALLY ADOPTED","DECISIONS REMAIN")))</x:f>
        <x:v>COVERAGE FIRST</x:v>
      </x:c>
    </x:row>
    <x:row r="804">
      <x:c r="A804" s="13" t="str">
        <x:v>NAAFTC-HS6-180100</x:v>
      </x:c>
      <x:c r="B804" s="13" t="str">
        <x:v>180100</x:v>
      </x:c>
      <x:c r="C804" s="13" t="str">
        <x:v>18</x:v>
      </x:c>
      <x:c r="D804" s="13" t="str">
        <x:v>TRILATERAL_SPLIT_MERGE</x:v>
      </x:c>
      <x:c r="E804" s="13" t="str">
        <x:v>Pending</x:v>
      </x:c>
      <x:c r="F804" s="13" t="n">
        <x:v>2</x:v>
      </x:c>
      <x:c r="G804" s="13" t="n">
        <x:v>2</x:v>
      </x:c>
      <x:c r="H804" s="13" t="n">
        <x:v>1</x:v>
      </x:c>
      <x:c r="I804" s="13" t="str">
        <x:v>1801000010; 1801000090</x:v>
      </x:c>
      <x:c r="J804" s="13" t="str">
        <x:v>1801000200; 1801009900</x:v>
      </x:c>
      <x:c r="K804" s="13" t="str">
        <x:v>1801000000</x:v>
      </x:c>
      <x:c r="L804" s="13" t="str">
        <x:v>UNRESOLVED</x:v>
      </x:c>
      <x:c r="M804" s="13" t="str"/>
      <x:c r="N804" s="13" t="str">
        <x:v>NO / DEFAULT</x:v>
      </x:c>
      <x:c r="O804" s="13" t="str"/>
      <x:c r="P804" s="13" t="str">
        <x:v>NO / DEFAULT</x:v>
      </x:c>
      <x:c r="Q804" s="13" t="str"/>
      <x:c r="R804" s="13" t="str">
        <x:v>INDEPENDENT / DEFAULT</x:v>
      </x:c>
      <x:c r="S804" s="13" t="str"/>
      <x:c r="T804" s="13" t="str">
        <x:v>UNRESOLVED</x:v>
      </x:c>
      <x:c r="U804" s="13" t="str"/>
      <x:c r="V804" s="13" t="str"/>
      <x:c r="W804" s="13" t="str"/>
      <x:c r="X804" s="13" t="str">
        <x:f>IF(L804&lt;&gt;"COVERED","HELD — COVERAGE",IF(N804="YES — SENSITIVE","C ACTIONABLE","CHAPTER 5 DEFAULT"))</x:f>
        <x:v>HELD — COVERAGE</x:v>
      </x:c>
      <x:c r="Y804" s="13" t="str">
        <x:f>IF(L804&lt;&gt;"COVERED","HELD — COVERAGE",IF(P804="YES — MANAGED ACCESS","D ACTIONABLE","NO D FIELD"))</x:f>
        <x:v>HELD — COVERAGE</x:v>
      </x:c>
      <x:c r="Z804" s="13" t="str">
        <x:f>IF(L804&lt;&gt;"COVERED","HELD — COVERAGE",IF(OR(R804="PAIRED SYNCHRONIZED",R804="TRILATERAL SYNCHRONIZED"),"E ACTIONABLE","INDEPENDENT"))</x:f>
        <x:v>HELD — COVERAGE</x:v>
      </x:c>
      <x:c r="AA804" s="13" t="str">
        <x:f>IF(L804&lt;&gt;"COVERED","HELD — COVERAGE","WAIT FOR UPSTREAM COMPLETION")</x:f>
        <x:v>HELD — COVERAGE</x:v>
      </x:c>
      <x:c r="AB804" s="13" t="str">
        <x:f>IF(L804&lt;&gt;"COVERED","HELD — COVERAGE",IF(T804="UNRESOLVED","G DECISION REQUIRED",IF(T804="NOT APPLICABLE","G N/A","G ACTIONABLE")))</x:f>
        <x:v>HELD — COVERAGE</x:v>
      </x:c>
      <x:c r="AC804" s="13" t="str">
        <x:f>IF(L804="UNRESOLVED","COVERAGE FIRST",IF(OR(L804="EXCLUDED",L804="OUT OF SCOPE"),"CLOSED BY COVERAGE",IF(AND(L804="COVERED",T804&lt;&gt;"UNRESOLVED"),"PARTIALLY ADOPTED","DECISIONS REMAIN")))</x:f>
        <x:v>COVERAGE FIRST</x:v>
      </x:c>
    </x:row>
    <x:row r="805">
      <x:c r="A805" s="13" t="str">
        <x:v>NAAFTC-HS6-180200</x:v>
      </x:c>
      <x:c r="B805" s="13" t="str">
        <x:v>180200</x:v>
      </x:c>
      <x:c r="C805" s="13" t="str">
        <x:v>18</x:v>
      </x:c>
      <x:c r="D805" s="13" t="str">
        <x:v>TRILATERAL_1_TO_1_TO_1</x:v>
      </x:c>
      <x:c r="E805" s="13" t="str">
        <x:v>Pending</x:v>
      </x:c>
      <x:c r="F805" s="13" t="n">
        <x:v>1</x:v>
      </x:c>
      <x:c r="G805" s="13" t="n">
        <x:v>1</x:v>
      </x:c>
      <x:c r="H805" s="13" t="n">
        <x:v>1</x:v>
      </x:c>
      <x:c r="I805" s="13" t="str">
        <x:v>1802000000</x:v>
      </x:c>
      <x:c r="J805" s="13" t="str">
        <x:v>1802000100</x:v>
      </x:c>
      <x:c r="K805" s="13" t="str">
        <x:v>1802000000</x:v>
      </x:c>
      <x:c r="L805" s="13" t="str">
        <x:v>UNRESOLVED</x:v>
      </x:c>
      <x:c r="M805" s="13" t="str"/>
      <x:c r="N805" s="13" t="str">
        <x:v>NO / DEFAULT</x:v>
      </x:c>
      <x:c r="O805" s="13" t="str"/>
      <x:c r="P805" s="13" t="str">
        <x:v>NO / DEFAULT</x:v>
      </x:c>
      <x:c r="Q805" s="13" t="str"/>
      <x:c r="R805" s="13" t="str">
        <x:v>INDEPENDENT / DEFAULT</x:v>
      </x:c>
      <x:c r="S805" s="13" t="str"/>
      <x:c r="T805" s="13" t="str">
        <x:v>UNRESOLVED</x:v>
      </x:c>
      <x:c r="U805" s="13" t="str"/>
      <x:c r="V805" s="13" t="str"/>
      <x:c r="W805" s="13" t="str"/>
      <x:c r="X805" s="13" t="str">
        <x:f>IF(L805&lt;&gt;"COVERED","HELD — COVERAGE",IF(N805="YES — SENSITIVE","C ACTIONABLE","CHAPTER 5 DEFAULT"))</x:f>
        <x:v>HELD — COVERAGE</x:v>
      </x:c>
      <x:c r="Y805" s="13" t="str">
        <x:f>IF(L805&lt;&gt;"COVERED","HELD — COVERAGE",IF(P805="YES — MANAGED ACCESS","D ACTIONABLE","NO D FIELD"))</x:f>
        <x:v>HELD — COVERAGE</x:v>
      </x:c>
      <x:c r="Z805" s="13" t="str">
        <x:f>IF(L805&lt;&gt;"COVERED","HELD — COVERAGE",IF(OR(R805="PAIRED SYNCHRONIZED",R805="TRILATERAL SYNCHRONIZED"),"E ACTIONABLE","INDEPENDENT"))</x:f>
        <x:v>HELD — COVERAGE</x:v>
      </x:c>
      <x:c r="AA805" s="13" t="str">
        <x:f>IF(L805&lt;&gt;"COVERED","HELD — COVERAGE","WAIT FOR UPSTREAM COMPLETION")</x:f>
        <x:v>HELD — COVERAGE</x:v>
      </x:c>
      <x:c r="AB805" s="13" t="str">
        <x:f>IF(L805&lt;&gt;"COVERED","HELD — COVERAGE",IF(T805="UNRESOLVED","G DECISION REQUIRED",IF(T805="NOT APPLICABLE","G N/A","G ACTIONABLE")))</x:f>
        <x:v>HELD — COVERAGE</x:v>
      </x:c>
      <x:c r="AC805" s="13" t="str">
        <x:f>IF(L805="UNRESOLVED","COVERAGE FIRST",IF(OR(L805="EXCLUDED",L805="OUT OF SCOPE"),"CLOSED BY COVERAGE",IF(AND(L805="COVERED",T805&lt;&gt;"UNRESOLVED"),"PARTIALLY ADOPTED","DECISIONS REMAIN")))</x:f>
        <x:v>COVERAGE FIRST</x:v>
      </x:c>
    </x:row>
    <x:row r="806">
      <x:c r="A806" s="13" t="str">
        <x:v>NAAFTC-HS6-180310</x:v>
      </x:c>
      <x:c r="B806" s="13" t="str">
        <x:v>180310</x:v>
      </x:c>
      <x:c r="C806" s="13" t="str">
        <x:v>18</x:v>
      </x:c>
      <x:c r="D806" s="13" t="str">
        <x:v>TRILATERAL_1_TO_1_TO_1</x:v>
      </x:c>
      <x:c r="E806" s="13" t="str">
        <x:v>Pending</x:v>
      </x:c>
      <x:c r="F806" s="13" t="n">
        <x:v>1</x:v>
      </x:c>
      <x:c r="G806" s="13" t="n">
        <x:v>1</x:v>
      </x:c>
      <x:c r="H806" s="13" t="n">
        <x:v>1</x:v>
      </x:c>
      <x:c r="I806" s="13" t="str">
        <x:v>1803100000</x:v>
      </x:c>
      <x:c r="J806" s="13" t="str">
        <x:v>1803100100</x:v>
      </x:c>
      <x:c r="K806" s="13" t="str">
        <x:v>1803100000</x:v>
      </x:c>
      <x:c r="L806" s="13" t="str">
        <x:v>UNRESOLVED</x:v>
      </x:c>
      <x:c r="M806" s="13" t="str"/>
      <x:c r="N806" s="13" t="str">
        <x:v>NO / DEFAULT</x:v>
      </x:c>
      <x:c r="O806" s="13" t="str"/>
      <x:c r="P806" s="13" t="str">
        <x:v>NO / DEFAULT</x:v>
      </x:c>
      <x:c r="Q806" s="13" t="str"/>
      <x:c r="R806" s="13" t="str">
        <x:v>INDEPENDENT / DEFAULT</x:v>
      </x:c>
      <x:c r="S806" s="13" t="str"/>
      <x:c r="T806" s="13" t="str">
        <x:v>UNRESOLVED</x:v>
      </x:c>
      <x:c r="U806" s="13" t="str"/>
      <x:c r="V806" s="13" t="str"/>
      <x:c r="W806" s="13" t="str"/>
      <x:c r="X806" s="13" t="str">
        <x:f>IF(L806&lt;&gt;"COVERED","HELD — COVERAGE",IF(N806="YES — SENSITIVE","C ACTIONABLE","CHAPTER 5 DEFAULT"))</x:f>
        <x:v>HELD — COVERAGE</x:v>
      </x:c>
      <x:c r="Y806" s="13" t="str">
        <x:f>IF(L806&lt;&gt;"COVERED","HELD — COVERAGE",IF(P806="YES — MANAGED ACCESS","D ACTIONABLE","NO D FIELD"))</x:f>
        <x:v>HELD — COVERAGE</x:v>
      </x:c>
      <x:c r="Z806" s="13" t="str">
        <x:f>IF(L806&lt;&gt;"COVERED","HELD — COVERAGE",IF(OR(R806="PAIRED SYNCHRONIZED",R806="TRILATERAL SYNCHRONIZED"),"E ACTIONABLE","INDEPENDENT"))</x:f>
        <x:v>HELD — COVERAGE</x:v>
      </x:c>
      <x:c r="AA806" s="13" t="str">
        <x:f>IF(L806&lt;&gt;"COVERED","HELD — COVERAGE","WAIT FOR UPSTREAM COMPLETION")</x:f>
        <x:v>HELD — COVERAGE</x:v>
      </x:c>
      <x:c r="AB806" s="13" t="str">
        <x:f>IF(L806&lt;&gt;"COVERED","HELD — COVERAGE",IF(T806="UNRESOLVED","G DECISION REQUIRED",IF(T806="NOT APPLICABLE","G N/A","G ACTIONABLE")))</x:f>
        <x:v>HELD — COVERAGE</x:v>
      </x:c>
      <x:c r="AC806" s="13" t="str">
        <x:f>IF(L806="UNRESOLVED","COVERAGE FIRST",IF(OR(L806="EXCLUDED",L806="OUT OF SCOPE"),"CLOSED BY COVERAGE",IF(AND(L806="COVERED",T806&lt;&gt;"UNRESOLVED"),"PARTIALLY ADOPTED","DECISIONS REMAIN")))</x:f>
        <x:v>COVERAGE FIRST</x:v>
      </x:c>
    </x:row>
    <x:row r="807">
      <x:c r="A807" s="13" t="str">
        <x:v>NAAFTC-HS6-180320</x:v>
      </x:c>
      <x:c r="B807" s="13" t="str">
        <x:v>180320</x:v>
      </x:c>
      <x:c r="C807" s="13" t="str">
        <x:v>18</x:v>
      </x:c>
      <x:c r="D807" s="13" t="str">
        <x:v>TRILATERAL_1_TO_1_TO_1</x:v>
      </x:c>
      <x:c r="E807" s="13" t="str">
        <x:v>Pending</x:v>
      </x:c>
      <x:c r="F807" s="13" t="n">
        <x:v>1</x:v>
      </x:c>
      <x:c r="G807" s="13" t="n">
        <x:v>1</x:v>
      </x:c>
      <x:c r="H807" s="13" t="n">
        <x:v>1</x:v>
      </x:c>
      <x:c r="I807" s="13" t="str">
        <x:v>1803200000</x:v>
      </x:c>
      <x:c r="J807" s="13" t="str">
        <x:v>1803200100</x:v>
      </x:c>
      <x:c r="K807" s="13" t="str">
        <x:v>1803200000</x:v>
      </x:c>
      <x:c r="L807" s="13" t="str">
        <x:v>UNRESOLVED</x:v>
      </x:c>
      <x:c r="M807" s="13" t="str"/>
      <x:c r="N807" s="13" t="str">
        <x:v>NO / DEFAULT</x:v>
      </x:c>
      <x:c r="O807" s="13" t="str"/>
      <x:c r="P807" s="13" t="str">
        <x:v>NO / DEFAULT</x:v>
      </x:c>
      <x:c r="Q807" s="13" t="str"/>
      <x:c r="R807" s="13" t="str">
        <x:v>INDEPENDENT / DEFAULT</x:v>
      </x:c>
      <x:c r="S807" s="13" t="str"/>
      <x:c r="T807" s="13" t="str">
        <x:v>UNRESOLVED</x:v>
      </x:c>
      <x:c r="U807" s="13" t="str"/>
      <x:c r="V807" s="13" t="str"/>
      <x:c r="W807" s="13" t="str"/>
      <x:c r="X807" s="13" t="str">
        <x:f>IF(L807&lt;&gt;"COVERED","HELD — COVERAGE",IF(N807="YES — SENSITIVE","C ACTIONABLE","CHAPTER 5 DEFAULT"))</x:f>
        <x:v>HELD — COVERAGE</x:v>
      </x:c>
      <x:c r="Y807" s="13" t="str">
        <x:f>IF(L807&lt;&gt;"COVERED","HELD — COVERAGE",IF(P807="YES — MANAGED ACCESS","D ACTIONABLE","NO D FIELD"))</x:f>
        <x:v>HELD — COVERAGE</x:v>
      </x:c>
      <x:c r="Z807" s="13" t="str">
        <x:f>IF(L807&lt;&gt;"COVERED","HELD — COVERAGE",IF(OR(R807="PAIRED SYNCHRONIZED",R807="TRILATERAL SYNCHRONIZED"),"E ACTIONABLE","INDEPENDENT"))</x:f>
        <x:v>HELD — COVERAGE</x:v>
      </x:c>
      <x:c r="AA807" s="13" t="str">
        <x:f>IF(L807&lt;&gt;"COVERED","HELD — COVERAGE","WAIT FOR UPSTREAM COMPLETION")</x:f>
        <x:v>HELD — COVERAGE</x:v>
      </x:c>
      <x:c r="AB807" s="13" t="str">
        <x:f>IF(L807&lt;&gt;"COVERED","HELD — COVERAGE",IF(T807="UNRESOLVED","G DECISION REQUIRED",IF(T807="NOT APPLICABLE","G N/A","G ACTIONABLE")))</x:f>
        <x:v>HELD — COVERAGE</x:v>
      </x:c>
      <x:c r="AC807" s="13" t="str">
        <x:f>IF(L807="UNRESOLVED","COVERAGE FIRST",IF(OR(L807="EXCLUDED",L807="OUT OF SCOPE"),"CLOSED BY COVERAGE",IF(AND(L807="COVERED",T807&lt;&gt;"UNRESOLVED"),"PARTIALLY ADOPTED","DECISIONS REMAIN")))</x:f>
        <x:v>COVERAGE FIRST</x:v>
      </x:c>
    </x:row>
    <x:row r="808">
      <x:c r="A808" s="13" t="str">
        <x:v>NAAFTC-HS6-180400</x:v>
      </x:c>
      <x:c r="B808" s="13" t="str">
        <x:v>180400</x:v>
      </x:c>
      <x:c r="C808" s="13" t="str">
        <x:v>18</x:v>
      </x:c>
      <x:c r="D808" s="13" t="str">
        <x:v>TRILATERAL_1_TO_1_TO_1</x:v>
      </x:c>
      <x:c r="E808" s="13" t="str">
        <x:v>Pending</x:v>
      </x:c>
      <x:c r="F808" s="13" t="n">
        <x:v>1</x:v>
      </x:c>
      <x:c r="G808" s="13" t="n">
        <x:v>1</x:v>
      </x:c>
      <x:c r="H808" s="13" t="n">
        <x:v>1</x:v>
      </x:c>
      <x:c r="I808" s="13" t="str">
        <x:v>1804000000</x:v>
      </x:c>
      <x:c r="J808" s="13" t="str">
        <x:v>1804000100</x:v>
      </x:c>
      <x:c r="K808" s="13" t="str">
        <x:v>1804000000</x:v>
      </x:c>
      <x:c r="L808" s="13" t="str">
        <x:v>UNRESOLVED</x:v>
      </x:c>
      <x:c r="M808" s="13" t="str"/>
      <x:c r="N808" s="13" t="str">
        <x:v>NO / DEFAULT</x:v>
      </x:c>
      <x:c r="O808" s="13" t="str"/>
      <x:c r="P808" s="13" t="str">
        <x:v>NO / DEFAULT</x:v>
      </x:c>
      <x:c r="Q808" s="13" t="str"/>
      <x:c r="R808" s="13" t="str">
        <x:v>INDEPENDENT / DEFAULT</x:v>
      </x:c>
      <x:c r="S808" s="13" t="str"/>
      <x:c r="T808" s="13" t="str">
        <x:v>UNRESOLVED</x:v>
      </x:c>
      <x:c r="U808" s="13" t="str"/>
      <x:c r="V808" s="13" t="str"/>
      <x:c r="W808" s="13" t="str"/>
      <x:c r="X808" s="13" t="str">
        <x:f>IF(L808&lt;&gt;"COVERED","HELD — COVERAGE",IF(N808="YES — SENSITIVE","C ACTIONABLE","CHAPTER 5 DEFAULT"))</x:f>
        <x:v>HELD — COVERAGE</x:v>
      </x:c>
      <x:c r="Y808" s="13" t="str">
        <x:f>IF(L808&lt;&gt;"COVERED","HELD — COVERAGE",IF(P808="YES — MANAGED ACCESS","D ACTIONABLE","NO D FIELD"))</x:f>
        <x:v>HELD — COVERAGE</x:v>
      </x:c>
      <x:c r="Z808" s="13" t="str">
        <x:f>IF(L808&lt;&gt;"COVERED","HELD — COVERAGE",IF(OR(R808="PAIRED SYNCHRONIZED",R808="TRILATERAL SYNCHRONIZED"),"E ACTIONABLE","INDEPENDENT"))</x:f>
        <x:v>HELD — COVERAGE</x:v>
      </x:c>
      <x:c r="AA808" s="13" t="str">
        <x:f>IF(L808&lt;&gt;"COVERED","HELD — COVERAGE","WAIT FOR UPSTREAM COMPLETION")</x:f>
        <x:v>HELD — COVERAGE</x:v>
      </x:c>
      <x:c r="AB808" s="13" t="str">
        <x:f>IF(L808&lt;&gt;"COVERED","HELD — COVERAGE",IF(T808="UNRESOLVED","G DECISION REQUIRED",IF(T808="NOT APPLICABLE","G N/A","G ACTIONABLE")))</x:f>
        <x:v>HELD — COVERAGE</x:v>
      </x:c>
      <x:c r="AC808" s="13" t="str">
        <x:f>IF(L808="UNRESOLVED","COVERAGE FIRST",IF(OR(L808="EXCLUDED",L808="OUT OF SCOPE"),"CLOSED BY COVERAGE",IF(AND(L808="COVERED",T808&lt;&gt;"UNRESOLVED"),"PARTIALLY ADOPTED","DECISIONS REMAIN")))</x:f>
        <x:v>COVERAGE FIRST</x:v>
      </x:c>
    </x:row>
    <x:row r="809">
      <x:c r="A809" s="13" t="str">
        <x:v>NAAFTC-HS6-180500</x:v>
      </x:c>
      <x:c r="B809" s="13" t="str">
        <x:v>180500</x:v>
      </x:c>
      <x:c r="C809" s="13" t="str">
        <x:v>18</x:v>
      </x:c>
      <x:c r="D809" s="13" t="str">
        <x:v>TRILATERAL_SPLIT_MERGE</x:v>
      </x:c>
      <x:c r="E809" s="13" t="str">
        <x:v>Pending</x:v>
      </x:c>
      <x:c r="F809" s="13" t="n">
        <x:v>2</x:v>
      </x:c>
      <x:c r="G809" s="13" t="n">
        <x:v>1</x:v>
      </x:c>
      <x:c r="H809" s="13" t="n">
        <x:v>1</x:v>
      </x:c>
      <x:c r="I809" s="13" t="str">
        <x:v>1805000010; 1805000090</x:v>
      </x:c>
      <x:c r="J809" s="13" t="str">
        <x:v>1805000100</x:v>
      </x:c>
      <x:c r="K809" s="13" t="str">
        <x:v>1805000000</x:v>
      </x:c>
      <x:c r="L809" s="13" t="str">
        <x:v>UNRESOLVED</x:v>
      </x:c>
      <x:c r="M809" s="13" t="str"/>
      <x:c r="N809" s="13" t="str">
        <x:v>NO / DEFAULT</x:v>
      </x:c>
      <x:c r="O809" s="13" t="str"/>
      <x:c r="P809" s="13" t="str">
        <x:v>NO / DEFAULT</x:v>
      </x:c>
      <x:c r="Q809" s="13" t="str"/>
      <x:c r="R809" s="13" t="str">
        <x:v>INDEPENDENT / DEFAULT</x:v>
      </x:c>
      <x:c r="S809" s="13" t="str"/>
      <x:c r="T809" s="13" t="str">
        <x:v>UNRESOLVED</x:v>
      </x:c>
      <x:c r="U809" s="13" t="str"/>
      <x:c r="V809" s="13" t="str"/>
      <x:c r="W809" s="13" t="str"/>
      <x:c r="X809" s="13" t="str">
        <x:f>IF(L809&lt;&gt;"COVERED","HELD — COVERAGE",IF(N809="YES — SENSITIVE","C ACTIONABLE","CHAPTER 5 DEFAULT"))</x:f>
        <x:v>HELD — COVERAGE</x:v>
      </x:c>
      <x:c r="Y809" s="13" t="str">
        <x:f>IF(L809&lt;&gt;"COVERED","HELD — COVERAGE",IF(P809="YES — MANAGED ACCESS","D ACTIONABLE","NO D FIELD"))</x:f>
        <x:v>HELD — COVERAGE</x:v>
      </x:c>
      <x:c r="Z809" s="13" t="str">
        <x:f>IF(L809&lt;&gt;"COVERED","HELD — COVERAGE",IF(OR(R809="PAIRED SYNCHRONIZED",R809="TRILATERAL SYNCHRONIZED"),"E ACTIONABLE","INDEPENDENT"))</x:f>
        <x:v>HELD — COVERAGE</x:v>
      </x:c>
      <x:c r="AA809" s="13" t="str">
        <x:f>IF(L809&lt;&gt;"COVERED","HELD — COVERAGE","WAIT FOR UPSTREAM COMPLETION")</x:f>
        <x:v>HELD — COVERAGE</x:v>
      </x:c>
      <x:c r="AB809" s="13" t="str">
        <x:f>IF(L809&lt;&gt;"COVERED","HELD — COVERAGE",IF(T809="UNRESOLVED","G DECISION REQUIRED",IF(T809="NOT APPLICABLE","G N/A","G ACTIONABLE")))</x:f>
        <x:v>HELD — COVERAGE</x:v>
      </x:c>
      <x:c r="AC809" s="13" t="str">
        <x:f>IF(L809="UNRESOLVED","COVERAGE FIRST",IF(OR(L809="EXCLUDED",L809="OUT OF SCOPE"),"CLOSED BY COVERAGE",IF(AND(L809="COVERED",T809&lt;&gt;"UNRESOLVED"),"PARTIALLY ADOPTED","DECISIONS REMAIN")))</x:f>
        <x:v>COVERAGE FIRST</x:v>
      </x:c>
    </x:row>
    <x:row r="810">
      <x:c r="A810" s="13" t="str">
        <x:v>NAAFTC-HS6-180610</x:v>
      </x:c>
      <x:c r="B810" s="13" t="str">
        <x:v>180610</x:v>
      </x:c>
      <x:c r="C810" s="13" t="str">
        <x:v>18</x:v>
      </x:c>
      <x:c r="D810" s="13" t="str">
        <x:v>TRILATERAL_SPLIT_MERGE</x:v>
      </x:c>
      <x:c r="E810" s="13" t="str">
        <x:v>Pending</x:v>
      </x:c>
      <x:c r="F810" s="13" t="n">
        <x:v>13</x:v>
      </x:c>
      <x:c r="G810" s="13" t="n">
        <x:v>2</x:v>
      </x:c>
      <x:c r="H810" s="13" t="n">
        <x:v>2</x:v>
      </x:c>
      <x:c r="I810" s="13" t="str">
        <x:v>1806100500; 1806101000; 1806101500; 1806102200; 1806102400; 1806102800; +7 more</x:v>
      </x:c>
      <x:c r="J810" s="13" t="str">
        <x:v>1806100100; 1806109900</x:v>
      </x:c>
      <x:c r="K810" s="13" t="str">
        <x:v>1806101000; 1806109000</x:v>
      </x:c>
      <x:c r="L810" s="13" t="str">
        <x:v>UNRESOLVED</x:v>
      </x:c>
      <x:c r="M810" s="13" t="str"/>
      <x:c r="N810" s="13" t="str">
        <x:v>NO / DEFAULT</x:v>
      </x:c>
      <x:c r="O810" s="13" t="str"/>
      <x:c r="P810" s="13" t="str">
        <x:v>NO / DEFAULT</x:v>
      </x:c>
      <x:c r="Q810" s="13" t="str"/>
      <x:c r="R810" s="13" t="str">
        <x:v>INDEPENDENT / DEFAULT</x:v>
      </x:c>
      <x:c r="S810" s="13" t="str"/>
      <x:c r="T810" s="13" t="str">
        <x:v>UNRESOLVED</x:v>
      </x:c>
      <x:c r="U810" s="13" t="str"/>
      <x:c r="V810" s="13" t="str"/>
      <x:c r="W810" s="13" t="str"/>
      <x:c r="X810" s="13" t="str">
        <x:f>IF(L810&lt;&gt;"COVERED","HELD — COVERAGE",IF(N810="YES — SENSITIVE","C ACTIONABLE","CHAPTER 5 DEFAULT"))</x:f>
        <x:v>HELD — COVERAGE</x:v>
      </x:c>
      <x:c r="Y810" s="13" t="str">
        <x:f>IF(L810&lt;&gt;"COVERED","HELD — COVERAGE",IF(P810="YES — MANAGED ACCESS","D ACTIONABLE","NO D FIELD"))</x:f>
        <x:v>HELD — COVERAGE</x:v>
      </x:c>
      <x:c r="Z810" s="13" t="str">
        <x:f>IF(L810&lt;&gt;"COVERED","HELD — COVERAGE",IF(OR(R810="PAIRED SYNCHRONIZED",R810="TRILATERAL SYNCHRONIZED"),"E ACTIONABLE","INDEPENDENT"))</x:f>
        <x:v>HELD — COVERAGE</x:v>
      </x:c>
      <x:c r="AA810" s="13" t="str">
        <x:f>IF(L810&lt;&gt;"COVERED","HELD — COVERAGE","WAIT FOR UPSTREAM COMPLETION")</x:f>
        <x:v>HELD — COVERAGE</x:v>
      </x:c>
      <x:c r="AB810" s="13" t="str">
        <x:f>IF(L810&lt;&gt;"COVERED","HELD — COVERAGE",IF(T810="UNRESOLVED","G DECISION REQUIRED",IF(T810="NOT APPLICABLE","G N/A","G ACTIONABLE")))</x:f>
        <x:v>HELD — COVERAGE</x:v>
      </x:c>
      <x:c r="AC810" s="13" t="str">
        <x:f>IF(L810="UNRESOLVED","COVERAGE FIRST",IF(OR(L810="EXCLUDED",L810="OUT OF SCOPE"),"CLOSED BY COVERAGE",IF(AND(L810="COVERED",T810&lt;&gt;"UNRESOLVED"),"PARTIALLY ADOPTED","DECISIONS REMAIN")))</x:f>
        <x:v>COVERAGE FIRST</x:v>
      </x:c>
    </x:row>
    <x:row r="811">
      <x:c r="A811" s="13" t="str">
        <x:v>NAAFTC-HS6-180620</x:v>
      </x:c>
      <x:c r="B811" s="13" t="str">
        <x:v>180620</x:v>
      </x:c>
      <x:c r="C811" s="13" t="str">
        <x:v>18</x:v>
      </x:c>
      <x:c r="D811" s="13" t="str">
        <x:v>TRILATERAL_SPLIT_MERGE</x:v>
      </x:c>
      <x:c r="E811" s="13" t="str">
        <x:v>Pending</x:v>
      </x:c>
      <x:c r="F811" s="13" t="n">
        <x:v>30</x:v>
      </x:c>
      <x:c r="G811" s="13" t="n">
        <x:v>1</x:v>
      </x:c>
      <x:c r="H811" s="13" t="n">
        <x:v>4</x:v>
      </x:c>
      <x:c r="I811" s="13" t="str">
        <x:v>1806202010; 1806202090; 1806202200; 1806202400; 1806202600; 1806202800; +24 more</x:v>
      </x:c>
      <x:c r="J811" s="13" t="str">
        <x:v>1806209100</x:v>
      </x:c>
      <x:c r="K811" s="13" t="str">
        <x:v>1806201000; 1806202100; 1806202200; 18062090</x:v>
      </x:c>
      <x:c r="L811" s="13" t="str">
        <x:v>UNRESOLVED</x:v>
      </x:c>
      <x:c r="M811" s="13" t="str"/>
      <x:c r="N811" s="13" t="str">
        <x:v>NO / DEFAULT</x:v>
      </x:c>
      <x:c r="O811" s="13" t="str"/>
      <x:c r="P811" s="13" t="str">
        <x:v>NO / DEFAULT</x:v>
      </x:c>
      <x:c r="Q811" s="13" t="str"/>
      <x:c r="R811" s="13" t="str">
        <x:v>INDEPENDENT / DEFAULT</x:v>
      </x:c>
      <x:c r="S811" s="13" t="str"/>
      <x:c r="T811" s="13" t="str">
        <x:v>UNRESOLVED</x:v>
      </x:c>
      <x:c r="U811" s="13" t="str"/>
      <x:c r="V811" s="13" t="str"/>
      <x:c r="W811" s="13" t="str"/>
      <x:c r="X811" s="13" t="str">
        <x:f>IF(L811&lt;&gt;"COVERED","HELD — COVERAGE",IF(N811="YES — SENSITIVE","C ACTIONABLE","CHAPTER 5 DEFAULT"))</x:f>
        <x:v>HELD — COVERAGE</x:v>
      </x:c>
      <x:c r="Y811" s="13" t="str">
        <x:f>IF(L811&lt;&gt;"COVERED","HELD — COVERAGE",IF(P811="YES — MANAGED ACCESS","D ACTIONABLE","NO D FIELD"))</x:f>
        <x:v>HELD — COVERAGE</x:v>
      </x:c>
      <x:c r="Z811" s="13" t="str">
        <x:f>IF(L811&lt;&gt;"COVERED","HELD — COVERAGE",IF(OR(R811="PAIRED SYNCHRONIZED",R811="TRILATERAL SYNCHRONIZED"),"E ACTIONABLE","INDEPENDENT"))</x:f>
        <x:v>HELD — COVERAGE</x:v>
      </x:c>
      <x:c r="AA811" s="13" t="str">
        <x:f>IF(L811&lt;&gt;"COVERED","HELD — COVERAGE","WAIT FOR UPSTREAM COMPLETION")</x:f>
        <x:v>HELD — COVERAGE</x:v>
      </x:c>
      <x:c r="AB811" s="13" t="str">
        <x:f>IF(L811&lt;&gt;"COVERED","HELD — COVERAGE",IF(T811="UNRESOLVED","G DECISION REQUIRED",IF(T811="NOT APPLICABLE","G N/A","G ACTIONABLE")))</x:f>
        <x:v>HELD — COVERAGE</x:v>
      </x:c>
      <x:c r="AC811" s="13" t="str">
        <x:f>IF(L811="UNRESOLVED","COVERAGE FIRST",IF(OR(L811="EXCLUDED",L811="OUT OF SCOPE"),"CLOSED BY COVERAGE",IF(AND(L811="COVERED",T811&lt;&gt;"UNRESOLVED"),"PARTIALLY ADOPTED","DECISIONS REMAIN")))</x:f>
        <x:v>COVERAGE FIRST</x:v>
      </x:c>
    </x:row>
    <x:row r="812">
      <x:c r="A812" s="13" t="str">
        <x:v>NAAFTC-HS6-180631</x:v>
      </x:c>
      <x:c r="B812" s="13" t="str">
        <x:v>180631</x:v>
      </x:c>
      <x:c r="C812" s="13" t="str">
        <x:v>18</x:v>
      </x:c>
      <x:c r="D812" s="13" t="str">
        <x:v>TRILATERAL_SPLIT_MERGE</x:v>
      </x:c>
      <x:c r="E812" s="13" t="str">
        <x:v>Pending</x:v>
      </x:c>
      <x:c r="F812" s="13" t="n">
        <x:v>4</x:v>
      </x:c>
      <x:c r="G812" s="13" t="n">
        <x:v>1</x:v>
      </x:c>
      <x:c r="H812" s="13" t="n">
        <x:v>1</x:v>
      </x:c>
      <x:c r="I812" s="13" t="str">
        <x:v>1806310041; 1806310055; 1806310065; 1806310080</x:v>
      </x:c>
      <x:c r="J812" s="13" t="str">
        <x:v>1806310100</x:v>
      </x:c>
      <x:c r="K812" s="13" t="str">
        <x:v>1806310000</x:v>
      </x:c>
      <x:c r="L812" s="13" t="str">
        <x:v>UNRESOLVED</x:v>
      </x:c>
      <x:c r="M812" s="13" t="str"/>
      <x:c r="N812" s="13" t="str">
        <x:v>NO / DEFAULT</x:v>
      </x:c>
      <x:c r="O812" s="13" t="str"/>
      <x:c r="P812" s="13" t="str">
        <x:v>NO / DEFAULT</x:v>
      </x:c>
      <x:c r="Q812" s="13" t="str"/>
      <x:c r="R812" s="13" t="str">
        <x:v>INDEPENDENT / DEFAULT</x:v>
      </x:c>
      <x:c r="S812" s="13" t="str"/>
      <x:c r="T812" s="13" t="str">
        <x:v>UNRESOLVED</x:v>
      </x:c>
      <x:c r="U812" s="13" t="str"/>
      <x:c r="V812" s="13" t="str"/>
      <x:c r="W812" s="13" t="str"/>
      <x:c r="X812" s="13" t="str">
        <x:f>IF(L812&lt;&gt;"COVERED","HELD — COVERAGE",IF(N812="YES — SENSITIVE","C ACTIONABLE","CHAPTER 5 DEFAULT"))</x:f>
        <x:v>HELD — COVERAGE</x:v>
      </x:c>
      <x:c r="Y812" s="13" t="str">
        <x:f>IF(L812&lt;&gt;"COVERED","HELD — COVERAGE",IF(P812="YES — MANAGED ACCESS","D ACTIONABLE","NO D FIELD"))</x:f>
        <x:v>HELD — COVERAGE</x:v>
      </x:c>
      <x:c r="Z812" s="13" t="str">
        <x:f>IF(L812&lt;&gt;"COVERED","HELD — COVERAGE",IF(OR(R812="PAIRED SYNCHRONIZED",R812="TRILATERAL SYNCHRONIZED"),"E ACTIONABLE","INDEPENDENT"))</x:f>
        <x:v>HELD — COVERAGE</x:v>
      </x:c>
      <x:c r="AA812" s="13" t="str">
        <x:f>IF(L812&lt;&gt;"COVERED","HELD — COVERAGE","WAIT FOR UPSTREAM COMPLETION")</x:f>
        <x:v>HELD — COVERAGE</x:v>
      </x:c>
      <x:c r="AB812" s="13" t="str">
        <x:f>IF(L812&lt;&gt;"COVERED","HELD — COVERAGE",IF(T812="UNRESOLVED","G DECISION REQUIRED",IF(T812="NOT APPLICABLE","G N/A","G ACTIONABLE")))</x:f>
        <x:v>HELD — COVERAGE</x:v>
      </x:c>
      <x:c r="AC812" s="13" t="str">
        <x:f>IF(L812="UNRESOLVED","COVERAGE FIRST",IF(OR(L812="EXCLUDED",L812="OUT OF SCOPE"),"CLOSED BY COVERAGE",IF(AND(L812="COVERED",T812&lt;&gt;"UNRESOLVED"),"PARTIALLY ADOPTED","DECISIONS REMAIN")))</x:f>
        <x:v>COVERAGE FIRST</x:v>
      </x:c>
    </x:row>
    <x:row r="813">
      <x:c r="A813" s="13" t="str">
        <x:v>NAAFTC-HS6-180632</x:v>
      </x:c>
      <x:c r="B813" s="13" t="str">
        <x:v>180632</x:v>
      </x:c>
      <x:c r="C813" s="13" t="str">
        <x:v>18</x:v>
      </x:c>
      <x:c r="D813" s="13" t="str">
        <x:v>TRILATERAL_SPLIT_MERGE</x:v>
      </x:c>
      <x:c r="E813" s="13" t="str">
        <x:v>Pending</x:v>
      </x:c>
      <x:c r="F813" s="13" t="n">
        <x:v>15</x:v>
      </x:c>
      <x:c r="G813" s="13" t="n">
        <x:v>1</x:v>
      </x:c>
      <x:c r="H813" s="13" t="n">
        <x:v>1</x:v>
      </x:c>
      <x:c r="I813" s="13" t="str">
        <x:v>1806320100; 1806320400; 1806320600; 1806320800; 1806321400; 1806321600; +9 more</x:v>
      </x:c>
      <x:c r="J813" s="13" t="str">
        <x:v>1806320100</x:v>
      </x:c>
      <x:c r="K813" s="13" t="str">
        <x:v>18063200</x:v>
      </x:c>
      <x:c r="L813" s="13" t="str">
        <x:v>UNRESOLVED</x:v>
      </x:c>
      <x:c r="M813" s="13" t="str"/>
      <x:c r="N813" s="13" t="str">
        <x:v>NO / DEFAULT</x:v>
      </x:c>
      <x:c r="O813" s="13" t="str"/>
      <x:c r="P813" s="13" t="str">
        <x:v>NO / DEFAULT</x:v>
      </x:c>
      <x:c r="Q813" s="13" t="str"/>
      <x:c r="R813" s="13" t="str">
        <x:v>INDEPENDENT / DEFAULT</x:v>
      </x:c>
      <x:c r="S813" s="13" t="str"/>
      <x:c r="T813" s="13" t="str">
        <x:v>UNRESOLVED</x:v>
      </x:c>
      <x:c r="U813" s="13" t="str"/>
      <x:c r="V813" s="13" t="str"/>
      <x:c r="W813" s="13" t="str"/>
      <x:c r="X813" s="13" t="str">
        <x:f>IF(L813&lt;&gt;"COVERED","HELD — COVERAGE",IF(N813="YES — SENSITIVE","C ACTIONABLE","CHAPTER 5 DEFAULT"))</x:f>
        <x:v>HELD — COVERAGE</x:v>
      </x:c>
      <x:c r="Y813" s="13" t="str">
        <x:f>IF(L813&lt;&gt;"COVERED","HELD — COVERAGE",IF(P813="YES — MANAGED ACCESS","D ACTIONABLE","NO D FIELD"))</x:f>
        <x:v>HELD — COVERAGE</x:v>
      </x:c>
      <x:c r="Z813" s="13" t="str">
        <x:f>IF(L813&lt;&gt;"COVERED","HELD — COVERAGE",IF(OR(R813="PAIRED SYNCHRONIZED",R813="TRILATERAL SYNCHRONIZED"),"E ACTIONABLE","INDEPENDENT"))</x:f>
        <x:v>HELD — COVERAGE</x:v>
      </x:c>
      <x:c r="AA813" s="13" t="str">
        <x:f>IF(L813&lt;&gt;"COVERED","HELD — COVERAGE","WAIT FOR UPSTREAM COMPLETION")</x:f>
        <x:v>HELD — COVERAGE</x:v>
      </x:c>
      <x:c r="AB813" s="13" t="str">
        <x:f>IF(L813&lt;&gt;"COVERED","HELD — COVERAGE",IF(T813="UNRESOLVED","G DECISION REQUIRED",IF(T813="NOT APPLICABLE","G N/A","G ACTIONABLE")))</x:f>
        <x:v>HELD — COVERAGE</x:v>
      </x:c>
      <x:c r="AC813" s="13" t="str">
        <x:f>IF(L813="UNRESOLVED","COVERAGE FIRST",IF(OR(L813="EXCLUDED",L813="OUT OF SCOPE"),"CLOSED BY COVERAGE",IF(AND(L813="COVERED",T813&lt;&gt;"UNRESOLVED"),"PARTIALLY ADOPTED","DECISIONS REMAIN")))</x:f>
        <x:v>COVERAGE FIRST</x:v>
      </x:c>
    </x:row>
    <x:row r="814">
      <x:c r="A814" s="13" t="str">
        <x:v>NAAFTC-HS6-180690</x:v>
      </x:c>
      <x:c r="B814" s="13" t="str">
        <x:v>180690</x:v>
      </x:c>
      <x:c r="C814" s="13" t="str">
        <x:v>18</x:v>
      </x:c>
      <x:c r="D814" s="13" t="str">
        <x:v>TRILATERAL_SPLIT_MERGE</x:v>
      </x:c>
      <x:c r="E814" s="13" t="str">
        <x:v>Pending</x:v>
      </x:c>
      <x:c r="F814" s="13" t="n">
        <x:v>21</x:v>
      </x:c>
      <x:c r="G814" s="13" t="n">
        <x:v>2</x:v>
      </x:c>
      <x:c r="H814" s="13" t="n">
        <x:v>3</x:v>
      </x:c>
      <x:c r="I814" s="13" t="str">
        <x:v>1806900100; 1806900500; 1806900800; 1806901000; 1806901500; 1806901800; +15 more</x:v>
      </x:c>
      <x:c r="J814" s="13" t="str">
        <x:v>1806909901; 1806909999</x:v>
      </x:c>
      <x:c r="K814" s="13" t="str">
        <x:v>1806901100; 1806901200; 18069090</x:v>
      </x:c>
      <x:c r="L814" s="13" t="str">
        <x:v>UNRESOLVED</x:v>
      </x:c>
      <x:c r="M814" s="13" t="str"/>
      <x:c r="N814" s="13" t="str">
        <x:v>NO / DEFAULT</x:v>
      </x:c>
      <x:c r="O814" s="13" t="str"/>
      <x:c r="P814" s="13" t="str">
        <x:v>NO / DEFAULT</x:v>
      </x:c>
      <x:c r="Q814" s="13" t="str"/>
      <x:c r="R814" s="13" t="str">
        <x:v>INDEPENDENT / DEFAULT</x:v>
      </x:c>
      <x:c r="S814" s="13" t="str"/>
      <x:c r="T814" s="13" t="str">
        <x:v>UNRESOLVED</x:v>
      </x:c>
      <x:c r="U814" s="13" t="str"/>
      <x:c r="V814" s="13" t="str"/>
      <x:c r="W814" s="13" t="str"/>
      <x:c r="X814" s="13" t="str">
        <x:f>IF(L814&lt;&gt;"COVERED","HELD — COVERAGE",IF(N814="YES — SENSITIVE","C ACTIONABLE","CHAPTER 5 DEFAULT"))</x:f>
        <x:v>HELD — COVERAGE</x:v>
      </x:c>
      <x:c r="Y814" s="13" t="str">
        <x:f>IF(L814&lt;&gt;"COVERED","HELD — COVERAGE",IF(P814="YES — MANAGED ACCESS","D ACTIONABLE","NO D FIELD"))</x:f>
        <x:v>HELD — COVERAGE</x:v>
      </x:c>
      <x:c r="Z814" s="13" t="str">
        <x:f>IF(L814&lt;&gt;"COVERED","HELD — COVERAGE",IF(OR(R814="PAIRED SYNCHRONIZED",R814="TRILATERAL SYNCHRONIZED"),"E ACTIONABLE","INDEPENDENT"))</x:f>
        <x:v>HELD — COVERAGE</x:v>
      </x:c>
      <x:c r="AA814" s="13" t="str">
        <x:f>IF(L814&lt;&gt;"COVERED","HELD — COVERAGE","WAIT FOR UPSTREAM COMPLETION")</x:f>
        <x:v>HELD — COVERAGE</x:v>
      </x:c>
      <x:c r="AB814" s="13" t="str">
        <x:f>IF(L814&lt;&gt;"COVERED","HELD — COVERAGE",IF(T814="UNRESOLVED","G DECISION REQUIRED",IF(T814="NOT APPLICABLE","G N/A","G ACTIONABLE")))</x:f>
        <x:v>HELD — COVERAGE</x:v>
      </x:c>
      <x:c r="AC814" s="13" t="str">
        <x:f>IF(L814="UNRESOLVED","COVERAGE FIRST",IF(OR(L814="EXCLUDED",L814="OUT OF SCOPE"),"CLOSED BY COVERAGE",IF(AND(L814="COVERED",T814&lt;&gt;"UNRESOLVED"),"PARTIALLY ADOPTED","DECISIONS REMAIN")))</x:f>
        <x:v>COVERAGE FIRST</x:v>
      </x:c>
    </x:row>
    <x:row r="815">
      <x:c r="A815" s="13" t="str">
        <x:v>NAAFTC-HS6-190110</x:v>
      </x:c>
      <x:c r="B815" s="13" t="str">
        <x:v>190110</x:v>
      </x:c>
      <x:c r="C815" s="13" t="str">
        <x:v>19</x:v>
      </x:c>
      <x:c r="D815" s="13" t="str">
        <x:v>TRILATERAL_SPLIT_MERGE</x:v>
      </x:c>
      <x:c r="E815" s="13" t="str">
        <x:v>Pending</x:v>
      </x:c>
      <x:c r="F815" s="13" t="n">
        <x:v>22</x:v>
      </x:c>
      <x:c r="G815" s="13" t="n">
        <x:v>2</x:v>
      </x:c>
      <x:c r="H815" s="13" t="n">
        <x:v>3</x:v>
      </x:c>
      <x:c r="I815" s="13" t="str">
        <x:v>1901100500; 1901101100; 1901101600; 1901102100; 1901102600; 1901102900; +16 more</x:v>
      </x:c>
      <x:c r="J815" s="13" t="str">
        <x:v>1901100201; 1901100299</x:v>
      </x:c>
      <x:c r="K815" s="13" t="str">
        <x:v>1901101000; 19011020; 19011090</x:v>
      </x:c>
      <x:c r="L815" s="13" t="str">
        <x:v>UNRESOLVED</x:v>
      </x:c>
      <x:c r="M815" s="13" t="str"/>
      <x:c r="N815" s="13" t="str">
        <x:v>NO / DEFAULT</x:v>
      </x:c>
      <x:c r="O815" s="13" t="str"/>
      <x:c r="P815" s="13" t="str">
        <x:v>NO / DEFAULT</x:v>
      </x:c>
      <x:c r="Q815" s="13" t="str"/>
      <x:c r="R815" s="13" t="str">
        <x:v>INDEPENDENT / DEFAULT</x:v>
      </x:c>
      <x:c r="S815" s="13" t="str"/>
      <x:c r="T815" s="13" t="str">
        <x:v>UNRESOLVED</x:v>
      </x:c>
      <x:c r="U815" s="13" t="str"/>
      <x:c r="V815" s="13" t="str"/>
      <x:c r="W815" s="13" t="str"/>
      <x:c r="X815" s="13" t="str">
        <x:f>IF(L815&lt;&gt;"COVERED","HELD — COVERAGE",IF(N815="YES — SENSITIVE","C ACTIONABLE","CHAPTER 5 DEFAULT"))</x:f>
        <x:v>HELD — COVERAGE</x:v>
      </x:c>
      <x:c r="Y815" s="13" t="str">
        <x:f>IF(L815&lt;&gt;"COVERED","HELD — COVERAGE",IF(P815="YES — MANAGED ACCESS","D ACTIONABLE","NO D FIELD"))</x:f>
        <x:v>HELD — COVERAGE</x:v>
      </x:c>
      <x:c r="Z815" s="13" t="str">
        <x:f>IF(L815&lt;&gt;"COVERED","HELD — COVERAGE",IF(OR(R815="PAIRED SYNCHRONIZED",R815="TRILATERAL SYNCHRONIZED"),"E ACTIONABLE","INDEPENDENT"))</x:f>
        <x:v>HELD — COVERAGE</x:v>
      </x:c>
      <x:c r="AA815" s="13" t="str">
        <x:f>IF(L815&lt;&gt;"COVERED","HELD — COVERAGE","WAIT FOR UPSTREAM COMPLETION")</x:f>
        <x:v>HELD — COVERAGE</x:v>
      </x:c>
      <x:c r="AB815" s="13" t="str">
        <x:f>IF(L815&lt;&gt;"COVERED","HELD — COVERAGE",IF(T815="UNRESOLVED","G DECISION REQUIRED",IF(T815="NOT APPLICABLE","G N/A","G ACTIONABLE")))</x:f>
        <x:v>HELD — COVERAGE</x:v>
      </x:c>
      <x:c r="AC815" s="13" t="str">
        <x:f>IF(L815="UNRESOLVED","COVERAGE FIRST",IF(OR(L815="EXCLUDED",L815="OUT OF SCOPE"),"CLOSED BY COVERAGE",IF(AND(L815="COVERED",T815&lt;&gt;"UNRESOLVED"),"PARTIALLY ADOPTED","DECISIONS REMAIN")))</x:f>
        <x:v>COVERAGE FIRST</x:v>
      </x:c>
    </x:row>
    <x:row r="816">
      <x:c r="A816" s="13" t="str">
        <x:v>NAAFTC-HS6-190120</x:v>
      </x:c>
      <x:c r="B816" s="13" t="str">
        <x:v>190120</x:v>
      </x:c>
      <x:c r="C816" s="13" t="str">
        <x:v>19</x:v>
      </x:c>
      <x:c r="D816" s="13" t="str">
        <x:v>TRILATERAL_SPLIT_MERGE</x:v>
      </x:c>
      <x:c r="E816" s="13" t="str">
        <x:v>Pending</x:v>
      </x:c>
      <x:c r="F816" s="13" t="n">
        <x:v>16</x:v>
      </x:c>
      <x:c r="G816" s="13" t="n">
        <x:v>3</x:v>
      </x:c>
      <x:c r="H816" s="13" t="n">
        <x:v>6</x:v>
      </x:c>
      <x:c r="I816" s="13" t="str">
        <x:v>1901200200; 1901200500; 1901201500; 1901202000; 1901202500; 1901203000; +10 more</x:v>
      </x:c>
      <x:c r="J816" s="13" t="str">
        <x:v>1901200200; 1901209901; 1901209999</x:v>
      </x:c>
      <x:c r="K816" s="13" t="str">
        <x:v>19012011; 19012012; 19012013; 19012014; 19012015; 19012019</x:v>
      </x:c>
      <x:c r="L816" s="13" t="str">
        <x:v>UNRESOLVED</x:v>
      </x:c>
      <x:c r="M816" s="13" t="str"/>
      <x:c r="N816" s="13" t="str">
        <x:v>NO / DEFAULT</x:v>
      </x:c>
      <x:c r="O816" s="13" t="str"/>
      <x:c r="P816" s="13" t="str">
        <x:v>NO / DEFAULT</x:v>
      </x:c>
      <x:c r="Q816" s="13" t="str"/>
      <x:c r="R816" s="13" t="str">
        <x:v>INDEPENDENT / DEFAULT</x:v>
      </x:c>
      <x:c r="S816" s="13" t="str"/>
      <x:c r="T816" s="13" t="str">
        <x:v>UNRESOLVED</x:v>
      </x:c>
      <x:c r="U816" s="13" t="str"/>
      <x:c r="V816" s="13" t="str"/>
      <x:c r="W816" s="13" t="str"/>
      <x:c r="X816" s="13" t="str">
        <x:f>IF(L816&lt;&gt;"COVERED","HELD — COVERAGE",IF(N816="YES — SENSITIVE","C ACTIONABLE","CHAPTER 5 DEFAULT"))</x:f>
        <x:v>HELD — COVERAGE</x:v>
      </x:c>
      <x:c r="Y816" s="13" t="str">
        <x:f>IF(L816&lt;&gt;"COVERED","HELD — COVERAGE",IF(P816="YES — MANAGED ACCESS","D ACTIONABLE","NO D FIELD"))</x:f>
        <x:v>HELD — COVERAGE</x:v>
      </x:c>
      <x:c r="Z816" s="13" t="str">
        <x:f>IF(L816&lt;&gt;"COVERED","HELD — COVERAGE",IF(OR(R816="PAIRED SYNCHRONIZED",R816="TRILATERAL SYNCHRONIZED"),"E ACTIONABLE","INDEPENDENT"))</x:f>
        <x:v>HELD — COVERAGE</x:v>
      </x:c>
      <x:c r="AA816" s="13" t="str">
        <x:f>IF(L816&lt;&gt;"COVERED","HELD — COVERAGE","WAIT FOR UPSTREAM COMPLETION")</x:f>
        <x:v>HELD — COVERAGE</x:v>
      </x:c>
      <x:c r="AB816" s="13" t="str">
        <x:f>IF(L816&lt;&gt;"COVERED","HELD — COVERAGE",IF(T816="UNRESOLVED","G DECISION REQUIRED",IF(T816="NOT APPLICABLE","G N/A","G ACTIONABLE")))</x:f>
        <x:v>HELD — COVERAGE</x:v>
      </x:c>
      <x:c r="AC816" s="13" t="str">
        <x:f>IF(L816="UNRESOLVED","COVERAGE FIRST",IF(OR(L816="EXCLUDED",L816="OUT OF SCOPE"),"CLOSED BY COVERAGE",IF(AND(L816="COVERED",T816&lt;&gt;"UNRESOLVED"),"PARTIALLY ADOPTED","DECISIONS REMAIN")))</x:f>
        <x:v>COVERAGE FIRST</x:v>
      </x:c>
    </x:row>
    <x:row r="817">
      <x:c r="A817" s="13" t="str">
        <x:v>NAAFTC-HS6-190190</x:v>
      </x:c>
      <x:c r="B817" s="13" t="str">
        <x:v>190190</x:v>
      </x:c>
      <x:c r="C817" s="13" t="str">
        <x:v>19</x:v>
      </x:c>
      <x:c r="D817" s="13" t="str">
        <x:v>TRILATERAL_SPLIT_MERGE</x:v>
      </x:c>
      <x:c r="E817" s="13" t="str">
        <x:v>Pending</x:v>
      </x:c>
      <x:c r="F817" s="13" t="n">
        <x:v>23</x:v>
      </x:c>
      <x:c r="G817" s="13" t="n">
        <x:v>6</x:v>
      </x:c>
      <x:c r="H817" s="13" t="n">
        <x:v>7</x:v>
      </x:c>
      <x:c r="I817" s="13" t="str">
        <x:v>1901901000; 1901902000; 1901902500; 1901902800; 1901903200; 1901903300; +17 more</x:v>
      </x:c>
      <x:c r="J817" s="13" t="str">
        <x:v>1901900200; 1901900300; 1901900400; 1901900500; 1901909901; 1901909999</x:v>
      </x:c>
      <x:c r="K817" s="13" t="str">
        <x:v>1901901200; 19019020; 1901903100; 1901903200; 19019033; 19019034; +1 more</x:v>
      </x:c>
      <x:c r="L817" s="13" t="str">
        <x:v>UNRESOLVED</x:v>
      </x:c>
      <x:c r="M817" s="13" t="str"/>
      <x:c r="N817" s="13" t="str">
        <x:v>NO / DEFAULT</x:v>
      </x:c>
      <x:c r="O817" s="13" t="str"/>
      <x:c r="P817" s="13" t="str">
        <x:v>NO / DEFAULT</x:v>
      </x:c>
      <x:c r="Q817" s="13" t="str"/>
      <x:c r="R817" s="13" t="str">
        <x:v>INDEPENDENT / DEFAULT</x:v>
      </x:c>
      <x:c r="S817" s="13" t="str"/>
      <x:c r="T817" s="13" t="str">
        <x:v>UNRESOLVED</x:v>
      </x:c>
      <x:c r="U817" s="13" t="str"/>
      <x:c r="V817" s="13" t="str"/>
      <x:c r="W817" s="13" t="str"/>
      <x:c r="X817" s="13" t="str">
        <x:f>IF(L817&lt;&gt;"COVERED","HELD — COVERAGE",IF(N817="YES — SENSITIVE","C ACTIONABLE","CHAPTER 5 DEFAULT"))</x:f>
        <x:v>HELD — COVERAGE</x:v>
      </x:c>
      <x:c r="Y817" s="13" t="str">
        <x:f>IF(L817&lt;&gt;"COVERED","HELD — COVERAGE",IF(P817="YES — MANAGED ACCESS","D ACTIONABLE","NO D FIELD"))</x:f>
        <x:v>HELD — COVERAGE</x:v>
      </x:c>
      <x:c r="Z817" s="13" t="str">
        <x:f>IF(L817&lt;&gt;"COVERED","HELD — COVERAGE",IF(OR(R817="PAIRED SYNCHRONIZED",R817="TRILATERAL SYNCHRONIZED"),"E ACTIONABLE","INDEPENDENT"))</x:f>
        <x:v>HELD — COVERAGE</x:v>
      </x:c>
      <x:c r="AA817" s="13" t="str">
        <x:f>IF(L817&lt;&gt;"COVERED","HELD — COVERAGE","WAIT FOR UPSTREAM COMPLETION")</x:f>
        <x:v>HELD — COVERAGE</x:v>
      </x:c>
      <x:c r="AB817" s="13" t="str">
        <x:f>IF(L817&lt;&gt;"COVERED","HELD — COVERAGE",IF(T817="UNRESOLVED","G DECISION REQUIRED",IF(T817="NOT APPLICABLE","G N/A","G ACTIONABLE")))</x:f>
        <x:v>HELD — COVERAGE</x:v>
      </x:c>
      <x:c r="AC817" s="13" t="str">
        <x:f>IF(L817="UNRESOLVED","COVERAGE FIRST",IF(OR(L817="EXCLUDED",L817="OUT OF SCOPE"),"CLOSED BY COVERAGE",IF(AND(L817="COVERED",T817&lt;&gt;"UNRESOLVED"),"PARTIALLY ADOPTED","DECISIONS REMAIN")))</x:f>
        <x:v>COVERAGE FIRST</x:v>
      </x:c>
    </x:row>
    <x:row r="818">
      <x:c r="A818" s="13" t="str">
        <x:v>NAAFTC-HS6-190211</x:v>
      </x:c>
      <x:c r="B818" s="13" t="str">
        <x:v>190211</x:v>
      </x:c>
      <x:c r="C818" s="13" t="str">
        <x:v>19</x:v>
      </x:c>
      <x:c r="D818" s="13" t="str">
        <x:v>TRILATERAL_SPLIT_MERGE</x:v>
      </x:c>
      <x:c r="E818" s="13" t="str">
        <x:v>Pending</x:v>
      </x:c>
      <x:c r="F818" s="13" t="n">
        <x:v>5</x:v>
      </x:c>
      <x:c r="G818" s="13" t="n">
        <x:v>1</x:v>
      </x:c>
      <x:c r="H818" s="13" t="n">
        <x:v>3</x:v>
      </x:c>
      <x:c r="I818" s="13" t="str">
        <x:v>1902112010; 1902112020; 1902112030; 1902112090; 1902114000</x:v>
      </x:c>
      <x:c r="J818" s="13" t="str">
        <x:v>1902110100</x:v>
      </x:c>
      <x:c r="K818" s="13" t="str">
        <x:v>19021121; 19021129; 1902119000</x:v>
      </x:c>
      <x:c r="L818" s="13" t="str">
        <x:v>UNRESOLVED</x:v>
      </x:c>
      <x:c r="M818" s="13" t="str"/>
      <x:c r="N818" s="13" t="str">
        <x:v>NO / DEFAULT</x:v>
      </x:c>
      <x:c r="O818" s="13" t="str"/>
      <x:c r="P818" s="13" t="str">
        <x:v>NO / DEFAULT</x:v>
      </x:c>
      <x:c r="Q818" s="13" t="str"/>
      <x:c r="R818" s="13" t="str">
        <x:v>INDEPENDENT / DEFAULT</x:v>
      </x:c>
      <x:c r="S818" s="13" t="str"/>
      <x:c r="T818" s="13" t="str">
        <x:v>UNRESOLVED</x:v>
      </x:c>
      <x:c r="U818" s="13" t="str"/>
      <x:c r="V818" s="13" t="str"/>
      <x:c r="W818" s="13" t="str"/>
      <x:c r="X818" s="13" t="str">
        <x:f>IF(L818&lt;&gt;"COVERED","HELD — COVERAGE",IF(N818="YES — SENSITIVE","C ACTIONABLE","CHAPTER 5 DEFAULT"))</x:f>
        <x:v>HELD — COVERAGE</x:v>
      </x:c>
      <x:c r="Y818" s="13" t="str">
        <x:f>IF(L818&lt;&gt;"COVERED","HELD — COVERAGE",IF(P818="YES — MANAGED ACCESS","D ACTIONABLE","NO D FIELD"))</x:f>
        <x:v>HELD — COVERAGE</x:v>
      </x:c>
      <x:c r="Z818" s="13" t="str">
        <x:f>IF(L818&lt;&gt;"COVERED","HELD — COVERAGE",IF(OR(R818="PAIRED SYNCHRONIZED",R818="TRILATERAL SYNCHRONIZED"),"E ACTIONABLE","INDEPENDENT"))</x:f>
        <x:v>HELD — COVERAGE</x:v>
      </x:c>
      <x:c r="AA818" s="13" t="str">
        <x:f>IF(L818&lt;&gt;"COVERED","HELD — COVERAGE","WAIT FOR UPSTREAM COMPLETION")</x:f>
        <x:v>HELD — COVERAGE</x:v>
      </x:c>
      <x:c r="AB818" s="13" t="str">
        <x:f>IF(L818&lt;&gt;"COVERED","HELD — COVERAGE",IF(T818="UNRESOLVED","G DECISION REQUIRED",IF(T818="NOT APPLICABLE","G N/A","G ACTIONABLE")))</x:f>
        <x:v>HELD — COVERAGE</x:v>
      </x:c>
      <x:c r="AC818" s="13" t="str">
        <x:f>IF(L818="UNRESOLVED","COVERAGE FIRST",IF(OR(L818="EXCLUDED",L818="OUT OF SCOPE"),"CLOSED BY COVERAGE",IF(AND(L818="COVERED",T818&lt;&gt;"UNRESOLVED"),"PARTIALLY ADOPTED","DECISIONS REMAIN")))</x:f>
        <x:v>COVERAGE FIRST</x:v>
      </x:c>
    </x:row>
    <x:row r="819">
      <x:c r="A819" s="13" t="str">
        <x:v>NAAFTC-HS6-190219</x:v>
      </x:c>
      <x:c r="B819" s="13" t="str">
        <x:v>190219</x:v>
      </x:c>
      <x:c r="C819" s="13" t="str">
        <x:v>19</x:v>
      </x:c>
      <x:c r="D819" s="13" t="str">
        <x:v>TRILATERAL_SPLIT_MERGE</x:v>
      </x:c>
      <x:c r="E819" s="13" t="str">
        <x:v>Pending</x:v>
      </x:c>
      <x:c r="F819" s="13" t="n">
        <x:v>7</x:v>
      </x:c>
      <x:c r="G819" s="13" t="n">
        <x:v>1</x:v>
      </x:c>
      <x:c r="H819" s="13" t="n">
        <x:v>6</x:v>
      </x:c>
      <x:c r="I819" s="13" t="str">
        <x:v>1902192010; 1902192020; 1902192040; 1902192050; 1902192075; 1902192085; +1 more</x:v>
      </x:c>
      <x:c r="J819" s="13" t="str">
        <x:v>1902199900</x:v>
      </x:c>
      <x:c r="K819" s="13" t="str">
        <x:v>1902191100; 19021912; 1902199100; 19021992; 1902199300; 19021999</x:v>
      </x:c>
      <x:c r="L819" s="13" t="str">
        <x:v>UNRESOLVED</x:v>
      </x:c>
      <x:c r="M819" s="13" t="str"/>
      <x:c r="N819" s="13" t="str">
        <x:v>NO / DEFAULT</x:v>
      </x:c>
      <x:c r="O819" s="13" t="str"/>
      <x:c r="P819" s="13" t="str">
        <x:v>NO / DEFAULT</x:v>
      </x:c>
      <x:c r="Q819" s="13" t="str"/>
      <x:c r="R819" s="13" t="str">
        <x:v>INDEPENDENT / DEFAULT</x:v>
      </x:c>
      <x:c r="S819" s="13" t="str"/>
      <x:c r="T819" s="13" t="str">
        <x:v>UNRESOLVED</x:v>
      </x:c>
      <x:c r="U819" s="13" t="str"/>
      <x:c r="V819" s="13" t="str"/>
      <x:c r="W819" s="13" t="str"/>
      <x:c r="X819" s="13" t="str">
        <x:f>IF(L819&lt;&gt;"COVERED","HELD — COVERAGE",IF(N819="YES — SENSITIVE","C ACTIONABLE","CHAPTER 5 DEFAULT"))</x:f>
        <x:v>HELD — COVERAGE</x:v>
      </x:c>
      <x:c r="Y819" s="13" t="str">
        <x:f>IF(L819&lt;&gt;"COVERED","HELD — COVERAGE",IF(P819="YES — MANAGED ACCESS","D ACTIONABLE","NO D FIELD"))</x:f>
        <x:v>HELD — COVERAGE</x:v>
      </x:c>
      <x:c r="Z819" s="13" t="str">
        <x:f>IF(L819&lt;&gt;"COVERED","HELD — COVERAGE",IF(OR(R819="PAIRED SYNCHRONIZED",R819="TRILATERAL SYNCHRONIZED"),"E ACTIONABLE","INDEPENDENT"))</x:f>
        <x:v>HELD — COVERAGE</x:v>
      </x:c>
      <x:c r="AA819" s="13" t="str">
        <x:f>IF(L819&lt;&gt;"COVERED","HELD — COVERAGE","WAIT FOR UPSTREAM COMPLETION")</x:f>
        <x:v>HELD — COVERAGE</x:v>
      </x:c>
      <x:c r="AB819" s="13" t="str">
        <x:f>IF(L819&lt;&gt;"COVERED","HELD — COVERAGE",IF(T819="UNRESOLVED","G DECISION REQUIRED",IF(T819="NOT APPLICABLE","G N/A","G ACTIONABLE")))</x:f>
        <x:v>HELD — COVERAGE</x:v>
      </x:c>
      <x:c r="AC819" s="13" t="str">
        <x:f>IF(L819="UNRESOLVED","COVERAGE FIRST",IF(OR(L819="EXCLUDED",L819="OUT OF SCOPE"),"CLOSED BY COVERAGE",IF(AND(L819="COVERED",T819&lt;&gt;"UNRESOLVED"),"PARTIALLY ADOPTED","DECISIONS REMAIN")))</x:f>
        <x:v>COVERAGE FIRST</x:v>
      </x:c>
    </x:row>
    <x:row r="820">
      <x:c r="A820" s="13" t="str">
        <x:v>NAAFTC-HS6-190220</x:v>
      </x:c>
      <x:c r="B820" s="13" t="str">
        <x:v>190220</x:v>
      </x:c>
      <x:c r="C820" s="13" t="str">
        <x:v>19</x:v>
      </x:c>
      <x:c r="D820" s="13" t="str">
        <x:v>TRILATERAL_SPLIT_MERGE</x:v>
      </x:c>
      <x:c r="E820" s="13" t="str">
        <x:v>Pending</x:v>
      </x:c>
      <x:c r="F820" s="13" t="n">
        <x:v>3</x:v>
      </x:c>
      <x:c r="G820" s="13" t="n">
        <x:v>1</x:v>
      </x:c>
      <x:c r="H820" s="13" t="n">
        <x:v>1</x:v>
      </x:c>
      <x:c r="I820" s="13" t="str">
        <x:v>1902200020; 1902200040; 1902200060</x:v>
      </x:c>
      <x:c r="J820" s="13" t="str">
        <x:v>1902200100</x:v>
      </x:c>
      <x:c r="K820" s="13" t="str">
        <x:v>19022000</x:v>
      </x:c>
      <x:c r="L820" s="13" t="str">
        <x:v>UNRESOLVED</x:v>
      </x:c>
      <x:c r="M820" s="13" t="str"/>
      <x:c r="N820" s="13" t="str">
        <x:v>NO / DEFAULT</x:v>
      </x:c>
      <x:c r="O820" s="13" t="str"/>
      <x:c r="P820" s="13" t="str">
        <x:v>NO / DEFAULT</x:v>
      </x:c>
      <x:c r="Q820" s="13" t="str"/>
      <x:c r="R820" s="13" t="str">
        <x:v>INDEPENDENT / DEFAULT</x:v>
      </x:c>
      <x:c r="S820" s="13" t="str"/>
      <x:c r="T820" s="13" t="str">
        <x:v>UNRESOLVED</x:v>
      </x:c>
      <x:c r="U820" s="13" t="str"/>
      <x:c r="V820" s="13" t="str"/>
      <x:c r="W820" s="13" t="str"/>
      <x:c r="X820" s="13" t="str">
        <x:f>IF(L820&lt;&gt;"COVERED","HELD — COVERAGE",IF(N820="YES — SENSITIVE","C ACTIONABLE","CHAPTER 5 DEFAULT"))</x:f>
        <x:v>HELD — COVERAGE</x:v>
      </x:c>
      <x:c r="Y820" s="13" t="str">
        <x:f>IF(L820&lt;&gt;"COVERED","HELD — COVERAGE",IF(P820="YES — MANAGED ACCESS","D ACTIONABLE","NO D FIELD"))</x:f>
        <x:v>HELD — COVERAGE</x:v>
      </x:c>
      <x:c r="Z820" s="13" t="str">
        <x:f>IF(L820&lt;&gt;"COVERED","HELD — COVERAGE",IF(OR(R820="PAIRED SYNCHRONIZED",R820="TRILATERAL SYNCHRONIZED"),"E ACTIONABLE","INDEPENDENT"))</x:f>
        <x:v>HELD — COVERAGE</x:v>
      </x:c>
      <x:c r="AA820" s="13" t="str">
        <x:f>IF(L820&lt;&gt;"COVERED","HELD — COVERAGE","WAIT FOR UPSTREAM COMPLETION")</x:f>
        <x:v>HELD — COVERAGE</x:v>
      </x:c>
      <x:c r="AB820" s="13" t="str">
        <x:f>IF(L820&lt;&gt;"COVERED","HELD — COVERAGE",IF(T820="UNRESOLVED","G DECISION REQUIRED",IF(T820="NOT APPLICABLE","G N/A","G ACTIONABLE")))</x:f>
        <x:v>HELD — COVERAGE</x:v>
      </x:c>
      <x:c r="AC820" s="13" t="str">
        <x:f>IF(L820="UNRESOLVED","COVERAGE FIRST",IF(OR(L820="EXCLUDED",L820="OUT OF SCOPE"),"CLOSED BY COVERAGE",IF(AND(L820="COVERED",T820&lt;&gt;"UNRESOLVED"),"PARTIALLY ADOPTED","DECISIONS REMAIN")))</x:f>
        <x:v>COVERAGE FIRST</x:v>
      </x:c>
    </x:row>
    <x:row r="821">
      <x:c r="A821" s="13" t="str">
        <x:v>NAAFTC-HS6-190230</x:v>
      </x:c>
      <x:c r="B821" s="13" t="str">
        <x:v>190230</x:v>
      </x:c>
      <x:c r="C821" s="13" t="str">
        <x:v>19</x:v>
      </x:c>
      <x:c r="D821" s="13" t="str">
        <x:v>TRILATERAL_SPLIT_MERGE</x:v>
      </x:c>
      <x:c r="E821" s="13" t="str">
        <x:v>Pending</x:v>
      </x:c>
      <x:c r="F821" s="13" t="n">
        <x:v>3</x:v>
      </x:c>
      <x:c r="G821" s="13" t="n">
        <x:v>1</x:v>
      </x:c>
      <x:c r="H821" s="13" t="n">
        <x:v>2</x:v>
      </x:c>
      <x:c r="I821" s="13" t="str">
        <x:v>1902300020; 1902300040; 1902300060</x:v>
      </x:c>
      <x:c r="J821" s="13" t="str">
        <x:v>1902309100</x:v>
      </x:c>
      <x:c r="K821" s="13" t="str">
        <x:v>1902301100; 19023050</x:v>
      </x:c>
      <x:c r="L821" s="13" t="str">
        <x:v>UNRESOLVED</x:v>
      </x:c>
      <x:c r="M821" s="13" t="str"/>
      <x:c r="N821" s="13" t="str">
        <x:v>NO / DEFAULT</x:v>
      </x:c>
      <x:c r="O821" s="13" t="str"/>
      <x:c r="P821" s="13" t="str">
        <x:v>NO / DEFAULT</x:v>
      </x:c>
      <x:c r="Q821" s="13" t="str"/>
      <x:c r="R821" s="13" t="str">
        <x:v>INDEPENDENT / DEFAULT</x:v>
      </x:c>
      <x:c r="S821" s="13" t="str"/>
      <x:c r="T821" s="13" t="str">
        <x:v>UNRESOLVED</x:v>
      </x:c>
      <x:c r="U821" s="13" t="str"/>
      <x:c r="V821" s="13" t="str"/>
      <x:c r="W821" s="13" t="str"/>
      <x:c r="X821" s="13" t="str">
        <x:f>IF(L821&lt;&gt;"COVERED","HELD — COVERAGE",IF(N821="YES — SENSITIVE","C ACTIONABLE","CHAPTER 5 DEFAULT"))</x:f>
        <x:v>HELD — COVERAGE</x:v>
      </x:c>
      <x:c r="Y821" s="13" t="str">
        <x:f>IF(L821&lt;&gt;"COVERED","HELD — COVERAGE",IF(P821="YES — MANAGED ACCESS","D ACTIONABLE","NO D FIELD"))</x:f>
        <x:v>HELD — COVERAGE</x:v>
      </x:c>
      <x:c r="Z821" s="13" t="str">
        <x:f>IF(L821&lt;&gt;"COVERED","HELD — COVERAGE",IF(OR(R821="PAIRED SYNCHRONIZED",R821="TRILATERAL SYNCHRONIZED"),"E ACTIONABLE","INDEPENDENT"))</x:f>
        <x:v>HELD — COVERAGE</x:v>
      </x:c>
      <x:c r="AA821" s="13" t="str">
        <x:f>IF(L821&lt;&gt;"COVERED","HELD — COVERAGE","WAIT FOR UPSTREAM COMPLETION")</x:f>
        <x:v>HELD — COVERAGE</x:v>
      </x:c>
      <x:c r="AB821" s="13" t="str">
        <x:f>IF(L821&lt;&gt;"COVERED","HELD — COVERAGE",IF(T821="UNRESOLVED","G DECISION REQUIRED",IF(T821="NOT APPLICABLE","G N/A","G ACTIONABLE")))</x:f>
        <x:v>HELD — COVERAGE</x:v>
      </x:c>
      <x:c r="AC821" s="13" t="str">
        <x:f>IF(L821="UNRESOLVED","COVERAGE FIRST",IF(OR(L821="EXCLUDED",L821="OUT OF SCOPE"),"CLOSED BY COVERAGE",IF(AND(L821="COVERED",T821&lt;&gt;"UNRESOLVED"),"PARTIALLY ADOPTED","DECISIONS REMAIN")))</x:f>
        <x:v>COVERAGE FIRST</x:v>
      </x:c>
    </x:row>
    <x:row r="822">
      <x:c r="A822" s="13" t="str">
        <x:v>NAAFTC-HS6-190240</x:v>
      </x:c>
      <x:c r="B822" s="13" t="str">
        <x:v>190240</x:v>
      </x:c>
      <x:c r="C822" s="13" t="str">
        <x:v>19</x:v>
      </x:c>
      <x:c r="D822" s="13" t="str">
        <x:v>TRILATERAL_SPLIT_MERGE</x:v>
      </x:c>
      <x:c r="E822" s="13" t="str">
        <x:v>Pending</x:v>
      </x:c>
      <x:c r="F822" s="13" t="n">
        <x:v>1</x:v>
      </x:c>
      <x:c r="G822" s="13" t="n">
        <x:v>1</x:v>
      </x:c>
      <x:c r="H822" s="13" t="n">
        <x:v>2</x:v>
      </x:c>
      <x:c r="I822" s="13" t="str">
        <x:v>1902400000</x:v>
      </x:c>
      <x:c r="J822" s="13" t="str">
        <x:v>1902400100</x:v>
      </x:c>
      <x:c r="K822" s="13" t="str">
        <x:v>1902401000; 1902402000</x:v>
      </x:c>
      <x:c r="L822" s="13" t="str">
        <x:v>UNRESOLVED</x:v>
      </x:c>
      <x:c r="M822" s="13" t="str"/>
      <x:c r="N822" s="13" t="str">
        <x:v>NO / DEFAULT</x:v>
      </x:c>
      <x:c r="O822" s="13" t="str"/>
      <x:c r="P822" s="13" t="str">
        <x:v>NO / DEFAULT</x:v>
      </x:c>
      <x:c r="Q822" s="13" t="str"/>
      <x:c r="R822" s="13" t="str">
        <x:v>INDEPENDENT / DEFAULT</x:v>
      </x:c>
      <x:c r="S822" s="13" t="str"/>
      <x:c r="T822" s="13" t="str">
        <x:v>UNRESOLVED</x:v>
      </x:c>
      <x:c r="U822" s="13" t="str"/>
      <x:c r="V822" s="13" t="str"/>
      <x:c r="W822" s="13" t="str"/>
      <x:c r="X822" s="13" t="str">
        <x:f>IF(L822&lt;&gt;"COVERED","HELD — COVERAGE",IF(N822="YES — SENSITIVE","C ACTIONABLE","CHAPTER 5 DEFAULT"))</x:f>
        <x:v>HELD — COVERAGE</x:v>
      </x:c>
      <x:c r="Y822" s="13" t="str">
        <x:f>IF(L822&lt;&gt;"COVERED","HELD — COVERAGE",IF(P822="YES — MANAGED ACCESS","D ACTIONABLE","NO D FIELD"))</x:f>
        <x:v>HELD — COVERAGE</x:v>
      </x:c>
      <x:c r="Z822" s="13" t="str">
        <x:f>IF(L822&lt;&gt;"COVERED","HELD — COVERAGE",IF(OR(R822="PAIRED SYNCHRONIZED",R822="TRILATERAL SYNCHRONIZED"),"E ACTIONABLE","INDEPENDENT"))</x:f>
        <x:v>HELD — COVERAGE</x:v>
      </x:c>
      <x:c r="AA822" s="13" t="str">
        <x:f>IF(L822&lt;&gt;"COVERED","HELD — COVERAGE","WAIT FOR UPSTREAM COMPLETION")</x:f>
        <x:v>HELD — COVERAGE</x:v>
      </x:c>
      <x:c r="AB822" s="13" t="str">
        <x:f>IF(L822&lt;&gt;"COVERED","HELD — COVERAGE",IF(T822="UNRESOLVED","G DECISION REQUIRED",IF(T822="NOT APPLICABLE","G N/A","G ACTIONABLE")))</x:f>
        <x:v>HELD — COVERAGE</x:v>
      </x:c>
      <x:c r="AC822" s="13" t="str">
        <x:f>IF(L822="UNRESOLVED","COVERAGE FIRST",IF(OR(L822="EXCLUDED",L822="OUT OF SCOPE"),"CLOSED BY COVERAGE",IF(AND(L822="COVERED",T822&lt;&gt;"UNRESOLVED"),"PARTIALLY ADOPTED","DECISIONS REMAIN")))</x:f>
        <x:v>COVERAGE FIRST</x:v>
      </x:c>
    </x:row>
    <x:row r="823">
      <x:c r="A823" s="13" t="str">
        <x:v>NAAFTC-HS6-190300</x:v>
      </x:c>
      <x:c r="B823" s="13" t="str">
        <x:v>190300</x:v>
      </x:c>
      <x:c r="C823" s="13" t="str">
        <x:v>19</x:v>
      </x:c>
      <x:c r="D823" s="13" t="str">
        <x:v>TRILATERAL_SPLIT_MERGE</x:v>
      </x:c>
      <x:c r="E823" s="13" t="str">
        <x:v>Pending</x:v>
      </x:c>
      <x:c r="F823" s="13" t="n">
        <x:v>2</x:v>
      </x:c>
      <x:c r="G823" s="13" t="n">
        <x:v>1</x:v>
      </x:c>
      <x:c r="H823" s="13" t="n">
        <x:v>1</x:v>
      </x:c>
      <x:c r="I823" s="13" t="str">
        <x:v>1903002000; 1903004000</x:v>
      </x:c>
      <x:c r="J823" s="13" t="str">
        <x:v>1903000100</x:v>
      </x:c>
      <x:c r="K823" s="13" t="str">
        <x:v>1903000000</x:v>
      </x:c>
      <x:c r="L823" s="13" t="str">
        <x:v>UNRESOLVED</x:v>
      </x:c>
      <x:c r="M823" s="13" t="str"/>
      <x:c r="N823" s="13" t="str">
        <x:v>NO / DEFAULT</x:v>
      </x:c>
      <x:c r="O823" s="13" t="str"/>
      <x:c r="P823" s="13" t="str">
        <x:v>NO / DEFAULT</x:v>
      </x:c>
      <x:c r="Q823" s="13" t="str"/>
      <x:c r="R823" s="13" t="str">
        <x:v>INDEPENDENT / DEFAULT</x:v>
      </x:c>
      <x:c r="S823" s="13" t="str"/>
      <x:c r="T823" s="13" t="str">
        <x:v>UNRESOLVED</x:v>
      </x:c>
      <x:c r="U823" s="13" t="str"/>
      <x:c r="V823" s="13" t="str"/>
      <x:c r="W823" s="13" t="str"/>
      <x:c r="X823" s="13" t="str">
        <x:f>IF(L823&lt;&gt;"COVERED","HELD — COVERAGE",IF(N823="YES — SENSITIVE","C ACTIONABLE","CHAPTER 5 DEFAULT"))</x:f>
        <x:v>HELD — COVERAGE</x:v>
      </x:c>
      <x:c r="Y823" s="13" t="str">
        <x:f>IF(L823&lt;&gt;"COVERED","HELD — COVERAGE",IF(P823="YES — MANAGED ACCESS","D ACTIONABLE","NO D FIELD"))</x:f>
        <x:v>HELD — COVERAGE</x:v>
      </x:c>
      <x:c r="Z823" s="13" t="str">
        <x:f>IF(L823&lt;&gt;"COVERED","HELD — COVERAGE",IF(OR(R823="PAIRED SYNCHRONIZED",R823="TRILATERAL SYNCHRONIZED"),"E ACTIONABLE","INDEPENDENT"))</x:f>
        <x:v>HELD — COVERAGE</x:v>
      </x:c>
      <x:c r="AA823" s="13" t="str">
        <x:f>IF(L823&lt;&gt;"COVERED","HELD — COVERAGE","WAIT FOR UPSTREAM COMPLETION")</x:f>
        <x:v>HELD — COVERAGE</x:v>
      </x:c>
      <x:c r="AB823" s="13" t="str">
        <x:f>IF(L823&lt;&gt;"COVERED","HELD — COVERAGE",IF(T823="UNRESOLVED","G DECISION REQUIRED",IF(T823="NOT APPLICABLE","G N/A","G ACTIONABLE")))</x:f>
        <x:v>HELD — COVERAGE</x:v>
      </x:c>
      <x:c r="AC823" s="13" t="str">
        <x:f>IF(L823="UNRESOLVED","COVERAGE FIRST",IF(OR(L823="EXCLUDED",L823="OUT OF SCOPE"),"CLOSED BY COVERAGE",IF(AND(L823="COVERED",T823&lt;&gt;"UNRESOLVED"),"PARTIALLY ADOPTED","DECISIONS REMAIN")))</x:f>
        <x:v>COVERAGE FIRST</x:v>
      </x:c>
    </x:row>
    <x:row r="824">
      <x:c r="A824" s="13" t="str">
        <x:v>NAAFTC-HS6-190410</x:v>
      </x:c>
      <x:c r="B824" s="13" t="str">
        <x:v>190410</x:v>
      </x:c>
      <x:c r="C824" s="13" t="str">
        <x:v>19</x:v>
      </x:c>
      <x:c r="D824" s="13" t="str">
        <x:v>TRILATERAL_SPLIT_MERGE</x:v>
      </x:c>
      <x:c r="E824" s="13" t="str">
        <x:v>Pending</x:v>
      </x:c>
      <x:c r="F824" s="13" t="n">
        <x:v>3</x:v>
      </x:c>
      <x:c r="G824" s="13" t="n">
        <x:v>1</x:v>
      </x:c>
      <x:c r="H824" s="13" t="n">
        <x:v>1</x:v>
      </x:c>
      <x:c r="I824" s="13" t="str">
        <x:v>1904100040; 1904100065; 1904100075</x:v>
      </x:c>
      <x:c r="J824" s="13" t="str">
        <x:v>1904100100</x:v>
      </x:c>
      <x:c r="K824" s="13" t="str">
        <x:v>19041010</x:v>
      </x:c>
      <x:c r="L824" s="13" t="str">
        <x:v>UNRESOLVED</x:v>
      </x:c>
      <x:c r="M824" s="13" t="str"/>
      <x:c r="N824" s="13" t="str">
        <x:v>NO / DEFAULT</x:v>
      </x:c>
      <x:c r="O824" s="13" t="str"/>
      <x:c r="P824" s="13" t="str">
        <x:v>NO / DEFAULT</x:v>
      </x:c>
      <x:c r="Q824" s="13" t="str"/>
      <x:c r="R824" s="13" t="str">
        <x:v>INDEPENDENT / DEFAULT</x:v>
      </x:c>
      <x:c r="S824" s="13" t="str"/>
      <x:c r="T824" s="13" t="str">
        <x:v>UNRESOLVED</x:v>
      </x:c>
      <x:c r="U824" s="13" t="str"/>
      <x:c r="V824" s="13" t="str"/>
      <x:c r="W824" s="13" t="str"/>
      <x:c r="X824" s="13" t="str">
        <x:f>IF(L824&lt;&gt;"COVERED","HELD — COVERAGE",IF(N824="YES — SENSITIVE","C ACTIONABLE","CHAPTER 5 DEFAULT"))</x:f>
        <x:v>HELD — COVERAGE</x:v>
      </x:c>
      <x:c r="Y824" s="13" t="str">
        <x:f>IF(L824&lt;&gt;"COVERED","HELD — COVERAGE",IF(P824="YES — MANAGED ACCESS","D ACTIONABLE","NO D FIELD"))</x:f>
        <x:v>HELD — COVERAGE</x:v>
      </x:c>
      <x:c r="Z824" s="13" t="str">
        <x:f>IF(L824&lt;&gt;"COVERED","HELD — COVERAGE",IF(OR(R824="PAIRED SYNCHRONIZED",R824="TRILATERAL SYNCHRONIZED"),"E ACTIONABLE","INDEPENDENT"))</x:f>
        <x:v>HELD — COVERAGE</x:v>
      </x:c>
      <x:c r="AA824" s="13" t="str">
        <x:f>IF(L824&lt;&gt;"COVERED","HELD — COVERAGE","WAIT FOR UPSTREAM COMPLETION")</x:f>
        <x:v>HELD — COVERAGE</x:v>
      </x:c>
      <x:c r="AB824" s="13" t="str">
        <x:f>IF(L824&lt;&gt;"COVERED","HELD — COVERAGE",IF(T824="UNRESOLVED","G DECISION REQUIRED",IF(T824="NOT APPLICABLE","G N/A","G ACTIONABLE")))</x:f>
        <x:v>HELD — COVERAGE</x:v>
      </x:c>
      <x:c r="AC824" s="13" t="str">
        <x:f>IF(L824="UNRESOLVED","COVERAGE FIRST",IF(OR(L824="EXCLUDED",L824="OUT OF SCOPE"),"CLOSED BY COVERAGE",IF(AND(L824="COVERED",T824&lt;&gt;"UNRESOLVED"),"PARTIALLY ADOPTED","DECISIONS REMAIN")))</x:f>
        <x:v>COVERAGE FIRST</x:v>
      </x:c>
    </x:row>
    <x:row r="825">
      <x:c r="A825" s="13" t="str">
        <x:v>NAAFTC-HS6-190420</x:v>
      </x:c>
      <x:c r="B825" s="13" t="str">
        <x:v>190420</x:v>
      </x:c>
      <x:c r="C825" s="13" t="str">
        <x:v>19</x:v>
      </x:c>
      <x:c r="D825" s="13" t="str">
        <x:v>TRILATERAL_SPLIT_MERGE</x:v>
      </x:c>
      <x:c r="E825" s="13" t="str">
        <x:v>Pending</x:v>
      </x:c>
      <x:c r="F825" s="13" t="n">
        <x:v>2</x:v>
      </x:c>
      <x:c r="G825" s="13" t="n">
        <x:v>1</x:v>
      </x:c>
      <x:c r="H825" s="13" t="n">
        <x:v>6</x:v>
      </x:c>
      <x:c r="I825" s="13" t="str">
        <x:v>1904201000; 1904209000</x:v>
      </x:c>
      <x:c r="J825" s="13" t="str">
        <x:v>1904200100</x:v>
      </x:c>
      <x:c r="K825" s="13" t="str">
        <x:v>1904201000; 1904202100; 1904202900; 1904203000; 1904204100; 1904204900</x:v>
      </x:c>
      <x:c r="L825" s="13" t="str">
        <x:v>UNRESOLVED</x:v>
      </x:c>
      <x:c r="M825" s="13" t="str"/>
      <x:c r="N825" s="13" t="str">
        <x:v>NO / DEFAULT</x:v>
      </x:c>
      <x:c r="O825" s="13" t="str"/>
      <x:c r="P825" s="13" t="str">
        <x:v>NO / DEFAULT</x:v>
      </x:c>
      <x:c r="Q825" s="13" t="str"/>
      <x:c r="R825" s="13" t="str">
        <x:v>INDEPENDENT / DEFAULT</x:v>
      </x:c>
      <x:c r="S825" s="13" t="str"/>
      <x:c r="T825" s="13" t="str">
        <x:v>UNRESOLVED</x:v>
      </x:c>
      <x:c r="U825" s="13" t="str"/>
      <x:c r="V825" s="13" t="str"/>
      <x:c r="W825" s="13" t="str"/>
      <x:c r="X825" s="13" t="str">
        <x:f>IF(L825&lt;&gt;"COVERED","HELD — COVERAGE",IF(N825="YES — SENSITIVE","C ACTIONABLE","CHAPTER 5 DEFAULT"))</x:f>
        <x:v>HELD — COVERAGE</x:v>
      </x:c>
      <x:c r="Y825" s="13" t="str">
        <x:f>IF(L825&lt;&gt;"COVERED","HELD — COVERAGE",IF(P825="YES — MANAGED ACCESS","D ACTIONABLE","NO D FIELD"))</x:f>
        <x:v>HELD — COVERAGE</x:v>
      </x:c>
      <x:c r="Z825" s="13" t="str">
        <x:f>IF(L825&lt;&gt;"COVERED","HELD — COVERAGE",IF(OR(R825="PAIRED SYNCHRONIZED",R825="TRILATERAL SYNCHRONIZED"),"E ACTIONABLE","INDEPENDENT"))</x:f>
        <x:v>HELD — COVERAGE</x:v>
      </x:c>
      <x:c r="AA825" s="13" t="str">
        <x:f>IF(L825&lt;&gt;"COVERED","HELD — COVERAGE","WAIT FOR UPSTREAM COMPLETION")</x:f>
        <x:v>HELD — COVERAGE</x:v>
      </x:c>
      <x:c r="AB825" s="13" t="str">
        <x:f>IF(L825&lt;&gt;"COVERED","HELD — COVERAGE",IF(T825="UNRESOLVED","G DECISION REQUIRED",IF(T825="NOT APPLICABLE","G N/A","G ACTIONABLE")))</x:f>
        <x:v>HELD — COVERAGE</x:v>
      </x:c>
      <x:c r="AC825" s="13" t="str">
        <x:f>IF(L825="UNRESOLVED","COVERAGE FIRST",IF(OR(L825="EXCLUDED",L825="OUT OF SCOPE"),"CLOSED BY COVERAGE",IF(AND(L825="COVERED",T825&lt;&gt;"UNRESOLVED"),"PARTIALLY ADOPTED","DECISIONS REMAIN")))</x:f>
        <x:v>COVERAGE FIRST</x:v>
      </x:c>
    </x:row>
    <x:row r="826">
      <x:c r="A826" s="13" t="str">
        <x:v>NAAFTC-HS6-190430</x:v>
      </x:c>
      <x:c r="B826" s="13" t="str">
        <x:v>190430</x:v>
      </x:c>
      <x:c r="C826" s="13" t="str">
        <x:v>19</x:v>
      </x:c>
      <x:c r="D826" s="13" t="str">
        <x:v>TRILATERAL_SPLIT_MERGE</x:v>
      </x:c>
      <x:c r="E826" s="13" t="str">
        <x:v>Pending</x:v>
      </x:c>
      <x:c r="F826" s="13" t="n">
        <x:v>1</x:v>
      </x:c>
      <x:c r="G826" s="13" t="n">
        <x:v>1</x:v>
      </x:c>
      <x:c r="H826" s="13" t="n">
        <x:v>6</x:v>
      </x:c>
      <x:c r="I826" s="13" t="str">
        <x:v>1904300000</x:v>
      </x:c>
      <x:c r="J826" s="13" t="str">
        <x:v>1904300100</x:v>
      </x:c>
      <x:c r="K826" s="13" t="str">
        <x:v>1904301000; 1904302100; 1904302900; 1904305000; 1904306100; 1904306200</x:v>
      </x:c>
      <x:c r="L826" s="13" t="str">
        <x:v>UNRESOLVED</x:v>
      </x:c>
      <x:c r="M826" s="13" t="str"/>
      <x:c r="N826" s="13" t="str">
        <x:v>NO / DEFAULT</x:v>
      </x:c>
      <x:c r="O826" s="13" t="str"/>
      <x:c r="P826" s="13" t="str">
        <x:v>NO / DEFAULT</x:v>
      </x:c>
      <x:c r="Q826" s="13" t="str"/>
      <x:c r="R826" s="13" t="str">
        <x:v>INDEPENDENT / DEFAULT</x:v>
      </x:c>
      <x:c r="S826" s="13" t="str"/>
      <x:c r="T826" s="13" t="str">
        <x:v>UNRESOLVED</x:v>
      </x:c>
      <x:c r="U826" s="13" t="str"/>
      <x:c r="V826" s="13" t="str"/>
      <x:c r="W826" s="13" t="str"/>
      <x:c r="X826" s="13" t="str">
        <x:f>IF(L826&lt;&gt;"COVERED","HELD — COVERAGE",IF(N826="YES — SENSITIVE","C ACTIONABLE","CHAPTER 5 DEFAULT"))</x:f>
        <x:v>HELD — COVERAGE</x:v>
      </x:c>
      <x:c r="Y826" s="13" t="str">
        <x:f>IF(L826&lt;&gt;"COVERED","HELD — COVERAGE",IF(P826="YES — MANAGED ACCESS","D ACTIONABLE","NO D FIELD"))</x:f>
        <x:v>HELD — COVERAGE</x:v>
      </x:c>
      <x:c r="Z826" s="13" t="str">
        <x:f>IF(L826&lt;&gt;"COVERED","HELD — COVERAGE",IF(OR(R826="PAIRED SYNCHRONIZED",R826="TRILATERAL SYNCHRONIZED"),"E ACTIONABLE","INDEPENDENT"))</x:f>
        <x:v>HELD — COVERAGE</x:v>
      </x:c>
      <x:c r="AA826" s="13" t="str">
        <x:f>IF(L826&lt;&gt;"COVERED","HELD — COVERAGE","WAIT FOR UPSTREAM COMPLETION")</x:f>
        <x:v>HELD — COVERAGE</x:v>
      </x:c>
      <x:c r="AB826" s="13" t="str">
        <x:f>IF(L826&lt;&gt;"COVERED","HELD — COVERAGE",IF(T826="UNRESOLVED","G DECISION REQUIRED",IF(T826="NOT APPLICABLE","G N/A","G ACTIONABLE")))</x:f>
        <x:v>HELD — COVERAGE</x:v>
      </x:c>
      <x:c r="AC826" s="13" t="str">
        <x:f>IF(L826="UNRESOLVED","COVERAGE FIRST",IF(OR(L826="EXCLUDED",L826="OUT OF SCOPE"),"CLOSED BY COVERAGE",IF(AND(L826="COVERED",T826&lt;&gt;"UNRESOLVED"),"PARTIALLY ADOPTED","DECISIONS REMAIN")))</x:f>
        <x:v>COVERAGE FIRST</x:v>
      </x:c>
    </x:row>
    <x:row r="827">
      <x:c r="A827" s="13" t="str">
        <x:v>NAAFTC-HS6-190490</x:v>
      </x:c>
      <x:c r="B827" s="13" t="str">
        <x:v>190490</x:v>
      </x:c>
      <x:c r="C827" s="13" t="str">
        <x:v>19</x:v>
      </x:c>
      <x:c r="D827" s="13" t="str">
        <x:v>TRILATERAL_SPLIT_MERGE</x:v>
      </x:c>
      <x:c r="E827" s="13" t="str">
        <x:v>Pending</x:v>
      </x:c>
      <x:c r="F827" s="13" t="n">
        <x:v>2</x:v>
      </x:c>
      <x:c r="G827" s="13" t="n">
        <x:v>1</x:v>
      </x:c>
      <x:c r="H827" s="13" t="n">
        <x:v>6</x:v>
      </x:c>
      <x:c r="I827" s="13" t="str">
        <x:v>1904900120; 1904900140</x:v>
      </x:c>
      <x:c r="J827" s="13" t="str">
        <x:v>1904909900</x:v>
      </x:c>
      <x:c r="K827" s="13" t="str">
        <x:v>1904905000; 1904906100; 1904906200; 1904906300; 1904906400; 19049069</x:v>
      </x:c>
      <x:c r="L827" s="13" t="str">
        <x:v>UNRESOLVED</x:v>
      </x:c>
      <x:c r="M827" s="13" t="str"/>
      <x:c r="N827" s="13" t="str">
        <x:v>NO / DEFAULT</x:v>
      </x:c>
      <x:c r="O827" s="13" t="str"/>
      <x:c r="P827" s="13" t="str">
        <x:v>NO / DEFAULT</x:v>
      </x:c>
      <x:c r="Q827" s="13" t="str"/>
      <x:c r="R827" s="13" t="str">
        <x:v>INDEPENDENT / DEFAULT</x:v>
      </x:c>
      <x:c r="S827" s="13" t="str"/>
      <x:c r="T827" s="13" t="str">
        <x:v>UNRESOLVED</x:v>
      </x:c>
      <x:c r="U827" s="13" t="str"/>
      <x:c r="V827" s="13" t="str"/>
      <x:c r="W827" s="13" t="str"/>
      <x:c r="X827" s="13" t="str">
        <x:f>IF(L827&lt;&gt;"COVERED","HELD — COVERAGE",IF(N827="YES — SENSITIVE","C ACTIONABLE","CHAPTER 5 DEFAULT"))</x:f>
        <x:v>HELD — COVERAGE</x:v>
      </x:c>
      <x:c r="Y827" s="13" t="str">
        <x:f>IF(L827&lt;&gt;"COVERED","HELD — COVERAGE",IF(P827="YES — MANAGED ACCESS","D ACTIONABLE","NO D FIELD"))</x:f>
        <x:v>HELD — COVERAGE</x:v>
      </x:c>
      <x:c r="Z827" s="13" t="str">
        <x:f>IF(L827&lt;&gt;"COVERED","HELD — COVERAGE",IF(OR(R827="PAIRED SYNCHRONIZED",R827="TRILATERAL SYNCHRONIZED"),"E ACTIONABLE","INDEPENDENT"))</x:f>
        <x:v>HELD — COVERAGE</x:v>
      </x:c>
      <x:c r="AA827" s="13" t="str">
        <x:f>IF(L827&lt;&gt;"COVERED","HELD — COVERAGE","WAIT FOR UPSTREAM COMPLETION")</x:f>
        <x:v>HELD — COVERAGE</x:v>
      </x:c>
      <x:c r="AB827" s="13" t="str">
        <x:f>IF(L827&lt;&gt;"COVERED","HELD — COVERAGE",IF(T827="UNRESOLVED","G DECISION REQUIRED",IF(T827="NOT APPLICABLE","G N/A","G ACTIONABLE")))</x:f>
        <x:v>HELD — COVERAGE</x:v>
      </x:c>
      <x:c r="AC827" s="13" t="str">
        <x:f>IF(L827="UNRESOLVED","COVERAGE FIRST",IF(OR(L827="EXCLUDED",L827="OUT OF SCOPE"),"CLOSED BY COVERAGE",IF(AND(L827="COVERED",T827&lt;&gt;"UNRESOLVED"),"PARTIALLY ADOPTED","DECISIONS REMAIN")))</x:f>
        <x:v>COVERAGE FIRST</x:v>
      </x:c>
    </x:row>
    <x:row r="828">
      <x:c r="A828" s="13" t="str">
        <x:v>NAAFTC-HS6-190510</x:v>
      </x:c>
      <x:c r="B828" s="13" t="str">
        <x:v>190510</x:v>
      </x:c>
      <x:c r="C828" s="13" t="str">
        <x:v>19</x:v>
      </x:c>
      <x:c r="D828" s="13" t="str">
        <x:v>TRILATERAL_SPLIT_MERGE</x:v>
      </x:c>
      <x:c r="E828" s="13" t="str">
        <x:v>Pending</x:v>
      </x:c>
      <x:c r="F828" s="13" t="n">
        <x:v>1</x:v>
      </x:c>
      <x:c r="G828" s="13" t="n">
        <x:v>1</x:v>
      </x:c>
      <x:c r="H828" s="13" t="n">
        <x:v>5</x:v>
      </x:c>
      <x:c r="I828" s="13" t="str">
        <x:v>1905100000</x:v>
      </x:c>
      <x:c r="J828" s="13" t="str">
        <x:v>1905100100</x:v>
      </x:c>
      <x:c r="K828" s="13" t="str">
        <x:v>1905105900; 1905106000; 1905107100; 1905107200; 1905107900</x:v>
      </x:c>
      <x:c r="L828" s="13" t="str">
        <x:v>UNRESOLVED</x:v>
      </x:c>
      <x:c r="M828" s="13" t="str"/>
      <x:c r="N828" s="13" t="str">
        <x:v>NO / DEFAULT</x:v>
      </x:c>
      <x:c r="O828" s="13" t="str"/>
      <x:c r="P828" s="13" t="str">
        <x:v>NO / DEFAULT</x:v>
      </x:c>
      <x:c r="Q828" s="13" t="str"/>
      <x:c r="R828" s="13" t="str">
        <x:v>INDEPENDENT / DEFAULT</x:v>
      </x:c>
      <x:c r="S828" s="13" t="str"/>
      <x:c r="T828" s="13" t="str">
        <x:v>UNRESOLVED</x:v>
      </x:c>
      <x:c r="U828" s="13" t="str"/>
      <x:c r="V828" s="13" t="str"/>
      <x:c r="W828" s="13" t="str"/>
      <x:c r="X828" s="13" t="str">
        <x:f>IF(L828&lt;&gt;"COVERED","HELD — COVERAGE",IF(N828="YES — SENSITIVE","C ACTIONABLE","CHAPTER 5 DEFAULT"))</x:f>
        <x:v>HELD — COVERAGE</x:v>
      </x:c>
      <x:c r="Y828" s="13" t="str">
        <x:f>IF(L828&lt;&gt;"COVERED","HELD — COVERAGE",IF(P828="YES — MANAGED ACCESS","D ACTIONABLE","NO D FIELD"))</x:f>
        <x:v>HELD — COVERAGE</x:v>
      </x:c>
      <x:c r="Z828" s="13" t="str">
        <x:f>IF(L828&lt;&gt;"COVERED","HELD — COVERAGE",IF(OR(R828="PAIRED SYNCHRONIZED",R828="TRILATERAL SYNCHRONIZED"),"E ACTIONABLE","INDEPENDENT"))</x:f>
        <x:v>HELD — COVERAGE</x:v>
      </x:c>
      <x:c r="AA828" s="13" t="str">
        <x:f>IF(L828&lt;&gt;"COVERED","HELD — COVERAGE","WAIT FOR UPSTREAM COMPLETION")</x:f>
        <x:v>HELD — COVERAGE</x:v>
      </x:c>
      <x:c r="AB828" s="13" t="str">
        <x:f>IF(L828&lt;&gt;"COVERED","HELD — COVERAGE",IF(T828="UNRESOLVED","G DECISION REQUIRED",IF(T828="NOT APPLICABLE","G N/A","G ACTIONABLE")))</x:f>
        <x:v>HELD — COVERAGE</x:v>
      </x:c>
      <x:c r="AC828" s="13" t="str">
        <x:f>IF(L828="UNRESOLVED","COVERAGE FIRST",IF(OR(L828="EXCLUDED",L828="OUT OF SCOPE"),"CLOSED BY COVERAGE",IF(AND(L828="COVERED",T828&lt;&gt;"UNRESOLVED"),"PARTIALLY ADOPTED","DECISIONS REMAIN")))</x:f>
        <x:v>COVERAGE FIRST</x:v>
      </x:c>
    </x:row>
    <x:row r="829">
      <x:c r="A829" s="13" t="str">
        <x:v>NAAFTC-HS6-190520</x:v>
      </x:c>
      <x:c r="B829" s="13" t="str">
        <x:v>190520</x:v>
      </x:c>
      <x:c r="C829" s="13" t="str">
        <x:v>19</x:v>
      </x:c>
      <x:c r="D829" s="13" t="str">
        <x:v>TRILATERAL_1_TO_1_TO_1</x:v>
      </x:c>
      <x:c r="E829" s="13" t="str">
        <x:v>Pending</x:v>
      </x:c>
      <x:c r="F829" s="13" t="n">
        <x:v>1</x:v>
      </x:c>
      <x:c r="G829" s="13" t="n">
        <x:v>1</x:v>
      </x:c>
      <x:c r="H829" s="13" t="n">
        <x:v>1</x:v>
      </x:c>
      <x:c r="I829" s="13" t="str">
        <x:v>1905200000</x:v>
      </x:c>
      <x:c r="J829" s="13" t="str">
        <x:v>1905200100</x:v>
      </x:c>
      <x:c r="K829" s="13" t="str">
        <x:v>1905200000</x:v>
      </x:c>
      <x:c r="L829" s="13" t="str">
        <x:v>UNRESOLVED</x:v>
      </x:c>
      <x:c r="M829" s="13" t="str"/>
      <x:c r="N829" s="13" t="str">
        <x:v>NO / DEFAULT</x:v>
      </x:c>
      <x:c r="O829" s="13" t="str"/>
      <x:c r="P829" s="13" t="str">
        <x:v>NO / DEFAULT</x:v>
      </x:c>
      <x:c r="Q829" s="13" t="str"/>
      <x:c r="R829" s="13" t="str">
        <x:v>INDEPENDENT / DEFAULT</x:v>
      </x:c>
      <x:c r="S829" s="13" t="str"/>
      <x:c r="T829" s="13" t="str">
        <x:v>UNRESOLVED</x:v>
      </x:c>
      <x:c r="U829" s="13" t="str"/>
      <x:c r="V829" s="13" t="str"/>
      <x:c r="W829" s="13" t="str"/>
      <x:c r="X829" s="13" t="str">
        <x:f>IF(L829&lt;&gt;"COVERED","HELD — COVERAGE",IF(N829="YES — SENSITIVE","C ACTIONABLE","CHAPTER 5 DEFAULT"))</x:f>
        <x:v>HELD — COVERAGE</x:v>
      </x:c>
      <x:c r="Y829" s="13" t="str">
        <x:f>IF(L829&lt;&gt;"COVERED","HELD — COVERAGE",IF(P829="YES — MANAGED ACCESS","D ACTIONABLE","NO D FIELD"))</x:f>
        <x:v>HELD — COVERAGE</x:v>
      </x:c>
      <x:c r="Z829" s="13" t="str">
        <x:f>IF(L829&lt;&gt;"COVERED","HELD — COVERAGE",IF(OR(R829="PAIRED SYNCHRONIZED",R829="TRILATERAL SYNCHRONIZED"),"E ACTIONABLE","INDEPENDENT"))</x:f>
        <x:v>HELD — COVERAGE</x:v>
      </x:c>
      <x:c r="AA829" s="13" t="str">
        <x:f>IF(L829&lt;&gt;"COVERED","HELD — COVERAGE","WAIT FOR UPSTREAM COMPLETION")</x:f>
        <x:v>HELD — COVERAGE</x:v>
      </x:c>
      <x:c r="AB829" s="13" t="str">
        <x:f>IF(L829&lt;&gt;"COVERED","HELD — COVERAGE",IF(T829="UNRESOLVED","G DECISION REQUIRED",IF(T829="NOT APPLICABLE","G N/A","G ACTIONABLE")))</x:f>
        <x:v>HELD — COVERAGE</x:v>
      </x:c>
      <x:c r="AC829" s="13" t="str">
        <x:f>IF(L829="UNRESOLVED","COVERAGE FIRST",IF(OR(L829="EXCLUDED",L829="OUT OF SCOPE"),"CLOSED BY COVERAGE",IF(AND(L829="COVERED",T829&lt;&gt;"UNRESOLVED"),"PARTIALLY ADOPTED","DECISIONS REMAIN")))</x:f>
        <x:v>COVERAGE FIRST</x:v>
      </x:c>
    </x:row>
    <x:row r="830">
      <x:c r="A830" s="13" t="str">
        <x:v>NAAFTC-HS6-190531</x:v>
      </x:c>
      <x:c r="B830" s="13" t="str">
        <x:v>190531</x:v>
      </x:c>
      <x:c r="C830" s="13" t="str">
        <x:v>19</x:v>
      </x:c>
      <x:c r="D830" s="13" t="str">
        <x:v>TRILATERAL_SPLIT_MERGE</x:v>
      </x:c>
      <x:c r="E830" s="13" t="str">
        <x:v>Pending</x:v>
      </x:c>
      <x:c r="F830" s="13" t="n">
        <x:v>5</x:v>
      </x:c>
      <x:c r="G830" s="13" t="n">
        <x:v>1</x:v>
      </x:c>
      <x:c r="H830" s="13" t="n">
        <x:v>3</x:v>
      </x:c>
      <x:c r="I830" s="13" t="str">
        <x:v>1905310021; 1905310029; 1905310041; 1905310042; 1905310045</x:v>
      </x:c>
      <x:c r="J830" s="13" t="str">
        <x:v>1905310100</x:v>
      </x:c>
      <x:c r="K830" s="13" t="str">
        <x:v>1905319200; 1905319300; 1905319900</x:v>
      </x:c>
      <x:c r="L830" s="13" t="str">
        <x:v>UNRESOLVED</x:v>
      </x:c>
      <x:c r="M830" s="13" t="str"/>
      <x:c r="N830" s="13" t="str">
        <x:v>NO / DEFAULT</x:v>
      </x:c>
      <x:c r="O830" s="13" t="str"/>
      <x:c r="P830" s="13" t="str">
        <x:v>NO / DEFAULT</x:v>
      </x:c>
      <x:c r="Q830" s="13" t="str"/>
      <x:c r="R830" s="13" t="str">
        <x:v>INDEPENDENT / DEFAULT</x:v>
      </x:c>
      <x:c r="S830" s="13" t="str"/>
      <x:c r="T830" s="13" t="str">
        <x:v>UNRESOLVED</x:v>
      </x:c>
      <x:c r="U830" s="13" t="str"/>
      <x:c r="V830" s="13" t="str"/>
      <x:c r="W830" s="13" t="str"/>
      <x:c r="X830" s="13" t="str">
        <x:f>IF(L830&lt;&gt;"COVERED","HELD — COVERAGE",IF(N830="YES — SENSITIVE","C ACTIONABLE","CHAPTER 5 DEFAULT"))</x:f>
        <x:v>HELD — COVERAGE</x:v>
      </x:c>
      <x:c r="Y830" s="13" t="str">
        <x:f>IF(L830&lt;&gt;"COVERED","HELD — COVERAGE",IF(P830="YES — MANAGED ACCESS","D ACTIONABLE","NO D FIELD"))</x:f>
        <x:v>HELD — COVERAGE</x:v>
      </x:c>
      <x:c r="Z830" s="13" t="str">
        <x:f>IF(L830&lt;&gt;"COVERED","HELD — COVERAGE",IF(OR(R830="PAIRED SYNCHRONIZED",R830="TRILATERAL SYNCHRONIZED"),"E ACTIONABLE","INDEPENDENT"))</x:f>
        <x:v>HELD — COVERAGE</x:v>
      </x:c>
      <x:c r="AA830" s="13" t="str">
        <x:f>IF(L830&lt;&gt;"COVERED","HELD — COVERAGE","WAIT FOR UPSTREAM COMPLETION")</x:f>
        <x:v>HELD — COVERAGE</x:v>
      </x:c>
      <x:c r="AB830" s="13" t="str">
        <x:f>IF(L830&lt;&gt;"COVERED","HELD — COVERAGE",IF(T830="UNRESOLVED","G DECISION REQUIRED",IF(T830="NOT APPLICABLE","G N/A","G ACTIONABLE")))</x:f>
        <x:v>HELD — COVERAGE</x:v>
      </x:c>
      <x:c r="AC830" s="13" t="str">
        <x:f>IF(L830="UNRESOLVED","COVERAGE FIRST",IF(OR(L830="EXCLUDED",L830="OUT OF SCOPE"),"CLOSED BY COVERAGE",IF(AND(L830="COVERED",T830&lt;&gt;"UNRESOLVED"),"PARTIALLY ADOPTED","DECISIONS REMAIN")))</x:f>
        <x:v>COVERAGE FIRST</x:v>
      </x:c>
    </x:row>
    <x:row r="831">
      <x:c r="A831" s="13" t="str">
        <x:v>NAAFTC-HS6-190532</x:v>
      </x:c>
      <x:c r="B831" s="13" t="str">
        <x:v>190532</x:v>
      </x:c>
      <x:c r="C831" s="13" t="str">
        <x:v>19</x:v>
      </x:c>
      <x:c r="D831" s="13" t="str">
        <x:v>TRILATERAL_SPLIT_MERGE</x:v>
      </x:c>
      <x:c r="E831" s="13" t="str">
        <x:v>Pending</x:v>
      </x:c>
      <x:c r="F831" s="13" t="n">
        <x:v>4</x:v>
      </x:c>
      <x:c r="G831" s="13" t="n">
        <x:v>1</x:v>
      </x:c>
      <x:c r="H831" s="13" t="n">
        <x:v>4</x:v>
      </x:c>
      <x:c r="I831" s="13" t="str">
        <x:v>1905320021; 1905320029; 1905320041; 1905320049</x:v>
      </x:c>
      <x:c r="J831" s="13" t="str">
        <x:v>1905320100</x:v>
      </x:c>
      <x:c r="K831" s="13" t="str">
        <x:v>1905321000; 1905329100; 1905329200; 1905329300</x:v>
      </x:c>
      <x:c r="L831" s="13" t="str">
        <x:v>UNRESOLVED</x:v>
      </x:c>
      <x:c r="M831" s="13" t="str"/>
      <x:c r="N831" s="13" t="str">
        <x:v>NO / DEFAULT</x:v>
      </x:c>
      <x:c r="O831" s="13" t="str"/>
      <x:c r="P831" s="13" t="str">
        <x:v>NO / DEFAULT</x:v>
      </x:c>
      <x:c r="Q831" s="13" t="str"/>
      <x:c r="R831" s="13" t="str">
        <x:v>INDEPENDENT / DEFAULT</x:v>
      </x:c>
      <x:c r="S831" s="13" t="str"/>
      <x:c r="T831" s="13" t="str">
        <x:v>UNRESOLVED</x:v>
      </x:c>
      <x:c r="U831" s="13" t="str"/>
      <x:c r="V831" s="13" t="str"/>
      <x:c r="W831" s="13" t="str"/>
      <x:c r="X831" s="13" t="str">
        <x:f>IF(L831&lt;&gt;"COVERED","HELD — COVERAGE",IF(N831="YES — SENSITIVE","C ACTIONABLE","CHAPTER 5 DEFAULT"))</x:f>
        <x:v>HELD — COVERAGE</x:v>
      </x:c>
      <x:c r="Y831" s="13" t="str">
        <x:f>IF(L831&lt;&gt;"COVERED","HELD — COVERAGE",IF(P831="YES — MANAGED ACCESS","D ACTIONABLE","NO D FIELD"))</x:f>
        <x:v>HELD — COVERAGE</x:v>
      </x:c>
      <x:c r="Z831" s="13" t="str">
        <x:f>IF(L831&lt;&gt;"COVERED","HELD — COVERAGE",IF(OR(R831="PAIRED SYNCHRONIZED",R831="TRILATERAL SYNCHRONIZED"),"E ACTIONABLE","INDEPENDENT"))</x:f>
        <x:v>HELD — COVERAGE</x:v>
      </x:c>
      <x:c r="AA831" s="13" t="str">
        <x:f>IF(L831&lt;&gt;"COVERED","HELD — COVERAGE","WAIT FOR UPSTREAM COMPLETION")</x:f>
        <x:v>HELD — COVERAGE</x:v>
      </x:c>
      <x:c r="AB831" s="13" t="str">
        <x:f>IF(L831&lt;&gt;"COVERED","HELD — COVERAGE",IF(T831="UNRESOLVED","G DECISION REQUIRED",IF(T831="NOT APPLICABLE","G N/A","G ACTIONABLE")))</x:f>
        <x:v>HELD — COVERAGE</x:v>
      </x:c>
      <x:c r="AC831" s="13" t="str">
        <x:f>IF(L831="UNRESOLVED","COVERAGE FIRST",IF(OR(L831="EXCLUDED",L831="OUT OF SCOPE"),"CLOSED BY COVERAGE",IF(AND(L831="COVERED",T831&lt;&gt;"UNRESOLVED"),"PARTIALLY ADOPTED","DECISIONS REMAIN")))</x:f>
        <x:v>COVERAGE FIRST</x:v>
      </x:c>
    </x:row>
    <x:row r="832">
      <x:c r="A832" s="13" t="str">
        <x:v>NAAFTC-HS6-190540</x:v>
      </x:c>
      <x:c r="B832" s="13" t="str">
        <x:v>190540</x:v>
      </x:c>
      <x:c r="C832" s="13" t="str">
        <x:v>19</x:v>
      </x:c>
      <x:c r="D832" s="13" t="str">
        <x:v>TRILATERAL_SPLIT_MERGE</x:v>
      </x:c>
      <x:c r="E832" s="13" t="str">
        <x:v>Pending</x:v>
      </x:c>
      <x:c r="F832" s="13" t="n">
        <x:v>1</x:v>
      </x:c>
      <x:c r="G832" s="13" t="n">
        <x:v>1</x:v>
      </x:c>
      <x:c r="H832" s="13" t="n">
        <x:v>4</x:v>
      </x:c>
      <x:c r="I832" s="13" t="str">
        <x:v>1905400000</x:v>
      </x:c>
      <x:c r="J832" s="13" t="str">
        <x:v>1905400100</x:v>
      </x:c>
      <x:c r="K832" s="13" t="str">
        <x:v>1905405000; 1905406100; 1905406900; 1905409000</x:v>
      </x:c>
      <x:c r="L832" s="13" t="str">
        <x:v>UNRESOLVED</x:v>
      </x:c>
      <x:c r="M832" s="13" t="str"/>
      <x:c r="N832" s="13" t="str">
        <x:v>NO / DEFAULT</x:v>
      </x:c>
      <x:c r="O832" s="13" t="str"/>
      <x:c r="P832" s="13" t="str">
        <x:v>NO / DEFAULT</x:v>
      </x:c>
      <x:c r="Q832" s="13" t="str"/>
      <x:c r="R832" s="13" t="str">
        <x:v>INDEPENDENT / DEFAULT</x:v>
      </x:c>
      <x:c r="S832" s="13" t="str"/>
      <x:c r="T832" s="13" t="str">
        <x:v>UNRESOLVED</x:v>
      </x:c>
      <x:c r="U832" s="13" t="str"/>
      <x:c r="V832" s="13" t="str"/>
      <x:c r="W832" s="13" t="str"/>
      <x:c r="X832" s="13" t="str">
        <x:f>IF(L832&lt;&gt;"COVERED","HELD — COVERAGE",IF(N832="YES — SENSITIVE","C ACTIONABLE","CHAPTER 5 DEFAULT"))</x:f>
        <x:v>HELD — COVERAGE</x:v>
      </x:c>
      <x:c r="Y832" s="13" t="str">
        <x:f>IF(L832&lt;&gt;"COVERED","HELD — COVERAGE",IF(P832="YES — MANAGED ACCESS","D ACTIONABLE","NO D FIELD"))</x:f>
        <x:v>HELD — COVERAGE</x:v>
      </x:c>
      <x:c r="Z832" s="13" t="str">
        <x:f>IF(L832&lt;&gt;"COVERED","HELD — COVERAGE",IF(OR(R832="PAIRED SYNCHRONIZED",R832="TRILATERAL SYNCHRONIZED"),"E ACTIONABLE","INDEPENDENT"))</x:f>
        <x:v>HELD — COVERAGE</x:v>
      </x:c>
      <x:c r="AA832" s="13" t="str">
        <x:f>IF(L832&lt;&gt;"COVERED","HELD — COVERAGE","WAIT FOR UPSTREAM COMPLETION")</x:f>
        <x:v>HELD — COVERAGE</x:v>
      </x:c>
      <x:c r="AB832" s="13" t="str">
        <x:f>IF(L832&lt;&gt;"COVERED","HELD — COVERAGE",IF(T832="UNRESOLVED","G DECISION REQUIRED",IF(T832="NOT APPLICABLE","G N/A","G ACTIONABLE")))</x:f>
        <x:v>HELD — COVERAGE</x:v>
      </x:c>
      <x:c r="AC832" s="13" t="str">
        <x:f>IF(L832="UNRESOLVED","COVERAGE FIRST",IF(OR(L832="EXCLUDED",L832="OUT OF SCOPE"),"CLOSED BY COVERAGE",IF(AND(L832="COVERED",T832&lt;&gt;"UNRESOLVED"),"PARTIALLY ADOPTED","DECISIONS REMAIN")))</x:f>
        <x:v>COVERAGE FIRST</x:v>
      </x:c>
    </x:row>
    <x:row r="833">
      <x:c r="A833" s="13" t="str">
        <x:v>NAAFTC-HS6-190590</x:v>
      </x:c>
      <x:c r="B833" s="13" t="str">
        <x:v>190590</x:v>
      </x:c>
      <x:c r="C833" s="13" t="str">
        <x:v>19</x:v>
      </x:c>
      <x:c r="D833" s="13" t="str">
        <x:v>TRILATERAL_SPLIT_MERGE</x:v>
      </x:c>
      <x:c r="E833" s="13" t="str">
        <x:v>Pending</x:v>
      </x:c>
      <x:c r="F833" s="13" t="n">
        <x:v>9</x:v>
      </x:c>
      <x:c r="G833" s="13" t="n">
        <x:v>4</x:v>
      </x:c>
      <x:c r="H833" s="13" t="n">
        <x:v>11</x:v>
      </x:c>
      <x:c r="I833" s="13" t="str">
        <x:v>1905901041; 1905901049; 1905901050; 1905901070; 1905901075; 1905901085; +3 more</x:v>
      </x:c>
      <x:c r="J833" s="13" t="str">
        <x:v>1905909901; 1905909902; 1905909991; 1905909999</x:v>
      </x:c>
      <x:c r="K833" s="13" t="str">
        <x:v>1905901000; 1905902000; 1905904100; 1905904200; 1905904300; 1905904400; +5 more</x:v>
      </x:c>
      <x:c r="L833" s="13" t="str">
        <x:v>UNRESOLVED</x:v>
      </x:c>
      <x:c r="M833" s="13" t="str"/>
      <x:c r="N833" s="13" t="str">
        <x:v>NO / DEFAULT</x:v>
      </x:c>
      <x:c r="O833" s="13" t="str"/>
      <x:c r="P833" s="13" t="str">
        <x:v>NO / DEFAULT</x:v>
      </x:c>
      <x:c r="Q833" s="13" t="str"/>
      <x:c r="R833" s="13" t="str">
        <x:v>INDEPENDENT / DEFAULT</x:v>
      </x:c>
      <x:c r="S833" s="13" t="str"/>
      <x:c r="T833" s="13" t="str">
        <x:v>UNRESOLVED</x:v>
      </x:c>
      <x:c r="U833" s="13" t="str"/>
      <x:c r="V833" s="13" t="str"/>
      <x:c r="W833" s="13" t="str"/>
      <x:c r="X833" s="13" t="str">
        <x:f>IF(L833&lt;&gt;"COVERED","HELD — COVERAGE",IF(N833="YES — SENSITIVE","C ACTIONABLE","CHAPTER 5 DEFAULT"))</x:f>
        <x:v>HELD — COVERAGE</x:v>
      </x:c>
      <x:c r="Y833" s="13" t="str">
        <x:f>IF(L833&lt;&gt;"COVERED","HELD — COVERAGE",IF(P833="YES — MANAGED ACCESS","D ACTIONABLE","NO D FIELD"))</x:f>
        <x:v>HELD — COVERAGE</x:v>
      </x:c>
      <x:c r="Z833" s="13" t="str">
        <x:f>IF(L833&lt;&gt;"COVERED","HELD — COVERAGE",IF(OR(R833="PAIRED SYNCHRONIZED",R833="TRILATERAL SYNCHRONIZED"),"E ACTIONABLE","INDEPENDENT"))</x:f>
        <x:v>HELD — COVERAGE</x:v>
      </x:c>
      <x:c r="AA833" s="13" t="str">
        <x:f>IF(L833&lt;&gt;"COVERED","HELD — COVERAGE","WAIT FOR UPSTREAM COMPLETION")</x:f>
        <x:v>HELD — COVERAGE</x:v>
      </x:c>
      <x:c r="AB833" s="13" t="str">
        <x:f>IF(L833&lt;&gt;"COVERED","HELD — COVERAGE",IF(T833="UNRESOLVED","G DECISION REQUIRED",IF(T833="NOT APPLICABLE","G N/A","G ACTIONABLE")))</x:f>
        <x:v>HELD — COVERAGE</x:v>
      </x:c>
      <x:c r="AC833" s="13" t="str">
        <x:f>IF(L833="UNRESOLVED","COVERAGE FIRST",IF(OR(L833="EXCLUDED",L833="OUT OF SCOPE"),"CLOSED BY COVERAGE",IF(AND(L833="COVERED",T833&lt;&gt;"UNRESOLVED"),"PARTIALLY ADOPTED","DECISIONS REMAIN")))</x:f>
        <x:v>COVERAGE FIRST</x:v>
      </x:c>
    </x:row>
    <x:row r="834">
      <x:c r="A834" s="13" t="str">
        <x:v>NAAFTC-HS6-200110</x:v>
      </x:c>
      <x:c r="B834" s="13" t="str">
        <x:v>200110</x:v>
      </x:c>
      <x:c r="C834" s="13" t="str">
        <x:v>20</x:v>
      </x:c>
      <x:c r="D834" s="13" t="str">
        <x:v>TRILATERAL_1_TO_1_TO_1</x:v>
      </x:c>
      <x:c r="E834" s="13" t="str">
        <x:v>Pending</x:v>
      </x:c>
      <x:c r="F834" s="13" t="n">
        <x:v>1</x:v>
      </x:c>
      <x:c r="G834" s="13" t="n">
        <x:v>1</x:v>
      </x:c>
      <x:c r="H834" s="13" t="n">
        <x:v>1</x:v>
      </x:c>
      <x:c r="I834" s="13" t="str">
        <x:v>2001100000</x:v>
      </x:c>
      <x:c r="J834" s="13" t="str">
        <x:v>2001100100</x:v>
      </x:c>
      <x:c r="K834" s="13" t="str">
        <x:v>20011000</x:v>
      </x:c>
      <x:c r="L834" s="13" t="str">
        <x:v>UNRESOLVED</x:v>
      </x:c>
      <x:c r="M834" s="13" t="str"/>
      <x:c r="N834" s="13" t="str">
        <x:v>NO / DEFAULT</x:v>
      </x:c>
      <x:c r="O834" s="13" t="str"/>
      <x:c r="P834" s="13" t="str">
        <x:v>NO / DEFAULT</x:v>
      </x:c>
      <x:c r="Q834" s="13" t="str"/>
      <x:c r="R834" s="13" t="str">
        <x:v>INDEPENDENT / DEFAULT</x:v>
      </x:c>
      <x:c r="S834" s="13" t="str"/>
      <x:c r="T834" s="13" t="str">
        <x:v>UNRESOLVED</x:v>
      </x:c>
      <x:c r="U834" s="13" t="str"/>
      <x:c r="V834" s="13" t="str"/>
      <x:c r="W834" s="13" t="str"/>
      <x:c r="X834" s="13" t="str">
        <x:f>IF(L834&lt;&gt;"COVERED","HELD — COVERAGE",IF(N834="YES — SENSITIVE","C ACTIONABLE","CHAPTER 5 DEFAULT"))</x:f>
        <x:v>HELD — COVERAGE</x:v>
      </x:c>
      <x:c r="Y834" s="13" t="str">
        <x:f>IF(L834&lt;&gt;"COVERED","HELD — COVERAGE",IF(P834="YES — MANAGED ACCESS","D ACTIONABLE","NO D FIELD"))</x:f>
        <x:v>HELD — COVERAGE</x:v>
      </x:c>
      <x:c r="Z834" s="13" t="str">
        <x:f>IF(L834&lt;&gt;"COVERED","HELD — COVERAGE",IF(OR(R834="PAIRED SYNCHRONIZED",R834="TRILATERAL SYNCHRONIZED"),"E ACTIONABLE","INDEPENDENT"))</x:f>
        <x:v>HELD — COVERAGE</x:v>
      </x:c>
      <x:c r="AA834" s="13" t="str">
        <x:f>IF(L834&lt;&gt;"COVERED","HELD — COVERAGE","WAIT FOR UPSTREAM COMPLETION")</x:f>
        <x:v>HELD — COVERAGE</x:v>
      </x:c>
      <x:c r="AB834" s="13" t="str">
        <x:f>IF(L834&lt;&gt;"COVERED","HELD — COVERAGE",IF(T834="UNRESOLVED","G DECISION REQUIRED",IF(T834="NOT APPLICABLE","G N/A","G ACTIONABLE")))</x:f>
        <x:v>HELD — COVERAGE</x:v>
      </x:c>
      <x:c r="AC834" s="13" t="str">
        <x:f>IF(L834="UNRESOLVED","COVERAGE FIRST",IF(OR(L834="EXCLUDED",L834="OUT OF SCOPE"),"CLOSED BY COVERAGE",IF(AND(L834="COVERED",T834&lt;&gt;"UNRESOLVED"),"PARTIALLY ADOPTED","DECISIONS REMAIN")))</x:f>
        <x:v>COVERAGE FIRST</x:v>
      </x:c>
    </x:row>
    <x:row r="835">
      <x:c r="A835" s="13" t="str">
        <x:v>NAAFTC-HS6-200190</x:v>
      </x:c>
      <x:c r="B835" s="13" t="str">
        <x:v>200190</x:v>
      </x:c>
      <x:c r="C835" s="13" t="str">
        <x:v>20</x:v>
      </x:c>
      <x:c r="D835" s="13" t="str">
        <x:v>TRILATERAL_SPLIT_MERGE</x:v>
      </x:c>
      <x:c r="E835" s="13" t="str">
        <x:v>Pending</x:v>
      </x:c>
      <x:c r="F835" s="13" t="n">
        <x:v>13</x:v>
      </x:c>
      <x:c r="G835" s="13" t="n">
        <x:v>3</x:v>
      </x:c>
      <x:c r="H835" s="13" t="n">
        <x:v>2</x:v>
      </x:c>
      <x:c r="I835" s="13" t="str">
        <x:v>2001901000; 2001902000; 2001902500; 2001903000; 2001903300; 2001903400; +7 more</x:v>
      </x:c>
      <x:c r="J835" s="13" t="str">
        <x:v>2001909901; 2001909991; 2001909999</x:v>
      </x:c>
      <x:c r="K835" s="13" t="str">
        <x:v>2001901000; 20019090</x:v>
      </x:c>
      <x:c r="L835" s="13" t="str">
        <x:v>UNRESOLVED</x:v>
      </x:c>
      <x:c r="M835" s="13" t="str"/>
      <x:c r="N835" s="13" t="str">
        <x:v>NO / DEFAULT</x:v>
      </x:c>
      <x:c r="O835" s="13" t="str"/>
      <x:c r="P835" s="13" t="str">
        <x:v>NO / DEFAULT</x:v>
      </x:c>
      <x:c r="Q835" s="13" t="str"/>
      <x:c r="R835" s="13" t="str">
        <x:v>INDEPENDENT / DEFAULT</x:v>
      </x:c>
      <x:c r="S835" s="13" t="str"/>
      <x:c r="T835" s="13" t="str">
        <x:v>UNRESOLVED</x:v>
      </x:c>
      <x:c r="U835" s="13" t="str"/>
      <x:c r="V835" s="13" t="str"/>
      <x:c r="W835" s="13" t="str"/>
      <x:c r="X835" s="13" t="str">
        <x:f>IF(L835&lt;&gt;"COVERED","HELD — COVERAGE",IF(N835="YES — SENSITIVE","C ACTIONABLE","CHAPTER 5 DEFAULT"))</x:f>
        <x:v>HELD — COVERAGE</x:v>
      </x:c>
      <x:c r="Y835" s="13" t="str">
        <x:f>IF(L835&lt;&gt;"COVERED","HELD — COVERAGE",IF(P835="YES — MANAGED ACCESS","D ACTIONABLE","NO D FIELD"))</x:f>
        <x:v>HELD — COVERAGE</x:v>
      </x:c>
      <x:c r="Z835" s="13" t="str">
        <x:f>IF(L835&lt;&gt;"COVERED","HELD — COVERAGE",IF(OR(R835="PAIRED SYNCHRONIZED",R835="TRILATERAL SYNCHRONIZED"),"E ACTIONABLE","INDEPENDENT"))</x:f>
        <x:v>HELD — COVERAGE</x:v>
      </x:c>
      <x:c r="AA835" s="13" t="str">
        <x:f>IF(L835&lt;&gt;"COVERED","HELD — COVERAGE","WAIT FOR UPSTREAM COMPLETION")</x:f>
        <x:v>HELD — COVERAGE</x:v>
      </x:c>
      <x:c r="AB835" s="13" t="str">
        <x:f>IF(L835&lt;&gt;"COVERED","HELD — COVERAGE",IF(T835="UNRESOLVED","G DECISION REQUIRED",IF(T835="NOT APPLICABLE","G N/A","G ACTIONABLE")))</x:f>
        <x:v>HELD — COVERAGE</x:v>
      </x:c>
      <x:c r="AC835" s="13" t="str">
        <x:f>IF(L835="UNRESOLVED","COVERAGE FIRST",IF(OR(L835="EXCLUDED",L835="OUT OF SCOPE"),"CLOSED BY COVERAGE",IF(AND(L835="COVERED",T835&lt;&gt;"UNRESOLVED"),"PARTIALLY ADOPTED","DECISIONS REMAIN")))</x:f>
        <x:v>COVERAGE FIRST</x:v>
      </x:c>
    </x:row>
    <x:row r="836">
      <x:c r="A836" s="13" t="str">
        <x:v>NAAFTC-HS6-200210</x:v>
      </x:c>
      <x:c r="B836" s="13" t="str">
        <x:v>200210</x:v>
      </x:c>
      <x:c r="C836" s="13" t="str">
        <x:v>20</x:v>
      </x:c>
      <x:c r="D836" s="13" t="str">
        <x:v>TRILATERAL_SPLIT_MERGE</x:v>
      </x:c>
      <x:c r="E836" s="13" t="str">
        <x:v>Pending</x:v>
      </x:c>
      <x:c r="F836" s="13" t="n">
        <x:v>2</x:v>
      </x:c>
      <x:c r="G836" s="13" t="n">
        <x:v>1</x:v>
      </x:c>
      <x:c r="H836" s="13" t="n">
        <x:v>1</x:v>
      </x:c>
      <x:c r="I836" s="13" t="str">
        <x:v>2002100020; 2002100080</x:v>
      </x:c>
      <x:c r="J836" s="13" t="str">
        <x:v>2002100100</x:v>
      </x:c>
      <x:c r="K836" s="13" t="str">
        <x:v>2002100000</x:v>
      </x:c>
      <x:c r="L836" s="13" t="str">
        <x:v>UNRESOLVED</x:v>
      </x:c>
      <x:c r="M836" s="13" t="str"/>
      <x:c r="N836" s="13" t="str">
        <x:v>NO / DEFAULT</x:v>
      </x:c>
      <x:c r="O836" s="13" t="str"/>
      <x:c r="P836" s="13" t="str">
        <x:v>NO / DEFAULT</x:v>
      </x:c>
      <x:c r="Q836" s="13" t="str"/>
      <x:c r="R836" s="13" t="str">
        <x:v>INDEPENDENT / DEFAULT</x:v>
      </x:c>
      <x:c r="S836" s="13" t="str"/>
      <x:c r="T836" s="13" t="str">
        <x:v>UNRESOLVED</x:v>
      </x:c>
      <x:c r="U836" s="13" t="str"/>
      <x:c r="V836" s="13" t="str"/>
      <x:c r="W836" s="13" t="str"/>
      <x:c r="X836" s="13" t="str">
        <x:f>IF(L836&lt;&gt;"COVERED","HELD — COVERAGE",IF(N836="YES — SENSITIVE","C ACTIONABLE","CHAPTER 5 DEFAULT"))</x:f>
        <x:v>HELD — COVERAGE</x:v>
      </x:c>
      <x:c r="Y836" s="13" t="str">
        <x:f>IF(L836&lt;&gt;"COVERED","HELD — COVERAGE",IF(P836="YES — MANAGED ACCESS","D ACTIONABLE","NO D FIELD"))</x:f>
        <x:v>HELD — COVERAGE</x:v>
      </x:c>
      <x:c r="Z836" s="13" t="str">
        <x:f>IF(L836&lt;&gt;"COVERED","HELD — COVERAGE",IF(OR(R836="PAIRED SYNCHRONIZED",R836="TRILATERAL SYNCHRONIZED"),"E ACTIONABLE","INDEPENDENT"))</x:f>
        <x:v>HELD — COVERAGE</x:v>
      </x:c>
      <x:c r="AA836" s="13" t="str">
        <x:f>IF(L836&lt;&gt;"COVERED","HELD — COVERAGE","WAIT FOR UPSTREAM COMPLETION")</x:f>
        <x:v>HELD — COVERAGE</x:v>
      </x:c>
      <x:c r="AB836" s="13" t="str">
        <x:f>IF(L836&lt;&gt;"COVERED","HELD — COVERAGE",IF(T836="UNRESOLVED","G DECISION REQUIRED",IF(T836="NOT APPLICABLE","G N/A","G ACTIONABLE")))</x:f>
        <x:v>HELD — COVERAGE</x:v>
      </x:c>
      <x:c r="AC836" s="13" t="str">
        <x:f>IF(L836="UNRESOLVED","COVERAGE FIRST",IF(OR(L836="EXCLUDED",L836="OUT OF SCOPE"),"CLOSED BY COVERAGE",IF(AND(L836="COVERED",T836&lt;&gt;"UNRESOLVED"),"PARTIALLY ADOPTED","DECISIONS REMAIN")))</x:f>
        <x:v>COVERAGE FIRST</x:v>
      </x:c>
    </x:row>
    <x:row r="837">
      <x:c r="A837" s="13" t="str">
        <x:v>NAAFTC-HS6-200290</x:v>
      </x:c>
      <x:c r="B837" s="13" t="str">
        <x:v>200290</x:v>
      </x:c>
      <x:c r="C837" s="13" t="str">
        <x:v>20</x:v>
      </x:c>
      <x:c r="D837" s="13" t="str">
        <x:v>TRILATERAL_SPLIT_MERGE</x:v>
      </x:c>
      <x:c r="E837" s="13" t="str">
        <x:v>Pending</x:v>
      </x:c>
      <x:c r="F837" s="13" t="n">
        <x:v>6</x:v>
      </x:c>
      <x:c r="G837" s="13" t="n">
        <x:v>1</x:v>
      </x:c>
      <x:c r="H837" s="13" t="n">
        <x:v>1</x:v>
      </x:c>
      <x:c r="I837" s="13" t="str">
        <x:v>2002904000; 2002908010; 2002908020; 2002908030; 2002908040; 2002908050</x:v>
      </x:c>
      <x:c r="J837" s="13" t="str">
        <x:v>2002909900</x:v>
      </x:c>
      <x:c r="K837" s="13" t="str">
        <x:v>20029000</x:v>
      </x:c>
      <x:c r="L837" s="13" t="str">
        <x:v>UNRESOLVED</x:v>
      </x:c>
      <x:c r="M837" s="13" t="str"/>
      <x:c r="N837" s="13" t="str">
        <x:v>NO / DEFAULT</x:v>
      </x:c>
      <x:c r="O837" s="13" t="str"/>
      <x:c r="P837" s="13" t="str">
        <x:v>NO / DEFAULT</x:v>
      </x:c>
      <x:c r="Q837" s="13" t="str"/>
      <x:c r="R837" s="13" t="str">
        <x:v>INDEPENDENT / DEFAULT</x:v>
      </x:c>
      <x:c r="S837" s="13" t="str"/>
      <x:c r="T837" s="13" t="str">
        <x:v>UNRESOLVED</x:v>
      </x:c>
      <x:c r="U837" s="13" t="str"/>
      <x:c r="V837" s="13" t="str"/>
      <x:c r="W837" s="13" t="str"/>
      <x:c r="X837" s="13" t="str">
        <x:f>IF(L837&lt;&gt;"COVERED","HELD — COVERAGE",IF(N837="YES — SENSITIVE","C ACTIONABLE","CHAPTER 5 DEFAULT"))</x:f>
        <x:v>HELD — COVERAGE</x:v>
      </x:c>
      <x:c r="Y837" s="13" t="str">
        <x:f>IF(L837&lt;&gt;"COVERED","HELD — COVERAGE",IF(P837="YES — MANAGED ACCESS","D ACTIONABLE","NO D FIELD"))</x:f>
        <x:v>HELD — COVERAGE</x:v>
      </x:c>
      <x:c r="Z837" s="13" t="str">
        <x:f>IF(L837&lt;&gt;"COVERED","HELD — COVERAGE",IF(OR(R837="PAIRED SYNCHRONIZED",R837="TRILATERAL SYNCHRONIZED"),"E ACTIONABLE","INDEPENDENT"))</x:f>
        <x:v>HELD — COVERAGE</x:v>
      </x:c>
      <x:c r="AA837" s="13" t="str">
        <x:f>IF(L837&lt;&gt;"COVERED","HELD — COVERAGE","WAIT FOR UPSTREAM COMPLETION")</x:f>
        <x:v>HELD — COVERAGE</x:v>
      </x:c>
      <x:c r="AB837" s="13" t="str">
        <x:f>IF(L837&lt;&gt;"COVERED","HELD — COVERAGE",IF(T837="UNRESOLVED","G DECISION REQUIRED",IF(T837="NOT APPLICABLE","G N/A","G ACTIONABLE")))</x:f>
        <x:v>HELD — COVERAGE</x:v>
      </x:c>
      <x:c r="AC837" s="13" t="str">
        <x:f>IF(L837="UNRESOLVED","COVERAGE FIRST",IF(OR(L837="EXCLUDED",L837="OUT OF SCOPE"),"CLOSED BY COVERAGE",IF(AND(L837="COVERED",T837&lt;&gt;"UNRESOLVED"),"PARTIALLY ADOPTED","DECISIONS REMAIN")))</x:f>
        <x:v>COVERAGE FIRST</x:v>
      </x:c>
    </x:row>
    <x:row r="838">
      <x:c r="A838" s="13" t="str">
        <x:v>NAAFTC-HS6-200310</x:v>
      </x:c>
      <x:c r="B838" s="13" t="str">
        <x:v>200310</x:v>
      </x:c>
      <x:c r="C838" s="13" t="str">
        <x:v>20</x:v>
      </x:c>
      <x:c r="D838" s="13" t="str">
        <x:v>TRILATERAL_SPLIT_MERGE</x:v>
      </x:c>
      <x:c r="E838" s="13" t="str">
        <x:v>Pending</x:v>
      </x:c>
      <x:c r="F838" s="13" t="n">
        <x:v>6</x:v>
      </x:c>
      <x:c r="G838" s="13" t="n">
        <x:v>1</x:v>
      </x:c>
      <x:c r="H838" s="13" t="n">
        <x:v>1</x:v>
      </x:c>
      <x:c r="I838" s="13" t="str">
        <x:v>2003100127; 2003100131; 2003100137; 2003100143; 2003100147; 2003100153</x:v>
      </x:c>
      <x:c r="J838" s="13" t="str">
        <x:v>2003100100</x:v>
      </x:c>
      <x:c r="K838" s="13" t="str">
        <x:v>2003100000</x:v>
      </x:c>
      <x:c r="L838" s="13" t="str">
        <x:v>UNRESOLVED</x:v>
      </x:c>
      <x:c r="M838" s="13" t="str"/>
      <x:c r="N838" s="13" t="str">
        <x:v>NO / DEFAULT</x:v>
      </x:c>
      <x:c r="O838" s="13" t="str"/>
      <x:c r="P838" s="13" t="str">
        <x:v>NO / DEFAULT</x:v>
      </x:c>
      <x:c r="Q838" s="13" t="str"/>
      <x:c r="R838" s="13" t="str">
        <x:v>INDEPENDENT / DEFAULT</x:v>
      </x:c>
      <x:c r="S838" s="13" t="str"/>
      <x:c r="T838" s="13" t="str">
        <x:v>UNRESOLVED</x:v>
      </x:c>
      <x:c r="U838" s="13" t="str"/>
      <x:c r="V838" s="13" t="str"/>
      <x:c r="W838" s="13" t="str"/>
      <x:c r="X838" s="13" t="str">
        <x:f>IF(L838&lt;&gt;"COVERED","HELD — COVERAGE",IF(N838="YES — SENSITIVE","C ACTIONABLE","CHAPTER 5 DEFAULT"))</x:f>
        <x:v>HELD — COVERAGE</x:v>
      </x:c>
      <x:c r="Y838" s="13" t="str">
        <x:f>IF(L838&lt;&gt;"COVERED","HELD — COVERAGE",IF(P838="YES — MANAGED ACCESS","D ACTIONABLE","NO D FIELD"))</x:f>
        <x:v>HELD — COVERAGE</x:v>
      </x:c>
      <x:c r="Z838" s="13" t="str">
        <x:f>IF(L838&lt;&gt;"COVERED","HELD — COVERAGE",IF(OR(R838="PAIRED SYNCHRONIZED",R838="TRILATERAL SYNCHRONIZED"),"E ACTIONABLE","INDEPENDENT"))</x:f>
        <x:v>HELD — COVERAGE</x:v>
      </x:c>
      <x:c r="AA838" s="13" t="str">
        <x:f>IF(L838&lt;&gt;"COVERED","HELD — COVERAGE","WAIT FOR UPSTREAM COMPLETION")</x:f>
        <x:v>HELD — COVERAGE</x:v>
      </x:c>
      <x:c r="AB838" s="13" t="str">
        <x:f>IF(L838&lt;&gt;"COVERED","HELD — COVERAGE",IF(T838="UNRESOLVED","G DECISION REQUIRED",IF(T838="NOT APPLICABLE","G N/A","G ACTIONABLE")))</x:f>
        <x:v>HELD — COVERAGE</x:v>
      </x:c>
      <x:c r="AC838" s="13" t="str">
        <x:f>IF(L838="UNRESOLVED","COVERAGE FIRST",IF(OR(L838="EXCLUDED",L838="OUT OF SCOPE"),"CLOSED BY COVERAGE",IF(AND(L838="COVERED",T838&lt;&gt;"UNRESOLVED"),"PARTIALLY ADOPTED","DECISIONS REMAIN")))</x:f>
        <x:v>COVERAGE FIRST</x:v>
      </x:c>
    </x:row>
    <x:row r="839">
      <x:c r="A839" s="13" t="str">
        <x:v>NAAFTC-HS6-200390</x:v>
      </x:c>
      <x:c r="B839" s="13" t="str">
        <x:v>200390</x:v>
      </x:c>
      <x:c r="C839" s="13" t="str">
        <x:v>20</x:v>
      </x:c>
      <x:c r="D839" s="13" t="str">
        <x:v>TRILATERAL_SPLIT_MERGE</x:v>
      </x:c>
      <x:c r="E839" s="13" t="str">
        <x:v>Pending</x:v>
      </x:c>
      <x:c r="F839" s="13" t="n">
        <x:v>3</x:v>
      </x:c>
      <x:c r="G839" s="13" t="n">
        <x:v>1</x:v>
      </x:c>
      <x:c r="H839" s="13" t="n">
        <x:v>2</x:v>
      </x:c>
      <x:c r="I839" s="13" t="str">
        <x:v>2003901000; 2003908010; 2003908090</x:v>
      </x:c>
      <x:c r="J839" s="13" t="str">
        <x:v>2003909900</x:v>
      </x:c>
      <x:c r="K839" s="13" t="str">
        <x:v>2003901000; 2003909000</x:v>
      </x:c>
      <x:c r="L839" s="13" t="str">
        <x:v>UNRESOLVED</x:v>
      </x:c>
      <x:c r="M839" s="13" t="str"/>
      <x:c r="N839" s="13" t="str">
        <x:v>NO / DEFAULT</x:v>
      </x:c>
      <x:c r="O839" s="13" t="str"/>
      <x:c r="P839" s="13" t="str">
        <x:v>NO / DEFAULT</x:v>
      </x:c>
      <x:c r="Q839" s="13" t="str"/>
      <x:c r="R839" s="13" t="str">
        <x:v>INDEPENDENT / DEFAULT</x:v>
      </x:c>
      <x:c r="S839" s="13" t="str"/>
      <x:c r="T839" s="13" t="str">
        <x:v>UNRESOLVED</x:v>
      </x:c>
      <x:c r="U839" s="13" t="str"/>
      <x:c r="V839" s="13" t="str"/>
      <x:c r="W839" s="13" t="str"/>
      <x:c r="X839" s="13" t="str">
        <x:f>IF(L839&lt;&gt;"COVERED","HELD — COVERAGE",IF(N839="YES — SENSITIVE","C ACTIONABLE","CHAPTER 5 DEFAULT"))</x:f>
        <x:v>HELD — COVERAGE</x:v>
      </x:c>
      <x:c r="Y839" s="13" t="str">
        <x:f>IF(L839&lt;&gt;"COVERED","HELD — COVERAGE",IF(P839="YES — MANAGED ACCESS","D ACTIONABLE","NO D FIELD"))</x:f>
        <x:v>HELD — COVERAGE</x:v>
      </x:c>
      <x:c r="Z839" s="13" t="str">
        <x:f>IF(L839&lt;&gt;"COVERED","HELD — COVERAGE",IF(OR(R839="PAIRED SYNCHRONIZED",R839="TRILATERAL SYNCHRONIZED"),"E ACTIONABLE","INDEPENDENT"))</x:f>
        <x:v>HELD — COVERAGE</x:v>
      </x:c>
      <x:c r="AA839" s="13" t="str">
        <x:f>IF(L839&lt;&gt;"COVERED","HELD — COVERAGE","WAIT FOR UPSTREAM COMPLETION")</x:f>
        <x:v>HELD — COVERAGE</x:v>
      </x:c>
      <x:c r="AB839" s="13" t="str">
        <x:f>IF(L839&lt;&gt;"COVERED","HELD — COVERAGE",IF(T839="UNRESOLVED","G DECISION REQUIRED",IF(T839="NOT APPLICABLE","G N/A","G ACTIONABLE")))</x:f>
        <x:v>HELD — COVERAGE</x:v>
      </x:c>
      <x:c r="AC839" s="13" t="str">
        <x:f>IF(L839="UNRESOLVED","COVERAGE FIRST",IF(OR(L839="EXCLUDED",L839="OUT OF SCOPE"),"CLOSED BY COVERAGE",IF(AND(L839="COVERED",T839&lt;&gt;"UNRESOLVED"),"PARTIALLY ADOPTED","DECISIONS REMAIN")))</x:f>
        <x:v>COVERAGE FIRST</x:v>
      </x:c>
    </x:row>
    <x:row r="840">
      <x:c r="A840" s="13" t="str">
        <x:v>NAAFTC-HS6-200410</x:v>
      </x:c>
      <x:c r="B840" s="13" t="str">
        <x:v>200410</x:v>
      </x:c>
      <x:c r="C840" s="13" t="str">
        <x:v>20</x:v>
      </x:c>
      <x:c r="D840" s="13" t="str">
        <x:v>TRILATERAL_SPLIT_MERGE</x:v>
      </x:c>
      <x:c r="E840" s="13" t="str">
        <x:v>Pending</x:v>
      </x:c>
      <x:c r="F840" s="13" t="n">
        <x:v>3</x:v>
      </x:c>
      <x:c r="G840" s="13" t="n">
        <x:v>1</x:v>
      </x:c>
      <x:c r="H840" s="13" t="n">
        <x:v>1</x:v>
      </x:c>
      <x:c r="I840" s="13" t="str">
        <x:v>2004104000; 2004108020; 2004108040</x:v>
      </x:c>
      <x:c r="J840" s="13" t="str">
        <x:v>2004100100</x:v>
      </x:c>
      <x:c r="K840" s="13" t="str">
        <x:v>2004100000</x:v>
      </x:c>
      <x:c r="L840" s="13" t="str">
        <x:v>UNRESOLVED</x:v>
      </x:c>
      <x:c r="M840" s="13" t="str"/>
      <x:c r="N840" s="13" t="str">
        <x:v>NO / DEFAULT</x:v>
      </x:c>
      <x:c r="O840" s="13" t="str"/>
      <x:c r="P840" s="13" t="str">
        <x:v>NO / DEFAULT</x:v>
      </x:c>
      <x:c r="Q840" s="13" t="str"/>
      <x:c r="R840" s="13" t="str">
        <x:v>INDEPENDENT / DEFAULT</x:v>
      </x:c>
      <x:c r="S840" s="13" t="str"/>
      <x:c r="T840" s="13" t="str">
        <x:v>UNRESOLVED</x:v>
      </x:c>
      <x:c r="U840" s="13" t="str"/>
      <x:c r="V840" s="13" t="str"/>
      <x:c r="W840" s="13" t="str"/>
      <x:c r="X840" s="13" t="str">
        <x:f>IF(L840&lt;&gt;"COVERED","HELD — COVERAGE",IF(N840="YES — SENSITIVE","C ACTIONABLE","CHAPTER 5 DEFAULT"))</x:f>
        <x:v>HELD — COVERAGE</x:v>
      </x:c>
      <x:c r="Y840" s="13" t="str">
        <x:f>IF(L840&lt;&gt;"COVERED","HELD — COVERAGE",IF(P840="YES — MANAGED ACCESS","D ACTIONABLE","NO D FIELD"))</x:f>
        <x:v>HELD — COVERAGE</x:v>
      </x:c>
      <x:c r="Z840" s="13" t="str">
        <x:f>IF(L840&lt;&gt;"COVERED","HELD — COVERAGE",IF(OR(R840="PAIRED SYNCHRONIZED",R840="TRILATERAL SYNCHRONIZED"),"E ACTIONABLE","INDEPENDENT"))</x:f>
        <x:v>HELD — COVERAGE</x:v>
      </x:c>
      <x:c r="AA840" s="13" t="str">
        <x:f>IF(L840&lt;&gt;"COVERED","HELD — COVERAGE","WAIT FOR UPSTREAM COMPLETION")</x:f>
        <x:v>HELD — COVERAGE</x:v>
      </x:c>
      <x:c r="AB840" s="13" t="str">
        <x:f>IF(L840&lt;&gt;"COVERED","HELD — COVERAGE",IF(T840="UNRESOLVED","G DECISION REQUIRED",IF(T840="NOT APPLICABLE","G N/A","G ACTIONABLE")))</x:f>
        <x:v>HELD — COVERAGE</x:v>
      </x:c>
      <x:c r="AC840" s="13" t="str">
        <x:f>IF(L840="UNRESOLVED","COVERAGE FIRST",IF(OR(L840="EXCLUDED",L840="OUT OF SCOPE"),"CLOSED BY COVERAGE",IF(AND(L840="COVERED",T840&lt;&gt;"UNRESOLVED"),"PARTIALLY ADOPTED","DECISIONS REMAIN")))</x:f>
        <x:v>COVERAGE FIRST</x:v>
      </x:c>
    </x:row>
    <x:row r="841">
      <x:c r="A841" s="13" t="str">
        <x:v>NAAFTC-HS6-200490</x:v>
      </x:c>
      <x:c r="B841" s="13" t="str">
        <x:v>200490</x:v>
      </x:c>
      <x:c r="C841" s="13" t="str">
        <x:v>20</x:v>
      </x:c>
      <x:c r="D841" s="13" t="str">
        <x:v>TRILATERAL_SPLIT_MERGE</x:v>
      </x:c>
      <x:c r="E841" s="13" t="str">
        <x:v>Pending</x:v>
      </x:c>
      <x:c r="F841" s="13" t="n">
        <x:v>9</x:v>
      </x:c>
      <x:c r="G841" s="13" t="n">
        <x:v>1</x:v>
      </x:c>
      <x:c r="H841" s="13" t="n">
        <x:v>2</x:v>
      </x:c>
      <x:c r="I841" s="13" t="str">
        <x:v>2004901000; 2004908000; 2004908520; 2004908540; 2004908560; 2004908565; +3 more</x:v>
      </x:c>
      <x:c r="J841" s="13" t="str">
        <x:v>2004909100</x:v>
      </x:c>
      <x:c r="K841" s="13" t="str">
        <x:v>2004901100; 2004901200</x:v>
      </x:c>
      <x:c r="L841" s="13" t="str">
        <x:v>UNRESOLVED</x:v>
      </x:c>
      <x:c r="M841" s="13" t="str"/>
      <x:c r="N841" s="13" t="str">
        <x:v>NO / DEFAULT</x:v>
      </x:c>
      <x:c r="O841" s="13" t="str"/>
      <x:c r="P841" s="13" t="str">
        <x:v>NO / DEFAULT</x:v>
      </x:c>
      <x:c r="Q841" s="13" t="str"/>
      <x:c r="R841" s="13" t="str">
        <x:v>INDEPENDENT / DEFAULT</x:v>
      </x:c>
      <x:c r="S841" s="13" t="str"/>
      <x:c r="T841" s="13" t="str">
        <x:v>UNRESOLVED</x:v>
      </x:c>
      <x:c r="U841" s="13" t="str"/>
      <x:c r="V841" s="13" t="str"/>
      <x:c r="W841" s="13" t="str"/>
      <x:c r="X841" s="13" t="str">
        <x:f>IF(L841&lt;&gt;"COVERED","HELD — COVERAGE",IF(N841="YES — SENSITIVE","C ACTIONABLE","CHAPTER 5 DEFAULT"))</x:f>
        <x:v>HELD — COVERAGE</x:v>
      </x:c>
      <x:c r="Y841" s="13" t="str">
        <x:f>IF(L841&lt;&gt;"COVERED","HELD — COVERAGE",IF(P841="YES — MANAGED ACCESS","D ACTIONABLE","NO D FIELD"))</x:f>
        <x:v>HELD — COVERAGE</x:v>
      </x:c>
      <x:c r="Z841" s="13" t="str">
        <x:f>IF(L841&lt;&gt;"COVERED","HELD — COVERAGE",IF(OR(R841="PAIRED SYNCHRONIZED",R841="TRILATERAL SYNCHRONIZED"),"E ACTIONABLE","INDEPENDENT"))</x:f>
        <x:v>HELD — COVERAGE</x:v>
      </x:c>
      <x:c r="AA841" s="13" t="str">
        <x:f>IF(L841&lt;&gt;"COVERED","HELD — COVERAGE","WAIT FOR UPSTREAM COMPLETION")</x:f>
        <x:v>HELD — COVERAGE</x:v>
      </x:c>
      <x:c r="AB841" s="13" t="str">
        <x:f>IF(L841&lt;&gt;"COVERED","HELD — COVERAGE",IF(T841="UNRESOLVED","G DECISION REQUIRED",IF(T841="NOT APPLICABLE","G N/A","G ACTIONABLE")))</x:f>
        <x:v>HELD — COVERAGE</x:v>
      </x:c>
      <x:c r="AC841" s="13" t="str">
        <x:f>IF(L841="UNRESOLVED","COVERAGE FIRST",IF(OR(L841="EXCLUDED",L841="OUT OF SCOPE"),"CLOSED BY COVERAGE",IF(AND(L841="COVERED",T841&lt;&gt;"UNRESOLVED"),"PARTIALLY ADOPTED","DECISIONS REMAIN")))</x:f>
        <x:v>COVERAGE FIRST</x:v>
      </x:c>
    </x:row>
    <x:row r="842">
      <x:c r="A842" s="13" t="str">
        <x:v>NAAFTC-HS6-200510</x:v>
      </x:c>
      <x:c r="B842" s="13" t="str">
        <x:v>200510</x:v>
      </x:c>
      <x:c r="C842" s="13" t="str">
        <x:v>20</x:v>
      </x:c>
      <x:c r="D842" s="13" t="str">
        <x:v>TRILATERAL_1_TO_1_TO_1</x:v>
      </x:c>
      <x:c r="E842" s="13" t="str">
        <x:v>Pending</x:v>
      </x:c>
      <x:c r="F842" s="13" t="n">
        <x:v>1</x:v>
      </x:c>
      <x:c r="G842" s="13" t="n">
        <x:v>1</x:v>
      </x:c>
      <x:c r="H842" s="13" t="n">
        <x:v>1</x:v>
      </x:c>
      <x:c r="I842" s="13" t="str">
        <x:v>2005100000</x:v>
      </x:c>
      <x:c r="J842" s="13" t="str">
        <x:v>2005100100</x:v>
      </x:c>
      <x:c r="K842" s="13" t="str">
        <x:v>2005100000</x:v>
      </x:c>
      <x:c r="L842" s="13" t="str">
        <x:v>UNRESOLVED</x:v>
      </x:c>
      <x:c r="M842" s="13" t="str"/>
      <x:c r="N842" s="13" t="str">
        <x:v>NO / DEFAULT</x:v>
      </x:c>
      <x:c r="O842" s="13" t="str"/>
      <x:c r="P842" s="13" t="str">
        <x:v>NO / DEFAULT</x:v>
      </x:c>
      <x:c r="Q842" s="13" t="str"/>
      <x:c r="R842" s="13" t="str">
        <x:v>INDEPENDENT / DEFAULT</x:v>
      </x:c>
      <x:c r="S842" s="13" t="str"/>
      <x:c r="T842" s="13" t="str">
        <x:v>UNRESOLVED</x:v>
      </x:c>
      <x:c r="U842" s="13" t="str"/>
      <x:c r="V842" s="13" t="str"/>
      <x:c r="W842" s="13" t="str"/>
      <x:c r="X842" s="13" t="str">
        <x:f>IF(L842&lt;&gt;"COVERED","HELD — COVERAGE",IF(N842="YES — SENSITIVE","C ACTIONABLE","CHAPTER 5 DEFAULT"))</x:f>
        <x:v>HELD — COVERAGE</x:v>
      </x:c>
      <x:c r="Y842" s="13" t="str">
        <x:f>IF(L842&lt;&gt;"COVERED","HELD — COVERAGE",IF(P842="YES — MANAGED ACCESS","D ACTIONABLE","NO D FIELD"))</x:f>
        <x:v>HELD — COVERAGE</x:v>
      </x:c>
      <x:c r="Z842" s="13" t="str">
        <x:f>IF(L842&lt;&gt;"COVERED","HELD — COVERAGE",IF(OR(R842="PAIRED SYNCHRONIZED",R842="TRILATERAL SYNCHRONIZED"),"E ACTIONABLE","INDEPENDENT"))</x:f>
        <x:v>HELD — COVERAGE</x:v>
      </x:c>
      <x:c r="AA842" s="13" t="str">
        <x:f>IF(L842&lt;&gt;"COVERED","HELD — COVERAGE","WAIT FOR UPSTREAM COMPLETION")</x:f>
        <x:v>HELD — COVERAGE</x:v>
      </x:c>
      <x:c r="AB842" s="13" t="str">
        <x:f>IF(L842&lt;&gt;"COVERED","HELD — COVERAGE",IF(T842="UNRESOLVED","G DECISION REQUIRED",IF(T842="NOT APPLICABLE","G N/A","G ACTIONABLE")))</x:f>
        <x:v>HELD — COVERAGE</x:v>
      </x:c>
      <x:c r="AC842" s="13" t="str">
        <x:f>IF(L842="UNRESOLVED","COVERAGE FIRST",IF(OR(L842="EXCLUDED",L842="OUT OF SCOPE"),"CLOSED BY COVERAGE",IF(AND(L842="COVERED",T842&lt;&gt;"UNRESOLVED"),"PARTIALLY ADOPTED","DECISIONS REMAIN")))</x:f>
        <x:v>COVERAGE FIRST</x:v>
      </x:c>
    </x:row>
    <x:row r="843">
      <x:c r="A843" s="13" t="str">
        <x:v>NAAFTC-HS6-200520</x:v>
      </x:c>
      <x:c r="B843" s="13" t="str">
        <x:v>200520</x:v>
      </x:c>
      <x:c r="C843" s="13" t="str">
        <x:v>20</x:v>
      </x:c>
      <x:c r="D843" s="13" t="str">
        <x:v>TRILATERAL_SPLIT_MERGE</x:v>
      </x:c>
      <x:c r="E843" s="13" t="str">
        <x:v>Pending</x:v>
      </x:c>
      <x:c r="F843" s="13" t="n">
        <x:v>3</x:v>
      </x:c>
      <x:c r="G843" s="13" t="n">
        <x:v>1</x:v>
      </x:c>
      <x:c r="H843" s="13" t="n">
        <x:v>1</x:v>
      </x:c>
      <x:c r="I843" s="13" t="str">
        <x:v>2005200020; 2005200040; 2005200070</x:v>
      </x:c>
      <x:c r="J843" s="13" t="str">
        <x:v>2005200100</x:v>
      </x:c>
      <x:c r="K843" s="13" t="str">
        <x:v>20052000</x:v>
      </x:c>
      <x:c r="L843" s="13" t="str">
        <x:v>UNRESOLVED</x:v>
      </x:c>
      <x:c r="M843" s="13" t="str"/>
      <x:c r="N843" s="13" t="str">
        <x:v>NO / DEFAULT</x:v>
      </x:c>
      <x:c r="O843" s="13" t="str"/>
      <x:c r="P843" s="13" t="str">
        <x:v>NO / DEFAULT</x:v>
      </x:c>
      <x:c r="Q843" s="13" t="str"/>
      <x:c r="R843" s="13" t="str">
        <x:v>INDEPENDENT / DEFAULT</x:v>
      </x:c>
      <x:c r="S843" s="13" t="str"/>
      <x:c r="T843" s="13" t="str">
        <x:v>UNRESOLVED</x:v>
      </x:c>
      <x:c r="U843" s="13" t="str"/>
      <x:c r="V843" s="13" t="str"/>
      <x:c r="W843" s="13" t="str"/>
      <x:c r="X843" s="13" t="str">
        <x:f>IF(L843&lt;&gt;"COVERED","HELD — COVERAGE",IF(N843="YES — SENSITIVE","C ACTIONABLE","CHAPTER 5 DEFAULT"))</x:f>
        <x:v>HELD — COVERAGE</x:v>
      </x:c>
      <x:c r="Y843" s="13" t="str">
        <x:f>IF(L843&lt;&gt;"COVERED","HELD — COVERAGE",IF(P843="YES — MANAGED ACCESS","D ACTIONABLE","NO D FIELD"))</x:f>
        <x:v>HELD — COVERAGE</x:v>
      </x:c>
      <x:c r="Z843" s="13" t="str">
        <x:f>IF(L843&lt;&gt;"COVERED","HELD — COVERAGE",IF(OR(R843="PAIRED SYNCHRONIZED",R843="TRILATERAL SYNCHRONIZED"),"E ACTIONABLE","INDEPENDENT"))</x:f>
        <x:v>HELD — COVERAGE</x:v>
      </x:c>
      <x:c r="AA843" s="13" t="str">
        <x:f>IF(L843&lt;&gt;"COVERED","HELD — COVERAGE","WAIT FOR UPSTREAM COMPLETION")</x:f>
        <x:v>HELD — COVERAGE</x:v>
      </x:c>
      <x:c r="AB843" s="13" t="str">
        <x:f>IF(L843&lt;&gt;"COVERED","HELD — COVERAGE",IF(T843="UNRESOLVED","G DECISION REQUIRED",IF(T843="NOT APPLICABLE","G N/A","G ACTIONABLE")))</x:f>
        <x:v>HELD — COVERAGE</x:v>
      </x:c>
      <x:c r="AC843" s="13" t="str">
        <x:f>IF(L843="UNRESOLVED","COVERAGE FIRST",IF(OR(L843="EXCLUDED",L843="OUT OF SCOPE"),"CLOSED BY COVERAGE",IF(AND(L843="COVERED",T843&lt;&gt;"UNRESOLVED"),"PARTIALLY ADOPTED","DECISIONS REMAIN")))</x:f>
        <x:v>COVERAGE FIRST</x:v>
      </x:c>
    </x:row>
    <x:row r="844">
      <x:c r="A844" s="13" t="str">
        <x:v>NAAFTC-HS6-200540</x:v>
      </x:c>
      <x:c r="B844" s="13" t="str">
        <x:v>200540</x:v>
      </x:c>
      <x:c r="C844" s="13" t="str">
        <x:v>20</x:v>
      </x:c>
      <x:c r="D844" s="13" t="str">
        <x:v>TRILATERAL_1_TO_1_TO_1</x:v>
      </x:c>
      <x:c r="E844" s="13" t="str">
        <x:v>Pending</x:v>
      </x:c>
      <x:c r="F844" s="13" t="n">
        <x:v>1</x:v>
      </x:c>
      <x:c r="G844" s="13" t="n">
        <x:v>1</x:v>
      </x:c>
      <x:c r="H844" s="13" t="n">
        <x:v>1</x:v>
      </x:c>
      <x:c r="I844" s="13" t="str">
        <x:v>2005400000</x:v>
      </x:c>
      <x:c r="J844" s="13" t="str">
        <x:v>2005400100</x:v>
      </x:c>
      <x:c r="K844" s="13" t="str">
        <x:v>2005400000</x:v>
      </x:c>
      <x:c r="L844" s="13" t="str">
        <x:v>UNRESOLVED</x:v>
      </x:c>
      <x:c r="M844" s="13" t="str"/>
      <x:c r="N844" s="13" t="str">
        <x:v>NO / DEFAULT</x:v>
      </x:c>
      <x:c r="O844" s="13" t="str"/>
      <x:c r="P844" s="13" t="str">
        <x:v>NO / DEFAULT</x:v>
      </x:c>
      <x:c r="Q844" s="13" t="str"/>
      <x:c r="R844" s="13" t="str">
        <x:v>INDEPENDENT / DEFAULT</x:v>
      </x:c>
      <x:c r="S844" s="13" t="str"/>
      <x:c r="T844" s="13" t="str">
        <x:v>UNRESOLVED</x:v>
      </x:c>
      <x:c r="U844" s="13" t="str"/>
      <x:c r="V844" s="13" t="str"/>
      <x:c r="W844" s="13" t="str"/>
      <x:c r="X844" s="13" t="str">
        <x:f>IF(L844&lt;&gt;"COVERED","HELD — COVERAGE",IF(N844="YES — SENSITIVE","C ACTIONABLE","CHAPTER 5 DEFAULT"))</x:f>
        <x:v>HELD — COVERAGE</x:v>
      </x:c>
      <x:c r="Y844" s="13" t="str">
        <x:f>IF(L844&lt;&gt;"COVERED","HELD — COVERAGE",IF(P844="YES — MANAGED ACCESS","D ACTIONABLE","NO D FIELD"))</x:f>
        <x:v>HELD — COVERAGE</x:v>
      </x:c>
      <x:c r="Z844" s="13" t="str">
        <x:f>IF(L844&lt;&gt;"COVERED","HELD — COVERAGE",IF(OR(R844="PAIRED SYNCHRONIZED",R844="TRILATERAL SYNCHRONIZED"),"E ACTIONABLE","INDEPENDENT"))</x:f>
        <x:v>HELD — COVERAGE</x:v>
      </x:c>
      <x:c r="AA844" s="13" t="str">
        <x:f>IF(L844&lt;&gt;"COVERED","HELD — COVERAGE","WAIT FOR UPSTREAM COMPLETION")</x:f>
        <x:v>HELD — COVERAGE</x:v>
      </x:c>
      <x:c r="AB844" s="13" t="str">
        <x:f>IF(L844&lt;&gt;"COVERED","HELD — COVERAGE",IF(T844="UNRESOLVED","G DECISION REQUIRED",IF(T844="NOT APPLICABLE","G N/A","G ACTIONABLE")))</x:f>
        <x:v>HELD — COVERAGE</x:v>
      </x:c>
      <x:c r="AC844" s="13" t="str">
        <x:f>IF(L844="UNRESOLVED","COVERAGE FIRST",IF(OR(L844="EXCLUDED",L844="OUT OF SCOPE"),"CLOSED BY COVERAGE",IF(AND(L844="COVERED",T844&lt;&gt;"UNRESOLVED"),"PARTIALLY ADOPTED","DECISIONS REMAIN")))</x:f>
        <x:v>COVERAGE FIRST</x:v>
      </x:c>
    </x:row>
    <x:row r="845">
      <x:c r="A845" s="13" t="str">
        <x:v>NAAFTC-HS6-200551</x:v>
      </x:c>
      <x:c r="B845" s="13" t="str">
        <x:v>200551</x:v>
      </x:c>
      <x:c r="C845" s="13" t="str">
        <x:v>20</x:v>
      </x:c>
      <x:c r="D845" s="13" t="str">
        <x:v>TRILATERAL_SPLIT_MERGE</x:v>
      </x:c>
      <x:c r="E845" s="13" t="str">
        <x:v>Pending</x:v>
      </x:c>
      <x:c r="F845" s="13" t="n">
        <x:v>4</x:v>
      </x:c>
      <x:c r="G845" s="13" t="n">
        <x:v>1</x:v>
      </x:c>
      <x:c r="H845" s="13" t="n">
        <x:v>2</x:v>
      </x:c>
      <x:c r="I845" s="13" t="str">
        <x:v>2005512020; 2005512040; 2005514020; 2005514040</x:v>
      </x:c>
      <x:c r="J845" s="13" t="str">
        <x:v>2005510100</x:v>
      </x:c>
      <x:c r="K845" s="13" t="str">
        <x:v>2005511000; 20055190</x:v>
      </x:c>
      <x:c r="L845" s="13" t="str">
        <x:v>UNRESOLVED</x:v>
      </x:c>
      <x:c r="M845" s="13" t="str"/>
      <x:c r="N845" s="13" t="str">
        <x:v>NO / DEFAULT</x:v>
      </x:c>
      <x:c r="O845" s="13" t="str"/>
      <x:c r="P845" s="13" t="str">
        <x:v>NO / DEFAULT</x:v>
      </x:c>
      <x:c r="Q845" s="13" t="str"/>
      <x:c r="R845" s="13" t="str">
        <x:v>INDEPENDENT / DEFAULT</x:v>
      </x:c>
      <x:c r="S845" s="13" t="str"/>
      <x:c r="T845" s="13" t="str">
        <x:v>UNRESOLVED</x:v>
      </x:c>
      <x:c r="U845" s="13" t="str"/>
      <x:c r="V845" s="13" t="str"/>
      <x:c r="W845" s="13" t="str"/>
      <x:c r="X845" s="13" t="str">
        <x:f>IF(L845&lt;&gt;"COVERED","HELD — COVERAGE",IF(N845="YES — SENSITIVE","C ACTIONABLE","CHAPTER 5 DEFAULT"))</x:f>
        <x:v>HELD — COVERAGE</x:v>
      </x:c>
      <x:c r="Y845" s="13" t="str">
        <x:f>IF(L845&lt;&gt;"COVERED","HELD — COVERAGE",IF(P845="YES — MANAGED ACCESS","D ACTIONABLE","NO D FIELD"))</x:f>
        <x:v>HELD — COVERAGE</x:v>
      </x:c>
      <x:c r="Z845" s="13" t="str">
        <x:f>IF(L845&lt;&gt;"COVERED","HELD — COVERAGE",IF(OR(R845="PAIRED SYNCHRONIZED",R845="TRILATERAL SYNCHRONIZED"),"E ACTIONABLE","INDEPENDENT"))</x:f>
        <x:v>HELD — COVERAGE</x:v>
      </x:c>
      <x:c r="AA845" s="13" t="str">
        <x:f>IF(L845&lt;&gt;"COVERED","HELD — COVERAGE","WAIT FOR UPSTREAM COMPLETION")</x:f>
        <x:v>HELD — COVERAGE</x:v>
      </x:c>
      <x:c r="AB845" s="13" t="str">
        <x:f>IF(L845&lt;&gt;"COVERED","HELD — COVERAGE",IF(T845="UNRESOLVED","G DECISION REQUIRED",IF(T845="NOT APPLICABLE","G N/A","G ACTIONABLE")))</x:f>
        <x:v>HELD — COVERAGE</x:v>
      </x:c>
      <x:c r="AC845" s="13" t="str">
        <x:f>IF(L845="UNRESOLVED","COVERAGE FIRST",IF(OR(L845="EXCLUDED",L845="OUT OF SCOPE"),"CLOSED BY COVERAGE",IF(AND(L845="COVERED",T845&lt;&gt;"UNRESOLVED"),"PARTIALLY ADOPTED","DECISIONS REMAIN")))</x:f>
        <x:v>COVERAGE FIRST</x:v>
      </x:c>
    </x:row>
    <x:row r="846">
      <x:c r="A846" s="13" t="str">
        <x:v>NAAFTC-HS6-200559</x:v>
      </x:c>
      <x:c r="B846" s="13" t="str">
        <x:v>200559</x:v>
      </x:c>
      <x:c r="C846" s="13" t="str">
        <x:v>20</x:v>
      </x:c>
      <x:c r="D846" s="13" t="str">
        <x:v>TRILATERAL_1_TO_1_TO_1</x:v>
      </x:c>
      <x:c r="E846" s="13" t="str">
        <x:v>Pending</x:v>
      </x:c>
      <x:c r="F846" s="13" t="n">
        <x:v>1</x:v>
      </x:c>
      <x:c r="G846" s="13" t="n">
        <x:v>1</x:v>
      </x:c>
      <x:c r="H846" s="13" t="n">
        <x:v>1</x:v>
      </x:c>
      <x:c r="I846" s="13" t="str">
        <x:v>2005590000</x:v>
      </x:c>
      <x:c r="J846" s="13" t="str">
        <x:v>2005599900</x:v>
      </x:c>
      <x:c r="K846" s="13" t="str">
        <x:v>2005590000</x:v>
      </x:c>
      <x:c r="L846" s="13" t="str">
        <x:v>UNRESOLVED</x:v>
      </x:c>
      <x:c r="M846" s="13" t="str"/>
      <x:c r="N846" s="13" t="str">
        <x:v>NO / DEFAULT</x:v>
      </x:c>
      <x:c r="O846" s="13" t="str"/>
      <x:c r="P846" s="13" t="str">
        <x:v>NO / DEFAULT</x:v>
      </x:c>
      <x:c r="Q846" s="13" t="str"/>
      <x:c r="R846" s="13" t="str">
        <x:v>INDEPENDENT / DEFAULT</x:v>
      </x:c>
      <x:c r="S846" s="13" t="str"/>
      <x:c r="T846" s="13" t="str">
        <x:v>UNRESOLVED</x:v>
      </x:c>
      <x:c r="U846" s="13" t="str"/>
      <x:c r="V846" s="13" t="str"/>
      <x:c r="W846" s="13" t="str"/>
      <x:c r="X846" s="13" t="str">
        <x:f>IF(L846&lt;&gt;"COVERED","HELD — COVERAGE",IF(N846="YES — SENSITIVE","C ACTIONABLE","CHAPTER 5 DEFAULT"))</x:f>
        <x:v>HELD — COVERAGE</x:v>
      </x:c>
      <x:c r="Y846" s="13" t="str">
        <x:f>IF(L846&lt;&gt;"COVERED","HELD — COVERAGE",IF(P846="YES — MANAGED ACCESS","D ACTIONABLE","NO D FIELD"))</x:f>
        <x:v>HELD — COVERAGE</x:v>
      </x:c>
      <x:c r="Z846" s="13" t="str">
        <x:f>IF(L846&lt;&gt;"COVERED","HELD — COVERAGE",IF(OR(R846="PAIRED SYNCHRONIZED",R846="TRILATERAL SYNCHRONIZED"),"E ACTIONABLE","INDEPENDENT"))</x:f>
        <x:v>HELD — COVERAGE</x:v>
      </x:c>
      <x:c r="AA846" s="13" t="str">
        <x:f>IF(L846&lt;&gt;"COVERED","HELD — COVERAGE","WAIT FOR UPSTREAM COMPLETION")</x:f>
        <x:v>HELD — COVERAGE</x:v>
      </x:c>
      <x:c r="AB846" s="13" t="str">
        <x:f>IF(L846&lt;&gt;"COVERED","HELD — COVERAGE",IF(T846="UNRESOLVED","G DECISION REQUIRED",IF(T846="NOT APPLICABLE","G N/A","G ACTIONABLE")))</x:f>
        <x:v>HELD — COVERAGE</x:v>
      </x:c>
      <x:c r="AC846" s="13" t="str">
        <x:f>IF(L846="UNRESOLVED","COVERAGE FIRST",IF(OR(L846="EXCLUDED",L846="OUT OF SCOPE"),"CLOSED BY COVERAGE",IF(AND(L846="COVERED",T846&lt;&gt;"UNRESOLVED"),"PARTIALLY ADOPTED","DECISIONS REMAIN")))</x:f>
        <x:v>COVERAGE FIRST</x:v>
      </x:c>
    </x:row>
    <x:row r="847">
      <x:c r="A847" s="13" t="str">
        <x:v>NAAFTC-HS6-200560</x:v>
      </x:c>
      <x:c r="B847" s="13" t="str">
        <x:v>200560</x:v>
      </x:c>
      <x:c r="C847" s="13" t="str">
        <x:v>20</x:v>
      </x:c>
      <x:c r="D847" s="13" t="str">
        <x:v>TRILATERAL_1_TO_1_TO_1</x:v>
      </x:c>
      <x:c r="E847" s="13" t="str">
        <x:v>Pending</x:v>
      </x:c>
      <x:c r="F847" s="13" t="n">
        <x:v>1</x:v>
      </x:c>
      <x:c r="G847" s="13" t="n">
        <x:v>1</x:v>
      </x:c>
      <x:c r="H847" s="13" t="n">
        <x:v>1</x:v>
      </x:c>
      <x:c r="I847" s="13" t="str">
        <x:v>2005600000</x:v>
      </x:c>
      <x:c r="J847" s="13" t="str">
        <x:v>2005600100</x:v>
      </x:c>
      <x:c r="K847" s="13" t="str">
        <x:v>2005600000</x:v>
      </x:c>
      <x:c r="L847" s="13" t="str">
        <x:v>UNRESOLVED</x:v>
      </x:c>
      <x:c r="M847" s="13" t="str"/>
      <x:c r="N847" s="13" t="str">
        <x:v>NO / DEFAULT</x:v>
      </x:c>
      <x:c r="O847" s="13" t="str"/>
      <x:c r="P847" s="13" t="str">
        <x:v>NO / DEFAULT</x:v>
      </x:c>
      <x:c r="Q847" s="13" t="str"/>
      <x:c r="R847" s="13" t="str">
        <x:v>INDEPENDENT / DEFAULT</x:v>
      </x:c>
      <x:c r="S847" s="13" t="str"/>
      <x:c r="T847" s="13" t="str">
        <x:v>UNRESOLVED</x:v>
      </x:c>
      <x:c r="U847" s="13" t="str"/>
      <x:c r="V847" s="13" t="str"/>
      <x:c r="W847" s="13" t="str"/>
      <x:c r="X847" s="13" t="str">
        <x:f>IF(L847&lt;&gt;"COVERED","HELD — COVERAGE",IF(N847="YES — SENSITIVE","C ACTIONABLE","CHAPTER 5 DEFAULT"))</x:f>
        <x:v>HELD — COVERAGE</x:v>
      </x:c>
      <x:c r="Y847" s="13" t="str">
        <x:f>IF(L847&lt;&gt;"COVERED","HELD — COVERAGE",IF(P847="YES — MANAGED ACCESS","D ACTIONABLE","NO D FIELD"))</x:f>
        <x:v>HELD — COVERAGE</x:v>
      </x:c>
      <x:c r="Z847" s="13" t="str">
        <x:f>IF(L847&lt;&gt;"COVERED","HELD — COVERAGE",IF(OR(R847="PAIRED SYNCHRONIZED",R847="TRILATERAL SYNCHRONIZED"),"E ACTIONABLE","INDEPENDENT"))</x:f>
        <x:v>HELD — COVERAGE</x:v>
      </x:c>
      <x:c r="AA847" s="13" t="str">
        <x:f>IF(L847&lt;&gt;"COVERED","HELD — COVERAGE","WAIT FOR UPSTREAM COMPLETION")</x:f>
        <x:v>HELD — COVERAGE</x:v>
      </x:c>
      <x:c r="AB847" s="13" t="str">
        <x:f>IF(L847&lt;&gt;"COVERED","HELD — COVERAGE",IF(T847="UNRESOLVED","G DECISION REQUIRED",IF(T847="NOT APPLICABLE","G N/A","G ACTIONABLE")))</x:f>
        <x:v>HELD — COVERAGE</x:v>
      </x:c>
      <x:c r="AC847" s="13" t="str">
        <x:f>IF(L847="UNRESOLVED","COVERAGE FIRST",IF(OR(L847="EXCLUDED",L847="OUT OF SCOPE"),"CLOSED BY COVERAGE",IF(AND(L847="COVERED",T847&lt;&gt;"UNRESOLVED"),"PARTIALLY ADOPTED","DECISIONS REMAIN")))</x:f>
        <x:v>COVERAGE FIRST</x:v>
      </x:c>
    </x:row>
    <x:row r="848">
      <x:c r="A848" s="13" t="str">
        <x:v>NAAFTC-HS6-200570</x:v>
      </x:c>
      <x:c r="B848" s="13" t="str">
        <x:v>200570</x:v>
      </x:c>
      <x:c r="C848" s="13" t="str">
        <x:v>20</x:v>
      </x:c>
      <x:c r="D848" s="13" t="str">
        <x:v>TRILATERAL_SPLIT_MERGE</x:v>
      </x:c>
      <x:c r="E848" s="13" t="str">
        <x:v>Pending</x:v>
      </x:c>
      <x:c r="F848" s="13" t="n">
        <x:v>33</x:v>
      </x:c>
      <x:c r="G848" s="13" t="n">
        <x:v>1</x:v>
      </x:c>
      <x:c r="H848" s="13" t="n">
        <x:v>2</x:v>
      </x:c>
      <x:c r="I848" s="13" t="str">
        <x:v>2005700230; 2005700260; 2005700430; 2005700460; 2005700600; 2005700800; +27 more</x:v>
      </x:c>
      <x:c r="J848" s="13" t="str">
        <x:v>2005700100</x:v>
      </x:c>
      <x:c r="K848" s="13" t="str">
        <x:v>2005701000; 2005709000</x:v>
      </x:c>
      <x:c r="L848" s="13" t="str">
        <x:v>UNRESOLVED</x:v>
      </x:c>
      <x:c r="M848" s="13" t="str"/>
      <x:c r="N848" s="13" t="str">
        <x:v>NO / DEFAULT</x:v>
      </x:c>
      <x:c r="O848" s="13" t="str"/>
      <x:c r="P848" s="13" t="str">
        <x:v>NO / DEFAULT</x:v>
      </x:c>
      <x:c r="Q848" s="13" t="str"/>
      <x:c r="R848" s="13" t="str">
        <x:v>INDEPENDENT / DEFAULT</x:v>
      </x:c>
      <x:c r="S848" s="13" t="str"/>
      <x:c r="T848" s="13" t="str">
        <x:v>UNRESOLVED</x:v>
      </x:c>
      <x:c r="U848" s="13" t="str"/>
      <x:c r="V848" s="13" t="str"/>
      <x:c r="W848" s="13" t="str"/>
      <x:c r="X848" s="13" t="str">
        <x:f>IF(L848&lt;&gt;"COVERED","HELD — COVERAGE",IF(N848="YES — SENSITIVE","C ACTIONABLE","CHAPTER 5 DEFAULT"))</x:f>
        <x:v>HELD — COVERAGE</x:v>
      </x:c>
      <x:c r="Y848" s="13" t="str">
        <x:f>IF(L848&lt;&gt;"COVERED","HELD — COVERAGE",IF(P848="YES — MANAGED ACCESS","D ACTIONABLE","NO D FIELD"))</x:f>
        <x:v>HELD — COVERAGE</x:v>
      </x:c>
      <x:c r="Z848" s="13" t="str">
        <x:f>IF(L848&lt;&gt;"COVERED","HELD — COVERAGE",IF(OR(R848="PAIRED SYNCHRONIZED",R848="TRILATERAL SYNCHRONIZED"),"E ACTIONABLE","INDEPENDENT"))</x:f>
        <x:v>HELD — COVERAGE</x:v>
      </x:c>
      <x:c r="AA848" s="13" t="str">
        <x:f>IF(L848&lt;&gt;"COVERED","HELD — COVERAGE","WAIT FOR UPSTREAM COMPLETION")</x:f>
        <x:v>HELD — COVERAGE</x:v>
      </x:c>
      <x:c r="AB848" s="13" t="str">
        <x:f>IF(L848&lt;&gt;"COVERED","HELD — COVERAGE",IF(T848="UNRESOLVED","G DECISION REQUIRED",IF(T848="NOT APPLICABLE","G N/A","G ACTIONABLE")))</x:f>
        <x:v>HELD — COVERAGE</x:v>
      </x:c>
      <x:c r="AC848" s="13" t="str">
        <x:f>IF(L848="UNRESOLVED","COVERAGE FIRST",IF(OR(L848="EXCLUDED",L848="OUT OF SCOPE"),"CLOSED BY COVERAGE",IF(AND(L848="COVERED",T848&lt;&gt;"UNRESOLVED"),"PARTIALLY ADOPTED","DECISIONS REMAIN")))</x:f>
        <x:v>COVERAGE FIRST</x:v>
      </x:c>
    </x:row>
    <x:row r="849">
      <x:c r="A849" s="13" t="str">
        <x:v>NAAFTC-HS6-200580</x:v>
      </x:c>
      <x:c r="B849" s="13" t="str">
        <x:v>200580</x:v>
      </x:c>
      <x:c r="C849" s="13" t="str">
        <x:v>20</x:v>
      </x:c>
      <x:c r="D849" s="13" t="str">
        <x:v>TRILATERAL_1_TO_1_TO_1</x:v>
      </x:c>
      <x:c r="E849" s="13" t="str">
        <x:v>Pending</x:v>
      </x:c>
      <x:c r="F849" s="13" t="n">
        <x:v>1</x:v>
      </x:c>
      <x:c r="G849" s="13" t="n">
        <x:v>1</x:v>
      </x:c>
      <x:c r="H849" s="13" t="n">
        <x:v>1</x:v>
      </x:c>
      <x:c r="I849" s="13" t="str">
        <x:v>2005800000</x:v>
      </x:c>
      <x:c r="J849" s="13" t="str">
        <x:v>2005800100</x:v>
      </x:c>
      <x:c r="K849" s="13" t="str">
        <x:v>2005800000</x:v>
      </x:c>
      <x:c r="L849" s="13" t="str">
        <x:v>UNRESOLVED</x:v>
      </x:c>
      <x:c r="M849" s="13" t="str"/>
      <x:c r="N849" s="13" t="str">
        <x:v>NO / DEFAULT</x:v>
      </x:c>
      <x:c r="O849" s="13" t="str"/>
      <x:c r="P849" s="13" t="str">
        <x:v>NO / DEFAULT</x:v>
      </x:c>
      <x:c r="Q849" s="13" t="str"/>
      <x:c r="R849" s="13" t="str">
        <x:v>INDEPENDENT / DEFAULT</x:v>
      </x:c>
      <x:c r="S849" s="13" t="str"/>
      <x:c r="T849" s="13" t="str">
        <x:v>UNRESOLVED</x:v>
      </x:c>
      <x:c r="U849" s="13" t="str"/>
      <x:c r="V849" s="13" t="str"/>
      <x:c r="W849" s="13" t="str"/>
      <x:c r="X849" s="13" t="str">
        <x:f>IF(L849&lt;&gt;"COVERED","HELD — COVERAGE",IF(N849="YES — SENSITIVE","C ACTIONABLE","CHAPTER 5 DEFAULT"))</x:f>
        <x:v>HELD — COVERAGE</x:v>
      </x:c>
      <x:c r="Y849" s="13" t="str">
        <x:f>IF(L849&lt;&gt;"COVERED","HELD — COVERAGE",IF(P849="YES — MANAGED ACCESS","D ACTIONABLE","NO D FIELD"))</x:f>
        <x:v>HELD — COVERAGE</x:v>
      </x:c>
      <x:c r="Z849" s="13" t="str">
        <x:f>IF(L849&lt;&gt;"COVERED","HELD — COVERAGE",IF(OR(R849="PAIRED SYNCHRONIZED",R849="TRILATERAL SYNCHRONIZED"),"E ACTIONABLE","INDEPENDENT"))</x:f>
        <x:v>HELD — COVERAGE</x:v>
      </x:c>
      <x:c r="AA849" s="13" t="str">
        <x:f>IF(L849&lt;&gt;"COVERED","HELD — COVERAGE","WAIT FOR UPSTREAM COMPLETION")</x:f>
        <x:v>HELD — COVERAGE</x:v>
      </x:c>
      <x:c r="AB849" s="13" t="str">
        <x:f>IF(L849&lt;&gt;"COVERED","HELD — COVERAGE",IF(T849="UNRESOLVED","G DECISION REQUIRED",IF(T849="NOT APPLICABLE","G N/A","G ACTIONABLE")))</x:f>
        <x:v>HELD — COVERAGE</x:v>
      </x:c>
      <x:c r="AC849" s="13" t="str">
        <x:f>IF(L849="UNRESOLVED","COVERAGE FIRST",IF(OR(L849="EXCLUDED",L849="OUT OF SCOPE"),"CLOSED BY COVERAGE",IF(AND(L849="COVERED",T849&lt;&gt;"UNRESOLVED"),"PARTIALLY ADOPTED","DECISIONS REMAIN")))</x:f>
        <x:v>COVERAGE FIRST</x:v>
      </x:c>
    </x:row>
    <x:row r="850">
      <x:c r="A850" s="13" t="str">
        <x:v>NAAFTC-HS6-200591</x:v>
      </x:c>
      <x:c r="B850" s="13" t="str">
        <x:v>200591</x:v>
      </x:c>
      <x:c r="C850" s="13" t="str">
        <x:v>20</x:v>
      </x:c>
      <x:c r="D850" s="13" t="str">
        <x:v>TRILATERAL_SPLIT_MERGE</x:v>
      </x:c>
      <x:c r="E850" s="13" t="str">
        <x:v>Pending</x:v>
      </x:c>
      <x:c r="F850" s="13" t="n">
        <x:v>2</x:v>
      </x:c>
      <x:c r="G850" s="13" t="n">
        <x:v>1</x:v>
      </x:c>
      <x:c r="H850" s="13" t="n">
        <x:v>1</x:v>
      </x:c>
      <x:c r="I850" s="13" t="str">
        <x:v>2005916000; 2005919700</x:v>
      </x:c>
      <x:c r="J850" s="13" t="str">
        <x:v>2005910100</x:v>
      </x:c>
      <x:c r="K850" s="13" t="str">
        <x:v>2005910000</x:v>
      </x:c>
      <x:c r="L850" s="13" t="str">
        <x:v>UNRESOLVED</x:v>
      </x:c>
      <x:c r="M850" s="13" t="str"/>
      <x:c r="N850" s="13" t="str">
        <x:v>NO / DEFAULT</x:v>
      </x:c>
      <x:c r="O850" s="13" t="str"/>
      <x:c r="P850" s="13" t="str">
        <x:v>NO / DEFAULT</x:v>
      </x:c>
      <x:c r="Q850" s="13" t="str"/>
      <x:c r="R850" s="13" t="str">
        <x:v>INDEPENDENT / DEFAULT</x:v>
      </x:c>
      <x:c r="S850" s="13" t="str"/>
      <x:c r="T850" s="13" t="str">
        <x:v>UNRESOLVED</x:v>
      </x:c>
      <x:c r="U850" s="13" t="str"/>
      <x:c r="V850" s="13" t="str"/>
      <x:c r="W850" s="13" t="str"/>
      <x:c r="X850" s="13" t="str">
        <x:f>IF(L850&lt;&gt;"COVERED","HELD — COVERAGE",IF(N850="YES — SENSITIVE","C ACTIONABLE","CHAPTER 5 DEFAULT"))</x:f>
        <x:v>HELD — COVERAGE</x:v>
      </x:c>
      <x:c r="Y850" s="13" t="str">
        <x:f>IF(L850&lt;&gt;"COVERED","HELD — COVERAGE",IF(P850="YES — MANAGED ACCESS","D ACTIONABLE","NO D FIELD"))</x:f>
        <x:v>HELD — COVERAGE</x:v>
      </x:c>
      <x:c r="Z850" s="13" t="str">
        <x:f>IF(L850&lt;&gt;"COVERED","HELD — COVERAGE",IF(OR(R850="PAIRED SYNCHRONIZED",R850="TRILATERAL SYNCHRONIZED"),"E ACTIONABLE","INDEPENDENT"))</x:f>
        <x:v>HELD — COVERAGE</x:v>
      </x:c>
      <x:c r="AA850" s="13" t="str">
        <x:f>IF(L850&lt;&gt;"COVERED","HELD — COVERAGE","WAIT FOR UPSTREAM COMPLETION")</x:f>
        <x:v>HELD — COVERAGE</x:v>
      </x:c>
      <x:c r="AB850" s="13" t="str">
        <x:f>IF(L850&lt;&gt;"COVERED","HELD — COVERAGE",IF(T850="UNRESOLVED","G DECISION REQUIRED",IF(T850="NOT APPLICABLE","G N/A","G ACTIONABLE")))</x:f>
        <x:v>HELD — COVERAGE</x:v>
      </x:c>
      <x:c r="AC850" s="13" t="str">
        <x:f>IF(L850="UNRESOLVED","COVERAGE FIRST",IF(OR(L850="EXCLUDED",L850="OUT OF SCOPE"),"CLOSED BY COVERAGE",IF(AND(L850="COVERED",T850&lt;&gt;"UNRESOLVED"),"PARTIALLY ADOPTED","DECISIONS REMAIN")))</x:f>
        <x:v>COVERAGE FIRST</x:v>
      </x:c>
    </x:row>
    <x:row r="851">
      <x:c r="A851" s="13" t="str">
        <x:v>NAAFTC-HS6-200599</x:v>
      </x:c>
      <x:c r="B851" s="13" t="str">
        <x:v>200599</x:v>
      </x:c>
      <x:c r="C851" s="13" t="str">
        <x:v>20</x:v>
      </x:c>
      <x:c r="D851" s="13" t="str">
        <x:v>TRILATERAL_SPLIT_MERGE</x:v>
      </x:c>
      <x:c r="E851" s="13" t="str">
        <x:v>Pending</x:v>
      </x:c>
      <x:c r="F851" s="13" t="n">
        <x:v>12</x:v>
      </x:c>
      <x:c r="G851" s="13" t="n">
        <x:v>2</x:v>
      </x:c>
      <x:c r="H851" s="13" t="n">
        <x:v>1</x:v>
      </x:c>
      <x:c r="I851" s="13" t="str">
        <x:v>2005991000; 2005992000; 2005993000; 2005994110; 2005994120; 2005995020; +6 more</x:v>
      </x:c>
      <x:c r="J851" s="13" t="str">
        <x:v>2005999901; 2005999999</x:v>
      </x:c>
      <x:c r="K851" s="13" t="str">
        <x:v>20059990</x:v>
      </x:c>
      <x:c r="L851" s="13" t="str">
        <x:v>UNRESOLVED</x:v>
      </x:c>
      <x:c r="M851" s="13" t="str"/>
      <x:c r="N851" s="13" t="str">
        <x:v>NO / DEFAULT</x:v>
      </x:c>
      <x:c r="O851" s="13" t="str"/>
      <x:c r="P851" s="13" t="str">
        <x:v>NO / DEFAULT</x:v>
      </x:c>
      <x:c r="Q851" s="13" t="str"/>
      <x:c r="R851" s="13" t="str">
        <x:v>INDEPENDENT / DEFAULT</x:v>
      </x:c>
      <x:c r="S851" s="13" t="str"/>
      <x:c r="T851" s="13" t="str">
        <x:v>UNRESOLVED</x:v>
      </x:c>
      <x:c r="U851" s="13" t="str"/>
      <x:c r="V851" s="13" t="str"/>
      <x:c r="W851" s="13" t="str"/>
      <x:c r="X851" s="13" t="str">
        <x:f>IF(L851&lt;&gt;"COVERED","HELD — COVERAGE",IF(N851="YES — SENSITIVE","C ACTIONABLE","CHAPTER 5 DEFAULT"))</x:f>
        <x:v>HELD — COVERAGE</x:v>
      </x:c>
      <x:c r="Y851" s="13" t="str">
        <x:f>IF(L851&lt;&gt;"COVERED","HELD — COVERAGE",IF(P851="YES — MANAGED ACCESS","D ACTIONABLE","NO D FIELD"))</x:f>
        <x:v>HELD — COVERAGE</x:v>
      </x:c>
      <x:c r="Z851" s="13" t="str">
        <x:f>IF(L851&lt;&gt;"COVERED","HELD — COVERAGE",IF(OR(R851="PAIRED SYNCHRONIZED",R851="TRILATERAL SYNCHRONIZED"),"E ACTIONABLE","INDEPENDENT"))</x:f>
        <x:v>HELD — COVERAGE</x:v>
      </x:c>
      <x:c r="AA851" s="13" t="str">
        <x:f>IF(L851&lt;&gt;"COVERED","HELD — COVERAGE","WAIT FOR UPSTREAM COMPLETION")</x:f>
        <x:v>HELD — COVERAGE</x:v>
      </x:c>
      <x:c r="AB851" s="13" t="str">
        <x:f>IF(L851&lt;&gt;"COVERED","HELD — COVERAGE",IF(T851="UNRESOLVED","G DECISION REQUIRED",IF(T851="NOT APPLICABLE","G N/A","G ACTIONABLE")))</x:f>
        <x:v>HELD — COVERAGE</x:v>
      </x:c>
      <x:c r="AC851" s="13" t="str">
        <x:f>IF(L851="UNRESOLVED","COVERAGE FIRST",IF(OR(L851="EXCLUDED",L851="OUT OF SCOPE"),"CLOSED BY COVERAGE",IF(AND(L851="COVERED",T851&lt;&gt;"UNRESOLVED"),"PARTIALLY ADOPTED","DECISIONS REMAIN")))</x:f>
        <x:v>COVERAGE FIRST</x:v>
      </x:c>
    </x:row>
    <x:row r="852">
      <x:c r="A852" s="13" t="str">
        <x:v>NAAFTC-HS6-200600</x:v>
      </x:c>
      <x:c r="B852" s="13" t="str">
        <x:v>200600</x:v>
      </x:c>
      <x:c r="C852" s="13" t="str">
        <x:v>20</x:v>
      </x:c>
      <x:c r="D852" s="13" t="str">
        <x:v>TRILATERAL_SPLIT_MERGE</x:v>
      </x:c>
      <x:c r="E852" s="13" t="str">
        <x:v>Pending</x:v>
      </x:c>
      <x:c r="F852" s="13" t="n">
        <x:v>7</x:v>
      </x:c>
      <x:c r="G852" s="13" t="n">
        <x:v>4</x:v>
      </x:c>
      <x:c r="H852" s="13" t="n">
        <x:v>3</x:v>
      </x:c>
      <x:c r="I852" s="13" t="str">
        <x:v>2006002000; 2006003000; 2006004000; 2006005000; 2006006000; 2006007000; +1 more</x:v>
      </x:c>
      <x:c r="J852" s="13" t="str">
        <x:v>2006000100; 2006000200; 2006009100; 2006009900</x:v>
      </x:c>
      <x:c r="K852" s="13" t="str">
        <x:v>20060010; 2006002000; 2006009000</x:v>
      </x:c>
      <x:c r="L852" s="13" t="str">
        <x:v>UNRESOLVED</x:v>
      </x:c>
      <x:c r="M852" s="13" t="str"/>
      <x:c r="N852" s="13" t="str">
        <x:v>NO / DEFAULT</x:v>
      </x:c>
      <x:c r="O852" s="13" t="str"/>
      <x:c r="P852" s="13" t="str">
        <x:v>NO / DEFAULT</x:v>
      </x:c>
      <x:c r="Q852" s="13" t="str"/>
      <x:c r="R852" s="13" t="str">
        <x:v>INDEPENDENT / DEFAULT</x:v>
      </x:c>
      <x:c r="S852" s="13" t="str"/>
      <x:c r="T852" s="13" t="str">
        <x:v>UNRESOLVED</x:v>
      </x:c>
      <x:c r="U852" s="13" t="str"/>
      <x:c r="V852" s="13" t="str"/>
      <x:c r="W852" s="13" t="str"/>
      <x:c r="X852" s="13" t="str">
        <x:f>IF(L852&lt;&gt;"COVERED","HELD — COVERAGE",IF(N852="YES — SENSITIVE","C ACTIONABLE","CHAPTER 5 DEFAULT"))</x:f>
        <x:v>HELD — COVERAGE</x:v>
      </x:c>
      <x:c r="Y852" s="13" t="str">
        <x:f>IF(L852&lt;&gt;"COVERED","HELD — COVERAGE",IF(P852="YES — MANAGED ACCESS","D ACTIONABLE","NO D FIELD"))</x:f>
        <x:v>HELD — COVERAGE</x:v>
      </x:c>
      <x:c r="Z852" s="13" t="str">
        <x:f>IF(L852&lt;&gt;"COVERED","HELD — COVERAGE",IF(OR(R852="PAIRED SYNCHRONIZED",R852="TRILATERAL SYNCHRONIZED"),"E ACTIONABLE","INDEPENDENT"))</x:f>
        <x:v>HELD — COVERAGE</x:v>
      </x:c>
      <x:c r="AA852" s="13" t="str">
        <x:f>IF(L852&lt;&gt;"COVERED","HELD — COVERAGE","WAIT FOR UPSTREAM COMPLETION")</x:f>
        <x:v>HELD — COVERAGE</x:v>
      </x:c>
      <x:c r="AB852" s="13" t="str">
        <x:f>IF(L852&lt;&gt;"COVERED","HELD — COVERAGE",IF(T852="UNRESOLVED","G DECISION REQUIRED",IF(T852="NOT APPLICABLE","G N/A","G ACTIONABLE")))</x:f>
        <x:v>HELD — COVERAGE</x:v>
      </x:c>
      <x:c r="AC852" s="13" t="str">
        <x:f>IF(L852="UNRESOLVED","COVERAGE FIRST",IF(OR(L852="EXCLUDED",L852="OUT OF SCOPE"),"CLOSED BY COVERAGE",IF(AND(L852="COVERED",T852&lt;&gt;"UNRESOLVED"),"PARTIALLY ADOPTED","DECISIONS REMAIN")))</x:f>
        <x:v>COVERAGE FIRST</x:v>
      </x:c>
    </x:row>
    <x:row r="853">
      <x:c r="A853" s="13" t="str">
        <x:v>NAAFTC-HS6-200710</x:v>
      </x:c>
      <x:c r="B853" s="13" t="str">
        <x:v>200710</x:v>
      </x:c>
      <x:c r="C853" s="13" t="str">
        <x:v>20</x:v>
      </x:c>
      <x:c r="D853" s="13" t="str">
        <x:v>TRILATERAL_1_TO_1_TO_1</x:v>
      </x:c>
      <x:c r="E853" s="13" t="str">
        <x:v>Pending</x:v>
      </x:c>
      <x:c r="F853" s="13" t="n">
        <x:v>1</x:v>
      </x:c>
      <x:c r="G853" s="13" t="n">
        <x:v>1</x:v>
      </x:c>
      <x:c r="H853" s="13" t="n">
        <x:v>1</x:v>
      </x:c>
      <x:c r="I853" s="13" t="str">
        <x:v>2007100000</x:v>
      </x:c>
      <x:c r="J853" s="13" t="str">
        <x:v>2007100100</x:v>
      </x:c>
      <x:c r="K853" s="13" t="str">
        <x:v>2007100000</x:v>
      </x:c>
      <x:c r="L853" s="13" t="str">
        <x:v>UNRESOLVED</x:v>
      </x:c>
      <x:c r="M853" s="13" t="str"/>
      <x:c r="N853" s="13" t="str">
        <x:v>NO / DEFAULT</x:v>
      </x:c>
      <x:c r="O853" s="13" t="str"/>
      <x:c r="P853" s="13" t="str">
        <x:v>NO / DEFAULT</x:v>
      </x:c>
      <x:c r="Q853" s="13" t="str"/>
      <x:c r="R853" s="13" t="str">
        <x:v>INDEPENDENT / DEFAULT</x:v>
      </x:c>
      <x:c r="S853" s="13" t="str"/>
      <x:c r="T853" s="13" t="str">
        <x:v>UNRESOLVED</x:v>
      </x:c>
      <x:c r="U853" s="13" t="str"/>
      <x:c r="V853" s="13" t="str"/>
      <x:c r="W853" s="13" t="str"/>
      <x:c r="X853" s="13" t="str">
        <x:f>IF(L853&lt;&gt;"COVERED","HELD — COVERAGE",IF(N853="YES — SENSITIVE","C ACTIONABLE","CHAPTER 5 DEFAULT"))</x:f>
        <x:v>HELD — COVERAGE</x:v>
      </x:c>
      <x:c r="Y853" s="13" t="str">
        <x:f>IF(L853&lt;&gt;"COVERED","HELD — COVERAGE",IF(P853="YES — MANAGED ACCESS","D ACTIONABLE","NO D FIELD"))</x:f>
        <x:v>HELD — COVERAGE</x:v>
      </x:c>
      <x:c r="Z853" s="13" t="str">
        <x:f>IF(L853&lt;&gt;"COVERED","HELD — COVERAGE",IF(OR(R853="PAIRED SYNCHRONIZED",R853="TRILATERAL SYNCHRONIZED"),"E ACTIONABLE","INDEPENDENT"))</x:f>
        <x:v>HELD — COVERAGE</x:v>
      </x:c>
      <x:c r="AA853" s="13" t="str">
        <x:f>IF(L853&lt;&gt;"COVERED","HELD — COVERAGE","WAIT FOR UPSTREAM COMPLETION")</x:f>
        <x:v>HELD — COVERAGE</x:v>
      </x:c>
      <x:c r="AB853" s="13" t="str">
        <x:f>IF(L853&lt;&gt;"COVERED","HELD — COVERAGE",IF(T853="UNRESOLVED","G DECISION REQUIRED",IF(T853="NOT APPLICABLE","G N/A","G ACTIONABLE")))</x:f>
        <x:v>HELD — COVERAGE</x:v>
      </x:c>
      <x:c r="AC853" s="13" t="str">
        <x:f>IF(L853="UNRESOLVED","COVERAGE FIRST",IF(OR(L853="EXCLUDED",L853="OUT OF SCOPE"),"CLOSED BY COVERAGE",IF(AND(L853="COVERED",T853&lt;&gt;"UNRESOLVED"),"PARTIALLY ADOPTED","DECISIONS REMAIN")))</x:f>
        <x:v>COVERAGE FIRST</x:v>
      </x:c>
    </x:row>
    <x:row r="854">
      <x:c r="A854" s="13" t="str">
        <x:v>NAAFTC-HS6-200791</x:v>
      </x:c>
      <x:c r="B854" s="13" t="str">
        <x:v>200791</x:v>
      </x:c>
      <x:c r="C854" s="13" t="str">
        <x:v>20</x:v>
      </x:c>
      <x:c r="D854" s="13" t="str">
        <x:v>TRILATERAL_SPLIT_MERGE</x:v>
      </x:c>
      <x:c r="E854" s="13" t="str">
        <x:v>Pending</x:v>
      </x:c>
      <x:c r="F854" s="13" t="n">
        <x:v>3</x:v>
      </x:c>
      <x:c r="G854" s="13" t="n">
        <x:v>1</x:v>
      </x:c>
      <x:c r="H854" s="13" t="n">
        <x:v>1</x:v>
      </x:c>
      <x:c r="I854" s="13" t="str">
        <x:v>2007911000; 2007914000; 2007919000</x:v>
      </x:c>
      <x:c r="J854" s="13" t="str">
        <x:v>2007910100</x:v>
      </x:c>
      <x:c r="K854" s="13" t="str">
        <x:v>20079100</x:v>
      </x:c>
      <x:c r="L854" s="13" t="str">
        <x:v>UNRESOLVED</x:v>
      </x:c>
      <x:c r="M854" s="13" t="str"/>
      <x:c r="N854" s="13" t="str">
        <x:v>NO / DEFAULT</x:v>
      </x:c>
      <x:c r="O854" s="13" t="str"/>
      <x:c r="P854" s="13" t="str">
        <x:v>NO / DEFAULT</x:v>
      </x:c>
      <x:c r="Q854" s="13" t="str"/>
      <x:c r="R854" s="13" t="str">
        <x:v>INDEPENDENT / DEFAULT</x:v>
      </x:c>
      <x:c r="S854" s="13" t="str"/>
      <x:c r="T854" s="13" t="str">
        <x:v>UNRESOLVED</x:v>
      </x:c>
      <x:c r="U854" s="13" t="str"/>
      <x:c r="V854" s="13" t="str"/>
      <x:c r="W854" s="13" t="str"/>
      <x:c r="X854" s="13" t="str">
        <x:f>IF(L854&lt;&gt;"COVERED","HELD — COVERAGE",IF(N854="YES — SENSITIVE","C ACTIONABLE","CHAPTER 5 DEFAULT"))</x:f>
        <x:v>HELD — COVERAGE</x:v>
      </x:c>
      <x:c r="Y854" s="13" t="str">
        <x:f>IF(L854&lt;&gt;"COVERED","HELD — COVERAGE",IF(P854="YES — MANAGED ACCESS","D ACTIONABLE","NO D FIELD"))</x:f>
        <x:v>HELD — COVERAGE</x:v>
      </x:c>
      <x:c r="Z854" s="13" t="str">
        <x:f>IF(L854&lt;&gt;"COVERED","HELD — COVERAGE",IF(OR(R854="PAIRED SYNCHRONIZED",R854="TRILATERAL SYNCHRONIZED"),"E ACTIONABLE","INDEPENDENT"))</x:f>
        <x:v>HELD — COVERAGE</x:v>
      </x:c>
      <x:c r="AA854" s="13" t="str">
        <x:f>IF(L854&lt;&gt;"COVERED","HELD — COVERAGE","WAIT FOR UPSTREAM COMPLETION")</x:f>
        <x:v>HELD — COVERAGE</x:v>
      </x:c>
      <x:c r="AB854" s="13" t="str">
        <x:f>IF(L854&lt;&gt;"COVERED","HELD — COVERAGE",IF(T854="UNRESOLVED","G DECISION REQUIRED",IF(T854="NOT APPLICABLE","G N/A","G ACTIONABLE")))</x:f>
        <x:v>HELD — COVERAGE</x:v>
      </x:c>
      <x:c r="AC854" s="13" t="str">
        <x:f>IF(L854="UNRESOLVED","COVERAGE FIRST",IF(OR(L854="EXCLUDED",L854="OUT OF SCOPE"),"CLOSED BY COVERAGE",IF(AND(L854="COVERED",T854&lt;&gt;"UNRESOLVED"),"PARTIALLY ADOPTED","DECISIONS REMAIN")))</x:f>
        <x:v>COVERAGE FIRST</x:v>
      </x:c>
    </x:row>
    <x:row r="855">
      <x:c r="A855" s="13" t="str">
        <x:v>NAAFTC-HS6-200799</x:v>
      </x:c>
      <x:c r="B855" s="13" t="str">
        <x:v>200799</x:v>
      </x:c>
      <x:c r="C855" s="13" t="str">
        <x:v>20</x:v>
      </x:c>
      <x:c r="D855" s="13" t="str">
        <x:v>TRILATERAL_SPLIT_MERGE</x:v>
      </x:c>
      <x:c r="E855" s="13" t="str">
        <x:v>Pending</x:v>
      </x:c>
      <x:c r="F855" s="13" t="n">
        <x:v>19</x:v>
      </x:c>
      <x:c r="G855" s="13" t="n">
        <x:v>5</x:v>
      </x:c>
      <x:c r="H855" s="13" t="n">
        <x:v>3</x:v>
      </x:c>
      <x:c r="I855" s="13" t="str">
        <x:v>2007990500; 2007991000; 2007991500; 2007992000; 2007992500; 2007993000; +13 more</x:v>
      </x:c>
      <x:c r="J855" s="13" t="str">
        <x:v>2007990100; 2007990200; 2007990300; 2007999901; 2007999999</x:v>
      </x:c>
      <x:c r="K855" s="13" t="str">
        <x:v>2007991000; 2007992000; 20079990</x:v>
      </x:c>
      <x:c r="L855" s="13" t="str">
        <x:v>UNRESOLVED</x:v>
      </x:c>
      <x:c r="M855" s="13" t="str"/>
      <x:c r="N855" s="13" t="str">
        <x:v>NO / DEFAULT</x:v>
      </x:c>
      <x:c r="O855" s="13" t="str"/>
      <x:c r="P855" s="13" t="str">
        <x:v>NO / DEFAULT</x:v>
      </x:c>
      <x:c r="Q855" s="13" t="str"/>
      <x:c r="R855" s="13" t="str">
        <x:v>INDEPENDENT / DEFAULT</x:v>
      </x:c>
      <x:c r="S855" s="13" t="str"/>
      <x:c r="T855" s="13" t="str">
        <x:v>UNRESOLVED</x:v>
      </x:c>
      <x:c r="U855" s="13" t="str"/>
      <x:c r="V855" s="13" t="str"/>
      <x:c r="W855" s="13" t="str"/>
      <x:c r="X855" s="13" t="str">
        <x:f>IF(L855&lt;&gt;"COVERED","HELD — COVERAGE",IF(N855="YES — SENSITIVE","C ACTIONABLE","CHAPTER 5 DEFAULT"))</x:f>
        <x:v>HELD — COVERAGE</x:v>
      </x:c>
      <x:c r="Y855" s="13" t="str">
        <x:f>IF(L855&lt;&gt;"COVERED","HELD — COVERAGE",IF(P855="YES — MANAGED ACCESS","D ACTIONABLE","NO D FIELD"))</x:f>
        <x:v>HELD — COVERAGE</x:v>
      </x:c>
      <x:c r="Z855" s="13" t="str">
        <x:f>IF(L855&lt;&gt;"COVERED","HELD — COVERAGE",IF(OR(R855="PAIRED SYNCHRONIZED",R855="TRILATERAL SYNCHRONIZED"),"E ACTIONABLE","INDEPENDENT"))</x:f>
        <x:v>HELD — COVERAGE</x:v>
      </x:c>
      <x:c r="AA855" s="13" t="str">
        <x:f>IF(L855&lt;&gt;"COVERED","HELD — COVERAGE","WAIT FOR UPSTREAM COMPLETION")</x:f>
        <x:v>HELD — COVERAGE</x:v>
      </x:c>
      <x:c r="AB855" s="13" t="str">
        <x:f>IF(L855&lt;&gt;"COVERED","HELD — COVERAGE",IF(T855="UNRESOLVED","G DECISION REQUIRED",IF(T855="NOT APPLICABLE","G N/A","G ACTIONABLE")))</x:f>
        <x:v>HELD — COVERAGE</x:v>
      </x:c>
      <x:c r="AC855" s="13" t="str">
        <x:f>IF(L855="UNRESOLVED","COVERAGE FIRST",IF(OR(L855="EXCLUDED",L855="OUT OF SCOPE"),"CLOSED BY COVERAGE",IF(AND(L855="COVERED",T855&lt;&gt;"UNRESOLVED"),"PARTIALLY ADOPTED","DECISIONS REMAIN")))</x:f>
        <x:v>COVERAGE FIRST</x:v>
      </x:c>
    </x:row>
    <x:row r="856">
      <x:c r="A856" s="13" t="str">
        <x:v>NAAFTC-HS6-200811</x:v>
      </x:c>
      <x:c r="B856" s="13" t="str">
        <x:v>200811</x:v>
      </x:c>
      <x:c r="C856" s="13" t="str">
        <x:v>20</x:v>
      </x:c>
      <x:c r="D856" s="13" t="str">
        <x:v>TRILATERAL_SPLIT_MERGE</x:v>
      </x:c>
      <x:c r="E856" s="13" t="str">
        <x:v>Pending</x:v>
      </x:c>
      <x:c r="F856" s="13" t="n">
        <x:v>6</x:v>
      </x:c>
      <x:c r="G856" s="13" t="n">
        <x:v>2</x:v>
      </x:c>
      <x:c r="H856" s="13" t="n">
        <x:v>2</x:v>
      </x:c>
      <x:c r="I856" s="13" t="str">
        <x:v>2008110200; 2008110500; 2008111500; 2008114300; 2008114600; 2008116100</x:v>
      </x:c>
      <x:c r="J856" s="13" t="str">
        <x:v>2008110201; 2008110299</x:v>
      </x:c>
      <x:c r="K856" s="13" t="str">
        <x:v>2008111000; 2008119000</x:v>
      </x:c>
      <x:c r="L856" s="13" t="str">
        <x:v>UNRESOLVED</x:v>
      </x:c>
      <x:c r="M856" s="13" t="str"/>
      <x:c r="N856" s="13" t="str">
        <x:v>NO / DEFAULT</x:v>
      </x:c>
      <x:c r="O856" s="13" t="str"/>
      <x:c r="P856" s="13" t="str">
        <x:v>NO / DEFAULT</x:v>
      </x:c>
      <x:c r="Q856" s="13" t="str"/>
      <x:c r="R856" s="13" t="str">
        <x:v>INDEPENDENT / DEFAULT</x:v>
      </x:c>
      <x:c r="S856" s="13" t="str"/>
      <x:c r="T856" s="13" t="str">
        <x:v>UNRESOLVED</x:v>
      </x:c>
      <x:c r="U856" s="13" t="str"/>
      <x:c r="V856" s="13" t="str"/>
      <x:c r="W856" s="13" t="str"/>
      <x:c r="X856" s="13" t="str">
        <x:f>IF(L856&lt;&gt;"COVERED","HELD — COVERAGE",IF(N856="YES — SENSITIVE","C ACTIONABLE","CHAPTER 5 DEFAULT"))</x:f>
        <x:v>HELD — COVERAGE</x:v>
      </x:c>
      <x:c r="Y856" s="13" t="str">
        <x:f>IF(L856&lt;&gt;"COVERED","HELD — COVERAGE",IF(P856="YES — MANAGED ACCESS","D ACTIONABLE","NO D FIELD"))</x:f>
        <x:v>HELD — COVERAGE</x:v>
      </x:c>
      <x:c r="Z856" s="13" t="str">
        <x:f>IF(L856&lt;&gt;"COVERED","HELD — COVERAGE",IF(OR(R856="PAIRED SYNCHRONIZED",R856="TRILATERAL SYNCHRONIZED"),"E ACTIONABLE","INDEPENDENT"))</x:f>
        <x:v>HELD — COVERAGE</x:v>
      </x:c>
      <x:c r="AA856" s="13" t="str">
        <x:f>IF(L856&lt;&gt;"COVERED","HELD — COVERAGE","WAIT FOR UPSTREAM COMPLETION")</x:f>
        <x:v>HELD — COVERAGE</x:v>
      </x:c>
      <x:c r="AB856" s="13" t="str">
        <x:f>IF(L856&lt;&gt;"COVERED","HELD — COVERAGE",IF(T856="UNRESOLVED","G DECISION REQUIRED",IF(T856="NOT APPLICABLE","G N/A","G ACTIONABLE")))</x:f>
        <x:v>HELD — COVERAGE</x:v>
      </x:c>
      <x:c r="AC856" s="13" t="str">
        <x:f>IF(L856="UNRESOLVED","COVERAGE FIRST",IF(OR(L856="EXCLUDED",L856="OUT OF SCOPE"),"CLOSED BY COVERAGE",IF(AND(L856="COVERED",T856&lt;&gt;"UNRESOLVED"),"PARTIALLY ADOPTED","DECISIONS REMAIN")))</x:f>
        <x:v>COVERAGE FIRST</x:v>
      </x:c>
    </x:row>
    <x:row r="857">
      <x:c r="A857" s="13" t="str">
        <x:v>NAAFTC-HS6-200819</x:v>
      </x:c>
      <x:c r="B857" s="13" t="str">
        <x:v>200819</x:v>
      </x:c>
      <x:c r="C857" s="13" t="str">
        <x:v>20</x:v>
      </x:c>
      <x:c r="D857" s="13" t="str">
        <x:v>TRILATERAL_SPLIT_MERGE</x:v>
      </x:c>
      <x:c r="E857" s="13" t="str">
        <x:v>Pending</x:v>
      </x:c>
      <x:c r="F857" s="13" t="n">
        <x:v>12</x:v>
      </x:c>
      <x:c r="G857" s="13" t="n">
        <x:v>4</x:v>
      </x:c>
      <x:c r="H857" s="13" t="n">
        <x:v>2</x:v>
      </x:c>
      <x:c r="I857" s="13" t="str">
        <x:v>2008191020; 2008191040; 2008191500; 2008192000; 2008192500; 2008193010; +6 more</x:v>
      </x:c>
      <x:c r="J857" s="13" t="str">
        <x:v>2008199101; 2008199102; 2008199103; 2008199199</x:v>
      </x:c>
      <x:c r="K857" s="13" t="str">
        <x:v>20081910; 20081990</x:v>
      </x:c>
      <x:c r="L857" s="13" t="str">
        <x:v>UNRESOLVED</x:v>
      </x:c>
      <x:c r="M857" s="13" t="str"/>
      <x:c r="N857" s="13" t="str">
        <x:v>NO / DEFAULT</x:v>
      </x:c>
      <x:c r="O857" s="13" t="str"/>
      <x:c r="P857" s="13" t="str">
        <x:v>NO / DEFAULT</x:v>
      </x:c>
      <x:c r="Q857" s="13" t="str"/>
      <x:c r="R857" s="13" t="str">
        <x:v>INDEPENDENT / DEFAULT</x:v>
      </x:c>
      <x:c r="S857" s="13" t="str"/>
      <x:c r="T857" s="13" t="str">
        <x:v>UNRESOLVED</x:v>
      </x:c>
      <x:c r="U857" s="13" t="str"/>
      <x:c r="V857" s="13" t="str"/>
      <x:c r="W857" s="13" t="str"/>
      <x:c r="X857" s="13" t="str">
        <x:f>IF(L857&lt;&gt;"COVERED","HELD — COVERAGE",IF(N857="YES — SENSITIVE","C ACTIONABLE","CHAPTER 5 DEFAULT"))</x:f>
        <x:v>HELD — COVERAGE</x:v>
      </x:c>
      <x:c r="Y857" s="13" t="str">
        <x:f>IF(L857&lt;&gt;"COVERED","HELD — COVERAGE",IF(P857="YES — MANAGED ACCESS","D ACTIONABLE","NO D FIELD"))</x:f>
        <x:v>HELD — COVERAGE</x:v>
      </x:c>
      <x:c r="Z857" s="13" t="str">
        <x:f>IF(L857&lt;&gt;"COVERED","HELD — COVERAGE",IF(OR(R857="PAIRED SYNCHRONIZED",R857="TRILATERAL SYNCHRONIZED"),"E ACTIONABLE","INDEPENDENT"))</x:f>
        <x:v>HELD — COVERAGE</x:v>
      </x:c>
      <x:c r="AA857" s="13" t="str">
        <x:f>IF(L857&lt;&gt;"COVERED","HELD — COVERAGE","WAIT FOR UPSTREAM COMPLETION")</x:f>
        <x:v>HELD — COVERAGE</x:v>
      </x:c>
      <x:c r="AB857" s="13" t="str">
        <x:f>IF(L857&lt;&gt;"COVERED","HELD — COVERAGE",IF(T857="UNRESOLVED","G DECISION REQUIRED",IF(T857="NOT APPLICABLE","G N/A","G ACTIONABLE")))</x:f>
        <x:v>HELD — COVERAGE</x:v>
      </x:c>
      <x:c r="AC857" s="13" t="str">
        <x:f>IF(L857="UNRESOLVED","COVERAGE FIRST",IF(OR(L857="EXCLUDED",L857="OUT OF SCOPE"),"CLOSED BY COVERAGE",IF(AND(L857="COVERED",T857&lt;&gt;"UNRESOLVED"),"PARTIALLY ADOPTED","DECISIONS REMAIN")))</x:f>
        <x:v>COVERAGE FIRST</x:v>
      </x:c>
    </x:row>
    <x:row r="858">
      <x:c r="A858" s="13" t="str">
        <x:v>NAAFTC-HS6-200820</x:v>
      </x:c>
      <x:c r="B858" s="13" t="str">
        <x:v>200820</x:v>
      </x:c>
      <x:c r="C858" s="13" t="str">
        <x:v>20</x:v>
      </x:c>
      <x:c r="D858" s="13" t="str">
        <x:v>TRILATERAL_SPLIT_MERGE</x:v>
      </x:c>
      <x:c r="E858" s="13" t="str">
        <x:v>Pending</x:v>
      </x:c>
      <x:c r="F858" s="13" t="n">
        <x:v>2</x:v>
      </x:c>
      <x:c r="G858" s="13" t="n">
        <x:v>1</x:v>
      </x:c>
      <x:c r="H858" s="13" t="n">
        <x:v>1</x:v>
      </x:c>
      <x:c r="I858" s="13" t="str">
        <x:v>2008200010; 2008200090</x:v>
      </x:c>
      <x:c r="J858" s="13" t="str">
        <x:v>2008200100</x:v>
      </x:c>
      <x:c r="K858" s="13" t="str">
        <x:v>2008200000</x:v>
      </x:c>
      <x:c r="L858" s="13" t="str">
        <x:v>UNRESOLVED</x:v>
      </x:c>
      <x:c r="M858" s="13" t="str"/>
      <x:c r="N858" s="13" t="str">
        <x:v>NO / DEFAULT</x:v>
      </x:c>
      <x:c r="O858" s="13" t="str"/>
      <x:c r="P858" s="13" t="str">
        <x:v>NO / DEFAULT</x:v>
      </x:c>
      <x:c r="Q858" s="13" t="str"/>
      <x:c r="R858" s="13" t="str">
        <x:v>INDEPENDENT / DEFAULT</x:v>
      </x:c>
      <x:c r="S858" s="13" t="str"/>
      <x:c r="T858" s="13" t="str">
        <x:v>UNRESOLVED</x:v>
      </x:c>
      <x:c r="U858" s="13" t="str"/>
      <x:c r="V858" s="13" t="str"/>
      <x:c r="W858" s="13" t="str"/>
      <x:c r="X858" s="13" t="str">
        <x:f>IF(L858&lt;&gt;"COVERED","HELD — COVERAGE",IF(N858="YES — SENSITIVE","C ACTIONABLE","CHAPTER 5 DEFAULT"))</x:f>
        <x:v>HELD — COVERAGE</x:v>
      </x:c>
      <x:c r="Y858" s="13" t="str">
        <x:f>IF(L858&lt;&gt;"COVERED","HELD — COVERAGE",IF(P858="YES — MANAGED ACCESS","D ACTIONABLE","NO D FIELD"))</x:f>
        <x:v>HELD — COVERAGE</x:v>
      </x:c>
      <x:c r="Z858" s="13" t="str">
        <x:f>IF(L858&lt;&gt;"COVERED","HELD — COVERAGE",IF(OR(R858="PAIRED SYNCHRONIZED",R858="TRILATERAL SYNCHRONIZED"),"E ACTIONABLE","INDEPENDENT"))</x:f>
        <x:v>HELD — COVERAGE</x:v>
      </x:c>
      <x:c r="AA858" s="13" t="str">
        <x:f>IF(L858&lt;&gt;"COVERED","HELD — COVERAGE","WAIT FOR UPSTREAM COMPLETION")</x:f>
        <x:v>HELD — COVERAGE</x:v>
      </x:c>
      <x:c r="AB858" s="13" t="str">
        <x:f>IF(L858&lt;&gt;"COVERED","HELD — COVERAGE",IF(T858="UNRESOLVED","G DECISION REQUIRED",IF(T858="NOT APPLICABLE","G N/A","G ACTIONABLE")))</x:f>
        <x:v>HELD — COVERAGE</x:v>
      </x:c>
      <x:c r="AC858" s="13" t="str">
        <x:f>IF(L858="UNRESOLVED","COVERAGE FIRST",IF(OR(L858="EXCLUDED",L858="OUT OF SCOPE"),"CLOSED BY COVERAGE",IF(AND(L858="COVERED",T858&lt;&gt;"UNRESOLVED"),"PARTIALLY ADOPTED","DECISIONS REMAIN")))</x:f>
        <x:v>COVERAGE FIRST</x:v>
      </x:c>
    </x:row>
    <x:row r="859">
      <x:c r="A859" s="13" t="str">
        <x:v>NAAFTC-HS6-200830</x:v>
      </x:c>
      <x:c r="B859" s="13" t="str">
        <x:v>200830</x:v>
      </x:c>
      <x:c r="C859" s="13" t="str">
        <x:v>20</x:v>
      </x:c>
      <x:c r="D859" s="13" t="str">
        <x:v>TRILATERAL_SPLIT_MERGE</x:v>
      </x:c>
      <x:c r="E859" s="13" t="str">
        <x:v>Pending</x:v>
      </x:c>
      <x:c r="F859" s="13" t="n">
        <x:v>17</x:v>
      </x:c>
      <x:c r="G859" s="13" t="n">
        <x:v>3</x:v>
      </x:c>
      <x:c r="H859" s="13" t="n">
        <x:v>1</x:v>
      </x:c>
      <x:c r="I859" s="13" t="str">
        <x:v>2008301000; 2008302000; 2008303000; 2008303500; 2008303700; 2008304000; +11 more</x:v>
      </x:c>
      <x:c r="J859" s="13" t="str">
        <x:v>2008300901; 2008300902; 2008300999</x:v>
      </x:c>
      <x:c r="K859" s="13" t="str">
        <x:v>20083000</x:v>
      </x:c>
      <x:c r="L859" s="13" t="str">
        <x:v>UNRESOLVED</x:v>
      </x:c>
      <x:c r="M859" s="13" t="str"/>
      <x:c r="N859" s="13" t="str">
        <x:v>NO / DEFAULT</x:v>
      </x:c>
      <x:c r="O859" s="13" t="str"/>
      <x:c r="P859" s="13" t="str">
        <x:v>NO / DEFAULT</x:v>
      </x:c>
      <x:c r="Q859" s="13" t="str"/>
      <x:c r="R859" s="13" t="str">
        <x:v>INDEPENDENT / DEFAULT</x:v>
      </x:c>
      <x:c r="S859" s="13" t="str"/>
      <x:c r="T859" s="13" t="str">
        <x:v>UNRESOLVED</x:v>
      </x:c>
      <x:c r="U859" s="13" t="str"/>
      <x:c r="V859" s="13" t="str"/>
      <x:c r="W859" s="13" t="str"/>
      <x:c r="X859" s="13" t="str">
        <x:f>IF(L859&lt;&gt;"COVERED","HELD — COVERAGE",IF(N859="YES — SENSITIVE","C ACTIONABLE","CHAPTER 5 DEFAULT"))</x:f>
        <x:v>HELD — COVERAGE</x:v>
      </x:c>
      <x:c r="Y859" s="13" t="str">
        <x:f>IF(L859&lt;&gt;"COVERED","HELD — COVERAGE",IF(P859="YES — MANAGED ACCESS","D ACTIONABLE","NO D FIELD"))</x:f>
        <x:v>HELD — COVERAGE</x:v>
      </x:c>
      <x:c r="Z859" s="13" t="str">
        <x:f>IF(L859&lt;&gt;"COVERED","HELD — COVERAGE",IF(OR(R859="PAIRED SYNCHRONIZED",R859="TRILATERAL SYNCHRONIZED"),"E ACTIONABLE","INDEPENDENT"))</x:f>
        <x:v>HELD — COVERAGE</x:v>
      </x:c>
      <x:c r="AA859" s="13" t="str">
        <x:f>IF(L859&lt;&gt;"COVERED","HELD — COVERAGE","WAIT FOR UPSTREAM COMPLETION")</x:f>
        <x:v>HELD — COVERAGE</x:v>
      </x:c>
      <x:c r="AB859" s="13" t="str">
        <x:f>IF(L859&lt;&gt;"COVERED","HELD — COVERAGE",IF(T859="UNRESOLVED","G DECISION REQUIRED",IF(T859="NOT APPLICABLE","G N/A","G ACTIONABLE")))</x:f>
        <x:v>HELD — COVERAGE</x:v>
      </x:c>
      <x:c r="AC859" s="13" t="str">
        <x:f>IF(L859="UNRESOLVED","COVERAGE FIRST",IF(OR(L859="EXCLUDED",L859="OUT OF SCOPE"),"CLOSED BY COVERAGE",IF(AND(L859="COVERED",T859&lt;&gt;"UNRESOLVED"),"PARTIALLY ADOPTED","DECISIONS REMAIN")))</x:f>
        <x:v>COVERAGE FIRST</x:v>
      </x:c>
    </x:row>
    <x:row r="860">
      <x:c r="A860" s="13" t="str">
        <x:v>NAAFTC-HS6-200840</x:v>
      </x:c>
      <x:c r="B860" s="13" t="str">
        <x:v>200840</x:v>
      </x:c>
      <x:c r="C860" s="13" t="str">
        <x:v>20</x:v>
      </x:c>
      <x:c r="D860" s="13" t="str">
        <x:v>TRILATERAL_SPLIT_MERGE</x:v>
      </x:c>
      <x:c r="E860" s="13" t="str">
        <x:v>Pending</x:v>
      </x:c>
      <x:c r="F860" s="13" t="n">
        <x:v>2</x:v>
      </x:c>
      <x:c r="G860" s="13" t="n">
        <x:v>1</x:v>
      </x:c>
      <x:c r="H860" s="13" t="n">
        <x:v>3</x:v>
      </x:c>
      <x:c r="I860" s="13" t="str">
        <x:v>2008400020; 2008400040</x:v>
      </x:c>
      <x:c r="J860" s="13" t="str">
        <x:v>2008400100</x:v>
      </x:c>
      <x:c r="K860" s="13" t="str">
        <x:v>2008401000; 2008402000; 2008409000</x:v>
      </x:c>
      <x:c r="L860" s="13" t="str">
        <x:v>UNRESOLVED</x:v>
      </x:c>
      <x:c r="M860" s="13" t="str"/>
      <x:c r="N860" s="13" t="str">
        <x:v>NO / DEFAULT</x:v>
      </x:c>
      <x:c r="O860" s="13" t="str"/>
      <x:c r="P860" s="13" t="str">
        <x:v>NO / DEFAULT</x:v>
      </x:c>
      <x:c r="Q860" s="13" t="str"/>
      <x:c r="R860" s="13" t="str">
        <x:v>INDEPENDENT / DEFAULT</x:v>
      </x:c>
      <x:c r="S860" s="13" t="str"/>
      <x:c r="T860" s="13" t="str">
        <x:v>UNRESOLVED</x:v>
      </x:c>
      <x:c r="U860" s="13" t="str"/>
      <x:c r="V860" s="13" t="str"/>
      <x:c r="W860" s="13" t="str"/>
      <x:c r="X860" s="13" t="str">
        <x:f>IF(L860&lt;&gt;"COVERED","HELD — COVERAGE",IF(N860="YES — SENSITIVE","C ACTIONABLE","CHAPTER 5 DEFAULT"))</x:f>
        <x:v>HELD — COVERAGE</x:v>
      </x:c>
      <x:c r="Y860" s="13" t="str">
        <x:f>IF(L860&lt;&gt;"COVERED","HELD — COVERAGE",IF(P860="YES — MANAGED ACCESS","D ACTIONABLE","NO D FIELD"))</x:f>
        <x:v>HELD — COVERAGE</x:v>
      </x:c>
      <x:c r="Z860" s="13" t="str">
        <x:f>IF(L860&lt;&gt;"COVERED","HELD — COVERAGE",IF(OR(R860="PAIRED SYNCHRONIZED",R860="TRILATERAL SYNCHRONIZED"),"E ACTIONABLE","INDEPENDENT"))</x:f>
        <x:v>HELD — COVERAGE</x:v>
      </x:c>
      <x:c r="AA860" s="13" t="str">
        <x:f>IF(L860&lt;&gt;"COVERED","HELD — COVERAGE","WAIT FOR UPSTREAM COMPLETION")</x:f>
        <x:v>HELD — COVERAGE</x:v>
      </x:c>
      <x:c r="AB860" s="13" t="str">
        <x:f>IF(L860&lt;&gt;"COVERED","HELD — COVERAGE",IF(T860="UNRESOLVED","G DECISION REQUIRED",IF(T860="NOT APPLICABLE","G N/A","G ACTIONABLE")))</x:f>
        <x:v>HELD — COVERAGE</x:v>
      </x:c>
      <x:c r="AC860" s="13" t="str">
        <x:f>IF(L860="UNRESOLVED","COVERAGE FIRST",IF(OR(L860="EXCLUDED",L860="OUT OF SCOPE"),"CLOSED BY COVERAGE",IF(AND(L860="COVERED",T860&lt;&gt;"UNRESOLVED"),"PARTIALLY ADOPTED","DECISIONS REMAIN")))</x:f>
        <x:v>COVERAGE FIRST</x:v>
      </x:c>
    </x:row>
    <x:row r="861">
      <x:c r="A861" s="13" t="str">
        <x:v>NAAFTC-HS6-200850</x:v>
      </x:c>
      <x:c r="B861" s="13" t="str">
        <x:v>200850</x:v>
      </x:c>
      <x:c r="C861" s="13" t="str">
        <x:v>20</x:v>
      </x:c>
      <x:c r="D861" s="13" t="str">
        <x:v>TRILATERAL_SPLIT_MERGE</x:v>
      </x:c>
      <x:c r="E861" s="13" t="str">
        <x:v>Pending</x:v>
      </x:c>
      <x:c r="F861" s="13" t="n">
        <x:v>2</x:v>
      </x:c>
      <x:c r="G861" s="13" t="n">
        <x:v>1</x:v>
      </x:c>
      <x:c r="H861" s="13" t="n">
        <x:v>2</x:v>
      </x:c>
      <x:c r="I861" s="13" t="str">
        <x:v>2008502000; 2008504000</x:v>
      </x:c>
      <x:c r="J861" s="13" t="str">
        <x:v>2008500100</x:v>
      </x:c>
      <x:c r="K861" s="13" t="str">
        <x:v>2008501000; 2008509000</x:v>
      </x:c>
      <x:c r="L861" s="13" t="str">
        <x:v>UNRESOLVED</x:v>
      </x:c>
      <x:c r="M861" s="13" t="str"/>
      <x:c r="N861" s="13" t="str">
        <x:v>NO / DEFAULT</x:v>
      </x:c>
      <x:c r="O861" s="13" t="str"/>
      <x:c r="P861" s="13" t="str">
        <x:v>NO / DEFAULT</x:v>
      </x:c>
      <x:c r="Q861" s="13" t="str"/>
      <x:c r="R861" s="13" t="str">
        <x:v>INDEPENDENT / DEFAULT</x:v>
      </x:c>
      <x:c r="S861" s="13" t="str"/>
      <x:c r="T861" s="13" t="str">
        <x:v>UNRESOLVED</x:v>
      </x:c>
      <x:c r="U861" s="13" t="str"/>
      <x:c r="V861" s="13" t="str"/>
      <x:c r="W861" s="13" t="str"/>
      <x:c r="X861" s="13" t="str">
        <x:f>IF(L861&lt;&gt;"COVERED","HELD — COVERAGE",IF(N861="YES — SENSITIVE","C ACTIONABLE","CHAPTER 5 DEFAULT"))</x:f>
        <x:v>HELD — COVERAGE</x:v>
      </x:c>
      <x:c r="Y861" s="13" t="str">
        <x:f>IF(L861&lt;&gt;"COVERED","HELD — COVERAGE",IF(P861="YES — MANAGED ACCESS","D ACTIONABLE","NO D FIELD"))</x:f>
        <x:v>HELD — COVERAGE</x:v>
      </x:c>
      <x:c r="Z861" s="13" t="str">
        <x:f>IF(L861&lt;&gt;"COVERED","HELD — COVERAGE",IF(OR(R861="PAIRED SYNCHRONIZED",R861="TRILATERAL SYNCHRONIZED"),"E ACTIONABLE","INDEPENDENT"))</x:f>
        <x:v>HELD — COVERAGE</x:v>
      </x:c>
      <x:c r="AA861" s="13" t="str">
        <x:f>IF(L861&lt;&gt;"COVERED","HELD — COVERAGE","WAIT FOR UPSTREAM COMPLETION")</x:f>
        <x:v>HELD — COVERAGE</x:v>
      </x:c>
      <x:c r="AB861" s="13" t="str">
        <x:f>IF(L861&lt;&gt;"COVERED","HELD — COVERAGE",IF(T861="UNRESOLVED","G DECISION REQUIRED",IF(T861="NOT APPLICABLE","G N/A","G ACTIONABLE")))</x:f>
        <x:v>HELD — COVERAGE</x:v>
      </x:c>
      <x:c r="AC861" s="13" t="str">
        <x:f>IF(L861="UNRESOLVED","COVERAGE FIRST",IF(OR(L861="EXCLUDED",L861="OUT OF SCOPE"),"CLOSED BY COVERAGE",IF(AND(L861="COVERED",T861&lt;&gt;"UNRESOLVED"),"PARTIALLY ADOPTED","DECISIONS REMAIN")))</x:f>
        <x:v>COVERAGE FIRST</x:v>
      </x:c>
    </x:row>
    <x:row r="862">
      <x:c r="A862" s="13" t="str">
        <x:v>NAAFTC-HS6-200860</x:v>
      </x:c>
      <x:c r="B862" s="13" t="str">
        <x:v>200860</x:v>
      </x:c>
      <x:c r="C862" s="13" t="str">
        <x:v>20</x:v>
      </x:c>
      <x:c r="D862" s="13" t="str">
        <x:v>TRILATERAL_SPLIT_MERGE</x:v>
      </x:c>
      <x:c r="E862" s="13" t="str">
        <x:v>Pending</x:v>
      </x:c>
      <x:c r="F862" s="13" t="n">
        <x:v>3</x:v>
      </x:c>
      <x:c r="G862" s="13" t="n">
        <x:v>1</x:v>
      </x:c>
      <x:c r="H862" s="13" t="n">
        <x:v>2</x:v>
      </x:c>
      <x:c r="I862" s="13" t="str">
        <x:v>2008600020; 2008600040; 2008600060</x:v>
      </x:c>
      <x:c r="J862" s="13" t="str">
        <x:v>2008600100</x:v>
      </x:c>
      <x:c r="K862" s="13" t="str">
        <x:v>2008601000; 2008609000</x:v>
      </x:c>
      <x:c r="L862" s="13" t="str">
        <x:v>UNRESOLVED</x:v>
      </x:c>
      <x:c r="M862" s="13" t="str"/>
      <x:c r="N862" s="13" t="str">
        <x:v>NO / DEFAULT</x:v>
      </x:c>
      <x:c r="O862" s="13" t="str"/>
      <x:c r="P862" s="13" t="str">
        <x:v>NO / DEFAULT</x:v>
      </x:c>
      <x:c r="Q862" s="13" t="str"/>
      <x:c r="R862" s="13" t="str">
        <x:v>INDEPENDENT / DEFAULT</x:v>
      </x:c>
      <x:c r="S862" s="13" t="str"/>
      <x:c r="T862" s="13" t="str">
        <x:v>UNRESOLVED</x:v>
      </x:c>
      <x:c r="U862" s="13" t="str"/>
      <x:c r="V862" s="13" t="str"/>
      <x:c r="W862" s="13" t="str"/>
      <x:c r="X862" s="13" t="str">
        <x:f>IF(L862&lt;&gt;"COVERED","HELD — COVERAGE",IF(N862="YES — SENSITIVE","C ACTIONABLE","CHAPTER 5 DEFAULT"))</x:f>
        <x:v>HELD — COVERAGE</x:v>
      </x:c>
      <x:c r="Y862" s="13" t="str">
        <x:f>IF(L862&lt;&gt;"COVERED","HELD — COVERAGE",IF(P862="YES — MANAGED ACCESS","D ACTIONABLE","NO D FIELD"))</x:f>
        <x:v>HELD — COVERAGE</x:v>
      </x:c>
      <x:c r="Z862" s="13" t="str">
        <x:f>IF(L862&lt;&gt;"COVERED","HELD — COVERAGE",IF(OR(R862="PAIRED SYNCHRONIZED",R862="TRILATERAL SYNCHRONIZED"),"E ACTIONABLE","INDEPENDENT"))</x:f>
        <x:v>HELD — COVERAGE</x:v>
      </x:c>
      <x:c r="AA862" s="13" t="str">
        <x:f>IF(L862&lt;&gt;"COVERED","HELD — COVERAGE","WAIT FOR UPSTREAM COMPLETION")</x:f>
        <x:v>HELD — COVERAGE</x:v>
      </x:c>
      <x:c r="AB862" s="13" t="str">
        <x:f>IF(L862&lt;&gt;"COVERED","HELD — COVERAGE",IF(T862="UNRESOLVED","G DECISION REQUIRED",IF(T862="NOT APPLICABLE","G N/A","G ACTIONABLE")))</x:f>
        <x:v>HELD — COVERAGE</x:v>
      </x:c>
      <x:c r="AC862" s="13" t="str">
        <x:f>IF(L862="UNRESOLVED","COVERAGE FIRST",IF(OR(L862="EXCLUDED",L862="OUT OF SCOPE"),"CLOSED BY COVERAGE",IF(AND(L862="COVERED",T862&lt;&gt;"UNRESOLVED"),"PARTIALLY ADOPTED","DECISIONS REMAIN")))</x:f>
        <x:v>COVERAGE FIRST</x:v>
      </x:c>
    </x:row>
    <x:row r="863">
      <x:c r="A863" s="13" t="str">
        <x:v>NAAFTC-HS6-200870</x:v>
      </x:c>
      <x:c r="B863" s="13" t="str">
        <x:v>200870</x:v>
      </x:c>
      <x:c r="C863" s="13" t="str">
        <x:v>20</x:v>
      </x:c>
      <x:c r="D863" s="13" t="str">
        <x:v>TRILATERAL_SPLIT_MERGE</x:v>
      </x:c>
      <x:c r="E863" s="13" t="str">
        <x:v>Pending</x:v>
      </x:c>
      <x:c r="F863" s="13" t="n">
        <x:v>4</x:v>
      </x:c>
      <x:c r="G863" s="13" t="n">
        <x:v>1</x:v>
      </x:c>
      <x:c r="H863" s="13" t="n">
        <x:v>2</x:v>
      </x:c>
      <x:c r="I863" s="13" t="str">
        <x:v>2008701020; 2008701040; 2008702020; 2008702040</x:v>
      </x:c>
      <x:c r="J863" s="13" t="str">
        <x:v>2008700100</x:v>
      </x:c>
      <x:c r="K863" s="13" t="str">
        <x:v>2008701000; 2008709000</x:v>
      </x:c>
      <x:c r="L863" s="13" t="str">
        <x:v>UNRESOLVED</x:v>
      </x:c>
      <x:c r="M863" s="13" t="str"/>
      <x:c r="N863" s="13" t="str">
        <x:v>NO / DEFAULT</x:v>
      </x:c>
      <x:c r="O863" s="13" t="str"/>
      <x:c r="P863" s="13" t="str">
        <x:v>NO / DEFAULT</x:v>
      </x:c>
      <x:c r="Q863" s="13" t="str"/>
      <x:c r="R863" s="13" t="str">
        <x:v>INDEPENDENT / DEFAULT</x:v>
      </x:c>
      <x:c r="S863" s="13" t="str"/>
      <x:c r="T863" s="13" t="str">
        <x:v>UNRESOLVED</x:v>
      </x:c>
      <x:c r="U863" s="13" t="str"/>
      <x:c r="V863" s="13" t="str"/>
      <x:c r="W863" s="13" t="str"/>
      <x:c r="X863" s="13" t="str">
        <x:f>IF(L863&lt;&gt;"COVERED","HELD — COVERAGE",IF(N863="YES — SENSITIVE","C ACTIONABLE","CHAPTER 5 DEFAULT"))</x:f>
        <x:v>HELD — COVERAGE</x:v>
      </x:c>
      <x:c r="Y863" s="13" t="str">
        <x:f>IF(L863&lt;&gt;"COVERED","HELD — COVERAGE",IF(P863="YES — MANAGED ACCESS","D ACTIONABLE","NO D FIELD"))</x:f>
        <x:v>HELD — COVERAGE</x:v>
      </x:c>
      <x:c r="Z863" s="13" t="str">
        <x:f>IF(L863&lt;&gt;"COVERED","HELD — COVERAGE",IF(OR(R863="PAIRED SYNCHRONIZED",R863="TRILATERAL SYNCHRONIZED"),"E ACTIONABLE","INDEPENDENT"))</x:f>
        <x:v>HELD — COVERAGE</x:v>
      </x:c>
      <x:c r="AA863" s="13" t="str">
        <x:f>IF(L863&lt;&gt;"COVERED","HELD — COVERAGE","WAIT FOR UPSTREAM COMPLETION")</x:f>
        <x:v>HELD — COVERAGE</x:v>
      </x:c>
      <x:c r="AB863" s="13" t="str">
        <x:f>IF(L863&lt;&gt;"COVERED","HELD — COVERAGE",IF(T863="UNRESOLVED","G DECISION REQUIRED",IF(T863="NOT APPLICABLE","G N/A","G ACTIONABLE")))</x:f>
        <x:v>HELD — COVERAGE</x:v>
      </x:c>
      <x:c r="AC863" s="13" t="str">
        <x:f>IF(L863="UNRESOLVED","COVERAGE FIRST",IF(OR(L863="EXCLUDED",L863="OUT OF SCOPE"),"CLOSED BY COVERAGE",IF(AND(L863="COVERED",T863&lt;&gt;"UNRESOLVED"),"PARTIALLY ADOPTED","DECISIONS REMAIN")))</x:f>
        <x:v>COVERAGE FIRST</x:v>
      </x:c>
    </x:row>
    <x:row r="864">
      <x:c r="A864" s="13" t="str">
        <x:v>NAAFTC-HS6-200880</x:v>
      </x:c>
      <x:c r="B864" s="13" t="str">
        <x:v>200880</x:v>
      </x:c>
      <x:c r="C864" s="13" t="str">
        <x:v>20</x:v>
      </x:c>
      <x:c r="D864" s="13" t="str">
        <x:v>TRILATERAL_1_TO_1_TO_1</x:v>
      </x:c>
      <x:c r="E864" s="13" t="str">
        <x:v>Pending</x:v>
      </x:c>
      <x:c r="F864" s="13" t="n">
        <x:v>1</x:v>
      </x:c>
      <x:c r="G864" s="13" t="n">
        <x:v>1</x:v>
      </x:c>
      <x:c r="H864" s="13" t="n">
        <x:v>1</x:v>
      </x:c>
      <x:c r="I864" s="13" t="str">
        <x:v>2008800000</x:v>
      </x:c>
      <x:c r="J864" s="13" t="str">
        <x:v>2008800100</x:v>
      </x:c>
      <x:c r="K864" s="13" t="str">
        <x:v>2008800000</x:v>
      </x:c>
      <x:c r="L864" s="13" t="str">
        <x:v>UNRESOLVED</x:v>
      </x:c>
      <x:c r="M864" s="13" t="str"/>
      <x:c r="N864" s="13" t="str">
        <x:v>NO / DEFAULT</x:v>
      </x:c>
      <x:c r="O864" s="13" t="str"/>
      <x:c r="P864" s="13" t="str">
        <x:v>NO / DEFAULT</x:v>
      </x:c>
      <x:c r="Q864" s="13" t="str"/>
      <x:c r="R864" s="13" t="str">
        <x:v>INDEPENDENT / DEFAULT</x:v>
      </x:c>
      <x:c r="S864" s="13" t="str"/>
      <x:c r="T864" s="13" t="str">
        <x:v>UNRESOLVED</x:v>
      </x:c>
      <x:c r="U864" s="13" t="str"/>
      <x:c r="V864" s="13" t="str"/>
      <x:c r="W864" s="13" t="str"/>
      <x:c r="X864" s="13" t="str">
        <x:f>IF(L864&lt;&gt;"COVERED","HELD — COVERAGE",IF(N864="YES — SENSITIVE","C ACTIONABLE","CHAPTER 5 DEFAULT"))</x:f>
        <x:v>HELD — COVERAGE</x:v>
      </x:c>
      <x:c r="Y864" s="13" t="str">
        <x:f>IF(L864&lt;&gt;"COVERED","HELD — COVERAGE",IF(P864="YES — MANAGED ACCESS","D ACTIONABLE","NO D FIELD"))</x:f>
        <x:v>HELD — COVERAGE</x:v>
      </x:c>
      <x:c r="Z864" s="13" t="str">
        <x:f>IF(L864&lt;&gt;"COVERED","HELD — COVERAGE",IF(OR(R864="PAIRED SYNCHRONIZED",R864="TRILATERAL SYNCHRONIZED"),"E ACTIONABLE","INDEPENDENT"))</x:f>
        <x:v>HELD — COVERAGE</x:v>
      </x:c>
      <x:c r="AA864" s="13" t="str">
        <x:f>IF(L864&lt;&gt;"COVERED","HELD — COVERAGE","WAIT FOR UPSTREAM COMPLETION")</x:f>
        <x:v>HELD — COVERAGE</x:v>
      </x:c>
      <x:c r="AB864" s="13" t="str">
        <x:f>IF(L864&lt;&gt;"COVERED","HELD — COVERAGE",IF(T864="UNRESOLVED","G DECISION REQUIRED",IF(T864="NOT APPLICABLE","G N/A","G ACTIONABLE")))</x:f>
        <x:v>HELD — COVERAGE</x:v>
      </x:c>
      <x:c r="AC864" s="13" t="str">
        <x:f>IF(L864="UNRESOLVED","COVERAGE FIRST",IF(OR(L864="EXCLUDED",L864="OUT OF SCOPE"),"CLOSED BY COVERAGE",IF(AND(L864="COVERED",T864&lt;&gt;"UNRESOLVED"),"PARTIALLY ADOPTED","DECISIONS REMAIN")))</x:f>
        <x:v>COVERAGE FIRST</x:v>
      </x:c>
    </x:row>
    <x:row r="865">
      <x:c r="A865" s="13" t="str">
        <x:v>NAAFTC-HS6-200891</x:v>
      </x:c>
      <x:c r="B865" s="13" t="str">
        <x:v>200891</x:v>
      </x:c>
      <x:c r="C865" s="13" t="str">
        <x:v>20</x:v>
      </x:c>
      <x:c r="D865" s="13" t="str">
        <x:v>TRILATERAL_1_TO_1_TO_1</x:v>
      </x:c>
      <x:c r="E865" s="13" t="str">
        <x:v>Pending</x:v>
      </x:c>
      <x:c r="F865" s="13" t="n">
        <x:v>1</x:v>
      </x:c>
      <x:c r="G865" s="13" t="n">
        <x:v>1</x:v>
      </x:c>
      <x:c r="H865" s="13" t="n">
        <x:v>1</x:v>
      </x:c>
      <x:c r="I865" s="13" t="str">
        <x:v>2008910000</x:v>
      </x:c>
      <x:c r="J865" s="13" t="str">
        <x:v>2008910100</x:v>
      </x:c>
      <x:c r="K865" s="13" t="str">
        <x:v>2008910000</x:v>
      </x:c>
      <x:c r="L865" s="13" t="str">
        <x:v>UNRESOLVED</x:v>
      </x:c>
      <x:c r="M865" s="13" t="str"/>
      <x:c r="N865" s="13" t="str">
        <x:v>NO / DEFAULT</x:v>
      </x:c>
      <x:c r="O865" s="13" t="str"/>
      <x:c r="P865" s="13" t="str">
        <x:v>NO / DEFAULT</x:v>
      </x:c>
      <x:c r="Q865" s="13" t="str"/>
      <x:c r="R865" s="13" t="str">
        <x:v>INDEPENDENT / DEFAULT</x:v>
      </x:c>
      <x:c r="S865" s="13" t="str"/>
      <x:c r="T865" s="13" t="str">
        <x:v>UNRESOLVED</x:v>
      </x:c>
      <x:c r="U865" s="13" t="str"/>
      <x:c r="V865" s="13" t="str"/>
      <x:c r="W865" s="13" t="str"/>
      <x:c r="X865" s="13" t="str">
        <x:f>IF(L865&lt;&gt;"COVERED","HELD — COVERAGE",IF(N865="YES — SENSITIVE","C ACTIONABLE","CHAPTER 5 DEFAULT"))</x:f>
        <x:v>HELD — COVERAGE</x:v>
      </x:c>
      <x:c r="Y865" s="13" t="str">
        <x:f>IF(L865&lt;&gt;"COVERED","HELD — COVERAGE",IF(P865="YES — MANAGED ACCESS","D ACTIONABLE","NO D FIELD"))</x:f>
        <x:v>HELD — COVERAGE</x:v>
      </x:c>
      <x:c r="Z865" s="13" t="str">
        <x:f>IF(L865&lt;&gt;"COVERED","HELD — COVERAGE",IF(OR(R865="PAIRED SYNCHRONIZED",R865="TRILATERAL SYNCHRONIZED"),"E ACTIONABLE","INDEPENDENT"))</x:f>
        <x:v>HELD — COVERAGE</x:v>
      </x:c>
      <x:c r="AA865" s="13" t="str">
        <x:f>IF(L865&lt;&gt;"COVERED","HELD — COVERAGE","WAIT FOR UPSTREAM COMPLETION")</x:f>
        <x:v>HELD — COVERAGE</x:v>
      </x:c>
      <x:c r="AB865" s="13" t="str">
        <x:f>IF(L865&lt;&gt;"COVERED","HELD — COVERAGE",IF(T865="UNRESOLVED","G DECISION REQUIRED",IF(T865="NOT APPLICABLE","G N/A","G ACTIONABLE")))</x:f>
        <x:v>HELD — COVERAGE</x:v>
      </x:c>
      <x:c r="AC865" s="13" t="str">
        <x:f>IF(L865="UNRESOLVED","COVERAGE FIRST",IF(OR(L865="EXCLUDED",L865="OUT OF SCOPE"),"CLOSED BY COVERAGE",IF(AND(L865="COVERED",T865&lt;&gt;"UNRESOLVED"),"PARTIALLY ADOPTED","DECISIONS REMAIN")))</x:f>
        <x:v>COVERAGE FIRST</x:v>
      </x:c>
    </x:row>
    <x:row r="866">
      <x:c r="A866" s="13" t="str">
        <x:v>NAAFTC-HS6-200893</x:v>
      </x:c>
      <x:c r="B866" s="13" t="str">
        <x:v>200893</x:v>
      </x:c>
      <x:c r="C866" s="13" t="str">
        <x:v>20</x:v>
      </x:c>
      <x:c r="D866" s="13" t="str">
        <x:v>TRILATERAL_1_TO_1_TO_1</x:v>
      </x:c>
      <x:c r="E866" s="13" t="str">
        <x:v>Pending</x:v>
      </x:c>
      <x:c r="F866" s="13" t="n">
        <x:v>1</x:v>
      </x:c>
      <x:c r="G866" s="13" t="n">
        <x:v>1</x:v>
      </x:c>
      <x:c r="H866" s="13" t="n">
        <x:v>1</x:v>
      </x:c>
      <x:c r="I866" s="13" t="str">
        <x:v>2008930000</x:v>
      </x:c>
      <x:c r="J866" s="13" t="str">
        <x:v>2008930100</x:v>
      </x:c>
      <x:c r="K866" s="13" t="str">
        <x:v>20089300</x:v>
      </x:c>
      <x:c r="L866" s="13" t="str">
        <x:v>UNRESOLVED</x:v>
      </x:c>
      <x:c r="M866" s="13" t="str"/>
      <x:c r="N866" s="13" t="str">
        <x:v>NO / DEFAULT</x:v>
      </x:c>
      <x:c r="O866" s="13" t="str"/>
      <x:c r="P866" s="13" t="str">
        <x:v>NO / DEFAULT</x:v>
      </x:c>
      <x:c r="Q866" s="13" t="str"/>
      <x:c r="R866" s="13" t="str">
        <x:v>INDEPENDENT / DEFAULT</x:v>
      </x:c>
      <x:c r="S866" s="13" t="str"/>
      <x:c r="T866" s="13" t="str">
        <x:v>UNRESOLVED</x:v>
      </x:c>
      <x:c r="U866" s="13" t="str"/>
      <x:c r="V866" s="13" t="str"/>
      <x:c r="W866" s="13" t="str"/>
      <x:c r="X866" s="13" t="str">
        <x:f>IF(L866&lt;&gt;"COVERED","HELD — COVERAGE",IF(N866="YES — SENSITIVE","C ACTIONABLE","CHAPTER 5 DEFAULT"))</x:f>
        <x:v>HELD — COVERAGE</x:v>
      </x:c>
      <x:c r="Y866" s="13" t="str">
        <x:f>IF(L866&lt;&gt;"COVERED","HELD — COVERAGE",IF(P866="YES — MANAGED ACCESS","D ACTIONABLE","NO D FIELD"))</x:f>
        <x:v>HELD — COVERAGE</x:v>
      </x:c>
      <x:c r="Z866" s="13" t="str">
        <x:f>IF(L866&lt;&gt;"COVERED","HELD — COVERAGE",IF(OR(R866="PAIRED SYNCHRONIZED",R866="TRILATERAL SYNCHRONIZED"),"E ACTIONABLE","INDEPENDENT"))</x:f>
        <x:v>HELD — COVERAGE</x:v>
      </x:c>
      <x:c r="AA866" s="13" t="str">
        <x:f>IF(L866&lt;&gt;"COVERED","HELD — COVERAGE","WAIT FOR UPSTREAM COMPLETION")</x:f>
        <x:v>HELD — COVERAGE</x:v>
      </x:c>
      <x:c r="AB866" s="13" t="str">
        <x:f>IF(L866&lt;&gt;"COVERED","HELD — COVERAGE",IF(T866="UNRESOLVED","G DECISION REQUIRED",IF(T866="NOT APPLICABLE","G N/A","G ACTIONABLE")))</x:f>
        <x:v>HELD — COVERAGE</x:v>
      </x:c>
      <x:c r="AC866" s="13" t="str">
        <x:f>IF(L866="UNRESOLVED","COVERAGE FIRST",IF(OR(L866="EXCLUDED",L866="OUT OF SCOPE"),"CLOSED BY COVERAGE",IF(AND(L866="COVERED",T866&lt;&gt;"UNRESOLVED"),"PARTIALLY ADOPTED","DECISIONS REMAIN")))</x:f>
        <x:v>COVERAGE FIRST</x:v>
      </x:c>
    </x:row>
    <x:row r="867">
      <x:c r="A867" s="13" t="str">
        <x:v>NAAFTC-HS6-200897</x:v>
      </x:c>
      <x:c r="B867" s="13" t="str">
        <x:v>200897</x:v>
      </x:c>
      <x:c r="C867" s="13" t="str">
        <x:v>20</x:v>
      </x:c>
      <x:c r="D867" s="13" t="str">
        <x:v>TRILATERAL_SPLIT_MERGE</x:v>
      </x:c>
      <x:c r="E867" s="13" t="str">
        <x:v>Pending</x:v>
      </x:c>
      <x:c r="F867" s="13" t="n">
        <x:v>8</x:v>
      </x:c>
      <x:c r="G867" s="13" t="n">
        <x:v>1</x:v>
      </x:c>
      <x:c r="H867" s="13" t="n">
        <x:v>2</x:v>
      </x:c>
      <x:c r="I867" s="13" t="str">
        <x:v>2008971020; 2008971040; 2008979030; 2008979035; 2008979040; 2008979050; +2 more</x:v>
      </x:c>
      <x:c r="J867" s="13" t="str">
        <x:v>2008970100</x:v>
      </x:c>
      <x:c r="K867" s="13" t="str">
        <x:v>2008971000; 2008979000</x:v>
      </x:c>
      <x:c r="L867" s="13" t="str">
        <x:v>UNRESOLVED</x:v>
      </x:c>
      <x:c r="M867" s="13" t="str"/>
      <x:c r="N867" s="13" t="str">
        <x:v>NO / DEFAULT</x:v>
      </x:c>
      <x:c r="O867" s="13" t="str"/>
      <x:c r="P867" s="13" t="str">
        <x:v>NO / DEFAULT</x:v>
      </x:c>
      <x:c r="Q867" s="13" t="str"/>
      <x:c r="R867" s="13" t="str">
        <x:v>INDEPENDENT / DEFAULT</x:v>
      </x:c>
      <x:c r="S867" s="13" t="str"/>
      <x:c r="T867" s="13" t="str">
        <x:v>UNRESOLVED</x:v>
      </x:c>
      <x:c r="U867" s="13" t="str"/>
      <x:c r="V867" s="13" t="str"/>
      <x:c r="W867" s="13" t="str"/>
      <x:c r="X867" s="13" t="str">
        <x:f>IF(L867&lt;&gt;"COVERED","HELD — COVERAGE",IF(N867="YES — SENSITIVE","C ACTIONABLE","CHAPTER 5 DEFAULT"))</x:f>
        <x:v>HELD — COVERAGE</x:v>
      </x:c>
      <x:c r="Y867" s="13" t="str">
        <x:f>IF(L867&lt;&gt;"COVERED","HELD — COVERAGE",IF(P867="YES — MANAGED ACCESS","D ACTIONABLE","NO D FIELD"))</x:f>
        <x:v>HELD — COVERAGE</x:v>
      </x:c>
      <x:c r="Z867" s="13" t="str">
        <x:f>IF(L867&lt;&gt;"COVERED","HELD — COVERAGE",IF(OR(R867="PAIRED SYNCHRONIZED",R867="TRILATERAL SYNCHRONIZED"),"E ACTIONABLE","INDEPENDENT"))</x:f>
        <x:v>HELD — COVERAGE</x:v>
      </x:c>
      <x:c r="AA867" s="13" t="str">
        <x:f>IF(L867&lt;&gt;"COVERED","HELD — COVERAGE","WAIT FOR UPSTREAM COMPLETION")</x:f>
        <x:v>HELD — COVERAGE</x:v>
      </x:c>
      <x:c r="AB867" s="13" t="str">
        <x:f>IF(L867&lt;&gt;"COVERED","HELD — COVERAGE",IF(T867="UNRESOLVED","G DECISION REQUIRED",IF(T867="NOT APPLICABLE","G N/A","G ACTIONABLE")))</x:f>
        <x:v>HELD — COVERAGE</x:v>
      </x:c>
      <x:c r="AC867" s="13" t="str">
        <x:f>IF(L867="UNRESOLVED","COVERAGE FIRST",IF(OR(L867="EXCLUDED",L867="OUT OF SCOPE"),"CLOSED BY COVERAGE",IF(AND(L867="COVERED",T867&lt;&gt;"UNRESOLVED"),"PARTIALLY ADOPTED","DECISIONS REMAIN")))</x:f>
        <x:v>COVERAGE FIRST</x:v>
      </x:c>
    </x:row>
    <x:row r="868">
      <x:c r="A868" s="13" t="str">
        <x:v>NAAFTC-HS6-200899</x:v>
      </x:c>
      <x:c r="B868" s="13" t="str">
        <x:v>200899</x:v>
      </x:c>
      <x:c r="C868" s="13" t="str">
        <x:v>20</x:v>
      </x:c>
      <x:c r="D868" s="13" t="str">
        <x:v>TRILATERAL_SPLIT_MERGE</x:v>
      </x:c>
      <x:c r="E868" s="13" t="str">
        <x:v>Pending</x:v>
      </x:c>
      <x:c r="F868" s="13" t="n">
        <x:v>30</x:v>
      </x:c>
      <x:c r="G868" s="13" t="n">
        <x:v>1</x:v>
      </x:c>
      <x:c r="H868" s="13" t="n">
        <x:v>2</x:v>
      </x:c>
      <x:c r="I868" s="13" t="str">
        <x:v>2008990500; 2008991010; 2008991090; 2008991300; 2008991500; 2008991810; +24 more</x:v>
      </x:c>
      <x:c r="J868" s="13" t="str">
        <x:v>2008999900</x:v>
      </x:c>
      <x:c r="K868" s="13" t="str">
        <x:v>2008994000; 20089990</x:v>
      </x:c>
      <x:c r="L868" s="13" t="str">
        <x:v>UNRESOLVED</x:v>
      </x:c>
      <x:c r="M868" s="13" t="str"/>
      <x:c r="N868" s="13" t="str">
        <x:v>NO / DEFAULT</x:v>
      </x:c>
      <x:c r="O868" s="13" t="str"/>
      <x:c r="P868" s="13" t="str">
        <x:v>NO / DEFAULT</x:v>
      </x:c>
      <x:c r="Q868" s="13" t="str"/>
      <x:c r="R868" s="13" t="str">
        <x:v>INDEPENDENT / DEFAULT</x:v>
      </x:c>
      <x:c r="S868" s="13" t="str"/>
      <x:c r="T868" s="13" t="str">
        <x:v>UNRESOLVED</x:v>
      </x:c>
      <x:c r="U868" s="13" t="str"/>
      <x:c r="V868" s="13" t="str"/>
      <x:c r="W868" s="13" t="str"/>
      <x:c r="X868" s="13" t="str">
        <x:f>IF(L868&lt;&gt;"COVERED","HELD — COVERAGE",IF(N868="YES — SENSITIVE","C ACTIONABLE","CHAPTER 5 DEFAULT"))</x:f>
        <x:v>HELD — COVERAGE</x:v>
      </x:c>
      <x:c r="Y868" s="13" t="str">
        <x:f>IF(L868&lt;&gt;"COVERED","HELD — COVERAGE",IF(P868="YES — MANAGED ACCESS","D ACTIONABLE","NO D FIELD"))</x:f>
        <x:v>HELD — COVERAGE</x:v>
      </x:c>
      <x:c r="Z868" s="13" t="str">
        <x:f>IF(L868&lt;&gt;"COVERED","HELD — COVERAGE",IF(OR(R868="PAIRED SYNCHRONIZED",R868="TRILATERAL SYNCHRONIZED"),"E ACTIONABLE","INDEPENDENT"))</x:f>
        <x:v>HELD — COVERAGE</x:v>
      </x:c>
      <x:c r="AA868" s="13" t="str">
        <x:f>IF(L868&lt;&gt;"COVERED","HELD — COVERAGE","WAIT FOR UPSTREAM COMPLETION")</x:f>
        <x:v>HELD — COVERAGE</x:v>
      </x:c>
      <x:c r="AB868" s="13" t="str">
        <x:f>IF(L868&lt;&gt;"COVERED","HELD — COVERAGE",IF(T868="UNRESOLVED","G DECISION REQUIRED",IF(T868="NOT APPLICABLE","G N/A","G ACTIONABLE")))</x:f>
        <x:v>HELD — COVERAGE</x:v>
      </x:c>
      <x:c r="AC868" s="13" t="str">
        <x:f>IF(L868="UNRESOLVED","COVERAGE FIRST",IF(OR(L868="EXCLUDED",L868="OUT OF SCOPE"),"CLOSED BY COVERAGE",IF(AND(L868="COVERED",T868&lt;&gt;"UNRESOLVED"),"PARTIALLY ADOPTED","DECISIONS REMAIN")))</x:f>
        <x:v>COVERAGE FIRST</x:v>
      </x:c>
    </x:row>
    <x:row r="869">
      <x:c r="A869" s="13" t="str">
        <x:v>NAAFTC-HS6-200911</x:v>
      </x:c>
      <x:c r="B869" s="13" t="str">
        <x:v>200911</x:v>
      </x:c>
      <x:c r="C869" s="13" t="str">
        <x:v>20</x:v>
      </x:c>
      <x:c r="D869" s="13" t="str">
        <x:v>TRILATERAL_SPLIT_MERGE</x:v>
      </x:c>
      <x:c r="E869" s="13" t="str">
        <x:v>Pending</x:v>
      </x:c>
      <x:c r="F869" s="13" t="n">
        <x:v>3</x:v>
      </x:c>
      <x:c r="G869" s="13" t="n">
        <x:v>1</x:v>
      </x:c>
      <x:c r="H869" s="13" t="n">
        <x:v>1</x:v>
      </x:c>
      <x:c r="I869" s="13" t="str">
        <x:v>2009110020; 2009110040; 2009110060</x:v>
      </x:c>
      <x:c r="J869" s="13" t="str">
        <x:v>2009110100</x:v>
      </x:c>
      <x:c r="K869" s="13" t="str">
        <x:v>20091100</x:v>
      </x:c>
      <x:c r="L869" s="13" t="str">
        <x:v>UNRESOLVED</x:v>
      </x:c>
      <x:c r="M869" s="13" t="str"/>
      <x:c r="N869" s="13" t="str">
        <x:v>NO / DEFAULT</x:v>
      </x:c>
      <x:c r="O869" s="13" t="str"/>
      <x:c r="P869" s="13" t="str">
        <x:v>NO / DEFAULT</x:v>
      </x:c>
      <x:c r="Q869" s="13" t="str"/>
      <x:c r="R869" s="13" t="str">
        <x:v>INDEPENDENT / DEFAULT</x:v>
      </x:c>
      <x:c r="S869" s="13" t="str"/>
      <x:c r="T869" s="13" t="str">
        <x:v>UNRESOLVED</x:v>
      </x:c>
      <x:c r="U869" s="13" t="str"/>
      <x:c r="V869" s="13" t="str"/>
      <x:c r="W869" s="13" t="str"/>
      <x:c r="X869" s="13" t="str">
        <x:f>IF(L869&lt;&gt;"COVERED","HELD — COVERAGE",IF(N869="YES — SENSITIVE","C ACTIONABLE","CHAPTER 5 DEFAULT"))</x:f>
        <x:v>HELD — COVERAGE</x:v>
      </x:c>
      <x:c r="Y869" s="13" t="str">
        <x:f>IF(L869&lt;&gt;"COVERED","HELD — COVERAGE",IF(P869="YES — MANAGED ACCESS","D ACTIONABLE","NO D FIELD"))</x:f>
        <x:v>HELD — COVERAGE</x:v>
      </x:c>
      <x:c r="Z869" s="13" t="str">
        <x:f>IF(L869&lt;&gt;"COVERED","HELD — COVERAGE",IF(OR(R869="PAIRED SYNCHRONIZED",R869="TRILATERAL SYNCHRONIZED"),"E ACTIONABLE","INDEPENDENT"))</x:f>
        <x:v>HELD — COVERAGE</x:v>
      </x:c>
      <x:c r="AA869" s="13" t="str">
        <x:f>IF(L869&lt;&gt;"COVERED","HELD — COVERAGE","WAIT FOR UPSTREAM COMPLETION")</x:f>
        <x:v>HELD — COVERAGE</x:v>
      </x:c>
      <x:c r="AB869" s="13" t="str">
        <x:f>IF(L869&lt;&gt;"COVERED","HELD — COVERAGE",IF(T869="UNRESOLVED","G DECISION REQUIRED",IF(T869="NOT APPLICABLE","G N/A","G ACTIONABLE")))</x:f>
        <x:v>HELD — COVERAGE</x:v>
      </x:c>
      <x:c r="AC869" s="13" t="str">
        <x:f>IF(L869="UNRESOLVED","COVERAGE FIRST",IF(OR(L869="EXCLUDED",L869="OUT OF SCOPE"),"CLOSED BY COVERAGE",IF(AND(L869="COVERED",T869&lt;&gt;"UNRESOLVED"),"PARTIALLY ADOPTED","DECISIONS REMAIN")))</x:f>
        <x:v>COVERAGE FIRST</x:v>
      </x:c>
    </x:row>
    <x:row r="870">
      <x:c r="A870" s="13" t="str">
        <x:v>NAAFTC-HS6-200912</x:v>
      </x:c>
      <x:c r="B870" s="13" t="str">
        <x:v>200912</x:v>
      </x:c>
      <x:c r="C870" s="13" t="str">
        <x:v>20</x:v>
      </x:c>
      <x:c r="D870" s="13" t="str">
        <x:v>TRILATERAL_SPLIT_MERGE</x:v>
      </x:c>
      <x:c r="E870" s="13" t="str">
        <x:v>Pending</x:v>
      </x:c>
      <x:c r="F870" s="13" t="n">
        <x:v>3</x:v>
      </x:c>
      <x:c r="G870" s="13" t="n">
        <x:v>2</x:v>
      </x:c>
      <x:c r="H870" s="13" t="n">
        <x:v>1</x:v>
      </x:c>
      <x:c r="I870" s="13" t="str">
        <x:v>2009122510; 2009122590; 2009124500</x:v>
      </x:c>
      <x:c r="J870" s="13" t="str">
        <x:v>2009120201; 2009120299</x:v>
      </x:c>
      <x:c r="K870" s="13" t="str">
        <x:v>20091200</x:v>
      </x:c>
      <x:c r="L870" s="13" t="str">
        <x:v>UNRESOLVED</x:v>
      </x:c>
      <x:c r="M870" s="13" t="str"/>
      <x:c r="N870" s="13" t="str">
        <x:v>NO / DEFAULT</x:v>
      </x:c>
      <x:c r="O870" s="13" t="str"/>
      <x:c r="P870" s="13" t="str">
        <x:v>NO / DEFAULT</x:v>
      </x:c>
      <x:c r="Q870" s="13" t="str"/>
      <x:c r="R870" s="13" t="str">
        <x:v>INDEPENDENT / DEFAULT</x:v>
      </x:c>
      <x:c r="S870" s="13" t="str"/>
      <x:c r="T870" s="13" t="str">
        <x:v>UNRESOLVED</x:v>
      </x:c>
      <x:c r="U870" s="13" t="str"/>
      <x:c r="V870" s="13" t="str"/>
      <x:c r="W870" s="13" t="str"/>
      <x:c r="X870" s="13" t="str">
        <x:f>IF(L870&lt;&gt;"COVERED","HELD — COVERAGE",IF(N870="YES — SENSITIVE","C ACTIONABLE","CHAPTER 5 DEFAULT"))</x:f>
        <x:v>HELD — COVERAGE</x:v>
      </x:c>
      <x:c r="Y870" s="13" t="str">
        <x:f>IF(L870&lt;&gt;"COVERED","HELD — COVERAGE",IF(P870="YES — MANAGED ACCESS","D ACTIONABLE","NO D FIELD"))</x:f>
        <x:v>HELD — COVERAGE</x:v>
      </x:c>
      <x:c r="Z870" s="13" t="str">
        <x:f>IF(L870&lt;&gt;"COVERED","HELD — COVERAGE",IF(OR(R870="PAIRED SYNCHRONIZED",R870="TRILATERAL SYNCHRONIZED"),"E ACTIONABLE","INDEPENDENT"))</x:f>
        <x:v>HELD — COVERAGE</x:v>
      </x:c>
      <x:c r="AA870" s="13" t="str">
        <x:f>IF(L870&lt;&gt;"COVERED","HELD — COVERAGE","WAIT FOR UPSTREAM COMPLETION")</x:f>
        <x:v>HELD — COVERAGE</x:v>
      </x:c>
      <x:c r="AB870" s="13" t="str">
        <x:f>IF(L870&lt;&gt;"COVERED","HELD — COVERAGE",IF(T870="UNRESOLVED","G DECISION REQUIRED",IF(T870="NOT APPLICABLE","G N/A","G ACTIONABLE")))</x:f>
        <x:v>HELD — COVERAGE</x:v>
      </x:c>
      <x:c r="AC870" s="13" t="str">
        <x:f>IF(L870="UNRESOLVED","COVERAGE FIRST",IF(OR(L870="EXCLUDED",L870="OUT OF SCOPE"),"CLOSED BY COVERAGE",IF(AND(L870="COVERED",T870&lt;&gt;"UNRESOLVED"),"PARTIALLY ADOPTED","DECISIONS REMAIN")))</x:f>
        <x:v>COVERAGE FIRST</x:v>
      </x:c>
    </x:row>
    <x:row r="871">
      <x:c r="A871" s="13" t="str">
        <x:v>NAAFTC-HS6-200919</x:v>
      </x:c>
      <x:c r="B871" s="13" t="str">
        <x:v>200919</x:v>
      </x:c>
      <x:c r="C871" s="13" t="str">
        <x:v>20</x:v>
      </x:c>
      <x:c r="D871" s="13" t="str">
        <x:v>TRILATERAL_1_TO_1_TO_1</x:v>
      </x:c>
      <x:c r="E871" s="13" t="str">
        <x:v>Pending</x:v>
      </x:c>
      <x:c r="F871" s="13" t="n">
        <x:v>1</x:v>
      </x:c>
      <x:c r="G871" s="13" t="n">
        <x:v>1</x:v>
      </x:c>
      <x:c r="H871" s="13" t="n">
        <x:v>1</x:v>
      </x:c>
      <x:c r="I871" s="13" t="str">
        <x:v>2009190000</x:v>
      </x:c>
      <x:c r="J871" s="13" t="str">
        <x:v>2009199900</x:v>
      </x:c>
      <x:c r="K871" s="13" t="str">
        <x:v>2009190000</x:v>
      </x:c>
      <x:c r="L871" s="13" t="str">
        <x:v>UNRESOLVED</x:v>
      </x:c>
      <x:c r="M871" s="13" t="str"/>
      <x:c r="N871" s="13" t="str">
        <x:v>NO / DEFAULT</x:v>
      </x:c>
      <x:c r="O871" s="13" t="str"/>
      <x:c r="P871" s="13" t="str">
        <x:v>NO / DEFAULT</x:v>
      </x:c>
      <x:c r="Q871" s="13" t="str"/>
      <x:c r="R871" s="13" t="str">
        <x:v>INDEPENDENT / DEFAULT</x:v>
      </x:c>
      <x:c r="S871" s="13" t="str"/>
      <x:c r="T871" s="13" t="str">
        <x:v>UNRESOLVED</x:v>
      </x:c>
      <x:c r="U871" s="13" t="str"/>
      <x:c r="V871" s="13" t="str"/>
      <x:c r="W871" s="13" t="str"/>
      <x:c r="X871" s="13" t="str">
        <x:f>IF(L871&lt;&gt;"COVERED","HELD — COVERAGE",IF(N871="YES — SENSITIVE","C ACTIONABLE","CHAPTER 5 DEFAULT"))</x:f>
        <x:v>HELD — COVERAGE</x:v>
      </x:c>
      <x:c r="Y871" s="13" t="str">
        <x:f>IF(L871&lt;&gt;"COVERED","HELD — COVERAGE",IF(P871="YES — MANAGED ACCESS","D ACTIONABLE","NO D FIELD"))</x:f>
        <x:v>HELD — COVERAGE</x:v>
      </x:c>
      <x:c r="Z871" s="13" t="str">
        <x:f>IF(L871&lt;&gt;"COVERED","HELD — COVERAGE",IF(OR(R871="PAIRED SYNCHRONIZED",R871="TRILATERAL SYNCHRONIZED"),"E ACTIONABLE","INDEPENDENT"))</x:f>
        <x:v>HELD — COVERAGE</x:v>
      </x:c>
      <x:c r="AA871" s="13" t="str">
        <x:f>IF(L871&lt;&gt;"COVERED","HELD — COVERAGE","WAIT FOR UPSTREAM COMPLETION")</x:f>
        <x:v>HELD — COVERAGE</x:v>
      </x:c>
      <x:c r="AB871" s="13" t="str">
        <x:f>IF(L871&lt;&gt;"COVERED","HELD — COVERAGE",IF(T871="UNRESOLVED","G DECISION REQUIRED",IF(T871="NOT APPLICABLE","G N/A","G ACTIONABLE")))</x:f>
        <x:v>HELD — COVERAGE</x:v>
      </x:c>
      <x:c r="AC871" s="13" t="str">
        <x:f>IF(L871="UNRESOLVED","COVERAGE FIRST",IF(OR(L871="EXCLUDED",L871="OUT OF SCOPE"),"CLOSED BY COVERAGE",IF(AND(L871="COVERED",T871&lt;&gt;"UNRESOLVED"),"PARTIALLY ADOPTED","DECISIONS REMAIN")))</x:f>
        <x:v>COVERAGE FIRST</x:v>
      </x:c>
    </x:row>
    <x:row r="872">
      <x:c r="A872" s="13" t="str">
        <x:v>NAAFTC-HS6-200921</x:v>
      </x:c>
      <x:c r="B872" s="13" t="str">
        <x:v>200921</x:v>
      </x:c>
      <x:c r="C872" s="13" t="str">
        <x:v>20</x:v>
      </x:c>
      <x:c r="D872" s="13" t="str">
        <x:v>TRILATERAL_SPLIT_MERGE</x:v>
      </x:c>
      <x:c r="E872" s="13" t="str">
        <x:v>Pending</x:v>
      </x:c>
      <x:c r="F872" s="13" t="n">
        <x:v>3</x:v>
      </x:c>
      <x:c r="G872" s="13" t="n">
        <x:v>1</x:v>
      </x:c>
      <x:c r="H872" s="13" t="n">
        <x:v>1</x:v>
      </x:c>
      <x:c r="I872" s="13" t="str">
        <x:v>2009212000; 2009214020; 2009214040</x:v>
      </x:c>
      <x:c r="J872" s="13" t="str">
        <x:v>2009210100</x:v>
      </x:c>
      <x:c r="K872" s="13" t="str">
        <x:v>2009210000</x:v>
      </x:c>
      <x:c r="L872" s="13" t="str">
        <x:v>UNRESOLVED</x:v>
      </x:c>
      <x:c r="M872" s="13" t="str"/>
      <x:c r="N872" s="13" t="str">
        <x:v>NO / DEFAULT</x:v>
      </x:c>
      <x:c r="O872" s="13" t="str"/>
      <x:c r="P872" s="13" t="str">
        <x:v>NO / DEFAULT</x:v>
      </x:c>
      <x:c r="Q872" s="13" t="str"/>
      <x:c r="R872" s="13" t="str">
        <x:v>INDEPENDENT / DEFAULT</x:v>
      </x:c>
      <x:c r="S872" s="13" t="str"/>
      <x:c r="T872" s="13" t="str">
        <x:v>UNRESOLVED</x:v>
      </x:c>
      <x:c r="U872" s="13" t="str"/>
      <x:c r="V872" s="13" t="str"/>
      <x:c r="W872" s="13" t="str"/>
      <x:c r="X872" s="13" t="str">
        <x:f>IF(L872&lt;&gt;"COVERED","HELD — COVERAGE",IF(N872="YES — SENSITIVE","C ACTIONABLE","CHAPTER 5 DEFAULT"))</x:f>
        <x:v>HELD — COVERAGE</x:v>
      </x:c>
      <x:c r="Y872" s="13" t="str">
        <x:f>IF(L872&lt;&gt;"COVERED","HELD — COVERAGE",IF(P872="YES — MANAGED ACCESS","D ACTIONABLE","NO D FIELD"))</x:f>
        <x:v>HELD — COVERAGE</x:v>
      </x:c>
      <x:c r="Z872" s="13" t="str">
        <x:f>IF(L872&lt;&gt;"COVERED","HELD — COVERAGE",IF(OR(R872="PAIRED SYNCHRONIZED",R872="TRILATERAL SYNCHRONIZED"),"E ACTIONABLE","INDEPENDENT"))</x:f>
        <x:v>HELD — COVERAGE</x:v>
      </x:c>
      <x:c r="AA872" s="13" t="str">
        <x:f>IF(L872&lt;&gt;"COVERED","HELD — COVERAGE","WAIT FOR UPSTREAM COMPLETION")</x:f>
        <x:v>HELD — COVERAGE</x:v>
      </x:c>
      <x:c r="AB872" s="13" t="str">
        <x:f>IF(L872&lt;&gt;"COVERED","HELD — COVERAGE",IF(T872="UNRESOLVED","G DECISION REQUIRED",IF(T872="NOT APPLICABLE","G N/A","G ACTIONABLE")))</x:f>
        <x:v>HELD — COVERAGE</x:v>
      </x:c>
      <x:c r="AC872" s="13" t="str">
        <x:f>IF(L872="UNRESOLVED","COVERAGE FIRST",IF(OR(L872="EXCLUDED",L872="OUT OF SCOPE"),"CLOSED BY COVERAGE",IF(AND(L872="COVERED",T872&lt;&gt;"UNRESOLVED"),"PARTIALLY ADOPTED","DECISIONS REMAIN")))</x:f>
        <x:v>COVERAGE FIRST</x:v>
      </x:c>
    </x:row>
    <x:row r="873">
      <x:c r="A873" s="13" t="str">
        <x:v>NAAFTC-HS6-200929</x:v>
      </x:c>
      <x:c r="B873" s="13" t="str">
        <x:v>200929</x:v>
      </x:c>
      <x:c r="C873" s="13" t="str">
        <x:v>20</x:v>
      </x:c>
      <x:c r="D873" s="13" t="str">
        <x:v>TRILATERAL_SPLIT_MERGE</x:v>
      </x:c>
      <x:c r="E873" s="13" t="str">
        <x:v>Pending</x:v>
      </x:c>
      <x:c r="F873" s="13" t="n">
        <x:v>2</x:v>
      </x:c>
      <x:c r="G873" s="13" t="n">
        <x:v>1</x:v>
      </x:c>
      <x:c r="H873" s="13" t="n">
        <x:v>1</x:v>
      </x:c>
      <x:c r="I873" s="13" t="str">
        <x:v>2009290020; 2009290040</x:v>
      </x:c>
      <x:c r="J873" s="13" t="str">
        <x:v>2009299900</x:v>
      </x:c>
      <x:c r="K873" s="13" t="str">
        <x:v>2009290000</x:v>
      </x:c>
      <x:c r="L873" s="13" t="str">
        <x:v>UNRESOLVED</x:v>
      </x:c>
      <x:c r="M873" s="13" t="str"/>
      <x:c r="N873" s="13" t="str">
        <x:v>NO / DEFAULT</x:v>
      </x:c>
      <x:c r="O873" s="13" t="str"/>
      <x:c r="P873" s="13" t="str">
        <x:v>NO / DEFAULT</x:v>
      </x:c>
      <x:c r="Q873" s="13" t="str"/>
      <x:c r="R873" s="13" t="str">
        <x:v>INDEPENDENT / DEFAULT</x:v>
      </x:c>
      <x:c r="S873" s="13" t="str"/>
      <x:c r="T873" s="13" t="str">
        <x:v>UNRESOLVED</x:v>
      </x:c>
      <x:c r="U873" s="13" t="str"/>
      <x:c r="V873" s="13" t="str"/>
      <x:c r="W873" s="13" t="str"/>
      <x:c r="X873" s="13" t="str">
        <x:f>IF(L873&lt;&gt;"COVERED","HELD — COVERAGE",IF(N873="YES — SENSITIVE","C ACTIONABLE","CHAPTER 5 DEFAULT"))</x:f>
        <x:v>HELD — COVERAGE</x:v>
      </x:c>
      <x:c r="Y873" s="13" t="str">
        <x:f>IF(L873&lt;&gt;"COVERED","HELD — COVERAGE",IF(P873="YES — MANAGED ACCESS","D ACTIONABLE","NO D FIELD"))</x:f>
        <x:v>HELD — COVERAGE</x:v>
      </x:c>
      <x:c r="Z873" s="13" t="str">
        <x:f>IF(L873&lt;&gt;"COVERED","HELD — COVERAGE",IF(OR(R873="PAIRED SYNCHRONIZED",R873="TRILATERAL SYNCHRONIZED"),"E ACTIONABLE","INDEPENDENT"))</x:f>
        <x:v>HELD — COVERAGE</x:v>
      </x:c>
      <x:c r="AA873" s="13" t="str">
        <x:f>IF(L873&lt;&gt;"COVERED","HELD — COVERAGE","WAIT FOR UPSTREAM COMPLETION")</x:f>
        <x:v>HELD — COVERAGE</x:v>
      </x:c>
      <x:c r="AB873" s="13" t="str">
        <x:f>IF(L873&lt;&gt;"COVERED","HELD — COVERAGE",IF(T873="UNRESOLVED","G DECISION REQUIRED",IF(T873="NOT APPLICABLE","G N/A","G ACTIONABLE")))</x:f>
        <x:v>HELD — COVERAGE</x:v>
      </x:c>
      <x:c r="AC873" s="13" t="str">
        <x:f>IF(L873="UNRESOLVED","COVERAGE FIRST",IF(OR(L873="EXCLUDED",L873="OUT OF SCOPE"),"CLOSED BY COVERAGE",IF(AND(L873="COVERED",T873&lt;&gt;"UNRESOLVED"),"PARTIALLY ADOPTED","DECISIONS REMAIN")))</x:f>
        <x:v>COVERAGE FIRST</x:v>
      </x:c>
    </x:row>
    <x:row r="874">
      <x:c r="A874" s="13" t="str">
        <x:v>NAAFTC-HS6-200931</x:v>
      </x:c>
      <x:c r="B874" s="13" t="str">
        <x:v>200931</x:v>
      </x:c>
      <x:c r="C874" s="13" t="str">
        <x:v>20</x:v>
      </x:c>
      <x:c r="D874" s="13" t="str">
        <x:v>TRILATERAL_SPLIT_MERGE</x:v>
      </x:c>
      <x:c r="E874" s="13" t="str">
        <x:v>Pending</x:v>
      </x:c>
      <x:c r="F874" s="13" t="n">
        <x:v>8</x:v>
      </x:c>
      <x:c r="G874" s="13" t="n">
        <x:v>2</x:v>
      </x:c>
      <x:c r="H874" s="13" t="n">
        <x:v>1</x:v>
      </x:c>
      <x:c r="I874" s="13" t="str">
        <x:v>2009311020; 2009311040; 2009312020; 2009312040; 2009314000; 2009316020; +2 more</x:v>
      </x:c>
      <x:c r="J874" s="13" t="str">
        <x:v>2009310201; 2009310299</x:v>
      </x:c>
      <x:c r="K874" s="13" t="str">
        <x:v>20093100</x:v>
      </x:c>
      <x:c r="L874" s="13" t="str">
        <x:v>UNRESOLVED</x:v>
      </x:c>
      <x:c r="M874" s="13" t="str"/>
      <x:c r="N874" s="13" t="str">
        <x:v>NO / DEFAULT</x:v>
      </x:c>
      <x:c r="O874" s="13" t="str"/>
      <x:c r="P874" s="13" t="str">
        <x:v>NO / DEFAULT</x:v>
      </x:c>
      <x:c r="Q874" s="13" t="str"/>
      <x:c r="R874" s="13" t="str">
        <x:v>INDEPENDENT / DEFAULT</x:v>
      </x:c>
      <x:c r="S874" s="13" t="str"/>
      <x:c r="T874" s="13" t="str">
        <x:v>UNRESOLVED</x:v>
      </x:c>
      <x:c r="U874" s="13" t="str"/>
      <x:c r="V874" s="13" t="str"/>
      <x:c r="W874" s="13" t="str"/>
      <x:c r="X874" s="13" t="str">
        <x:f>IF(L874&lt;&gt;"COVERED","HELD — COVERAGE",IF(N874="YES — SENSITIVE","C ACTIONABLE","CHAPTER 5 DEFAULT"))</x:f>
        <x:v>HELD — COVERAGE</x:v>
      </x:c>
      <x:c r="Y874" s="13" t="str">
        <x:f>IF(L874&lt;&gt;"COVERED","HELD — COVERAGE",IF(P874="YES — MANAGED ACCESS","D ACTIONABLE","NO D FIELD"))</x:f>
        <x:v>HELD — COVERAGE</x:v>
      </x:c>
      <x:c r="Z874" s="13" t="str">
        <x:f>IF(L874&lt;&gt;"COVERED","HELD — COVERAGE",IF(OR(R874="PAIRED SYNCHRONIZED",R874="TRILATERAL SYNCHRONIZED"),"E ACTIONABLE","INDEPENDENT"))</x:f>
        <x:v>HELD — COVERAGE</x:v>
      </x:c>
      <x:c r="AA874" s="13" t="str">
        <x:f>IF(L874&lt;&gt;"COVERED","HELD — COVERAGE","WAIT FOR UPSTREAM COMPLETION")</x:f>
        <x:v>HELD — COVERAGE</x:v>
      </x:c>
      <x:c r="AB874" s="13" t="str">
        <x:f>IF(L874&lt;&gt;"COVERED","HELD — COVERAGE",IF(T874="UNRESOLVED","G DECISION REQUIRED",IF(T874="NOT APPLICABLE","G N/A","G ACTIONABLE")))</x:f>
        <x:v>HELD — COVERAGE</x:v>
      </x:c>
      <x:c r="AC874" s="13" t="str">
        <x:f>IF(L874="UNRESOLVED","COVERAGE FIRST",IF(OR(L874="EXCLUDED",L874="OUT OF SCOPE"),"CLOSED BY COVERAGE",IF(AND(L874="COVERED",T874&lt;&gt;"UNRESOLVED"),"PARTIALLY ADOPTED","DECISIONS REMAIN")))</x:f>
        <x:v>COVERAGE FIRST</x:v>
      </x:c>
    </x:row>
    <x:row r="875">
      <x:c r="A875" s="13" t="str">
        <x:v>NAAFTC-HS6-200939</x:v>
      </x:c>
      <x:c r="B875" s="13" t="str">
        <x:v>200939</x:v>
      </x:c>
      <x:c r="C875" s="13" t="str">
        <x:v>20</x:v>
      </x:c>
      <x:c r="D875" s="13" t="str">
        <x:v>TRILATERAL_SPLIT_MERGE</x:v>
      </x:c>
      <x:c r="E875" s="13" t="str">
        <x:v>Pending</x:v>
      </x:c>
      <x:c r="F875" s="13" t="n">
        <x:v>5</x:v>
      </x:c>
      <x:c r="G875" s="13" t="n">
        <x:v>2</x:v>
      </x:c>
      <x:c r="H875" s="13" t="n">
        <x:v>1</x:v>
      </x:c>
      <x:c r="I875" s="13" t="str">
        <x:v>2009391000; 2009392000; 2009396020; 2009396040; 2009396060</x:v>
      </x:c>
      <x:c r="J875" s="13" t="str">
        <x:v>2009399901; 2009399999</x:v>
      </x:c>
      <x:c r="K875" s="13" t="str">
        <x:v>20093900</x:v>
      </x:c>
      <x:c r="L875" s="13" t="str">
        <x:v>UNRESOLVED</x:v>
      </x:c>
      <x:c r="M875" s="13" t="str"/>
      <x:c r="N875" s="13" t="str">
        <x:v>NO / DEFAULT</x:v>
      </x:c>
      <x:c r="O875" s="13" t="str"/>
      <x:c r="P875" s="13" t="str">
        <x:v>NO / DEFAULT</x:v>
      </x:c>
      <x:c r="Q875" s="13" t="str"/>
      <x:c r="R875" s="13" t="str">
        <x:v>INDEPENDENT / DEFAULT</x:v>
      </x:c>
      <x:c r="S875" s="13" t="str"/>
      <x:c r="T875" s="13" t="str">
        <x:v>UNRESOLVED</x:v>
      </x:c>
      <x:c r="U875" s="13" t="str"/>
      <x:c r="V875" s="13" t="str"/>
      <x:c r="W875" s="13" t="str"/>
      <x:c r="X875" s="13" t="str">
        <x:f>IF(L875&lt;&gt;"COVERED","HELD — COVERAGE",IF(N875="YES — SENSITIVE","C ACTIONABLE","CHAPTER 5 DEFAULT"))</x:f>
        <x:v>HELD — COVERAGE</x:v>
      </x:c>
      <x:c r="Y875" s="13" t="str">
        <x:f>IF(L875&lt;&gt;"COVERED","HELD — COVERAGE",IF(P875="YES — MANAGED ACCESS","D ACTIONABLE","NO D FIELD"))</x:f>
        <x:v>HELD — COVERAGE</x:v>
      </x:c>
      <x:c r="Z875" s="13" t="str">
        <x:f>IF(L875&lt;&gt;"COVERED","HELD — COVERAGE",IF(OR(R875="PAIRED SYNCHRONIZED",R875="TRILATERAL SYNCHRONIZED"),"E ACTIONABLE","INDEPENDENT"))</x:f>
        <x:v>HELD — COVERAGE</x:v>
      </x:c>
      <x:c r="AA875" s="13" t="str">
        <x:f>IF(L875&lt;&gt;"COVERED","HELD — COVERAGE","WAIT FOR UPSTREAM COMPLETION")</x:f>
        <x:v>HELD — COVERAGE</x:v>
      </x:c>
      <x:c r="AB875" s="13" t="str">
        <x:f>IF(L875&lt;&gt;"COVERED","HELD — COVERAGE",IF(T875="UNRESOLVED","G DECISION REQUIRED",IF(T875="NOT APPLICABLE","G N/A","G ACTIONABLE")))</x:f>
        <x:v>HELD — COVERAGE</x:v>
      </x:c>
      <x:c r="AC875" s="13" t="str">
        <x:f>IF(L875="UNRESOLVED","COVERAGE FIRST",IF(OR(L875="EXCLUDED",L875="OUT OF SCOPE"),"CLOSED BY COVERAGE",IF(AND(L875="COVERED",T875&lt;&gt;"UNRESOLVED"),"PARTIALLY ADOPTED","DECISIONS REMAIN")))</x:f>
        <x:v>COVERAGE FIRST</x:v>
      </x:c>
    </x:row>
    <x:row r="876">
      <x:c r="A876" s="13" t="str">
        <x:v>NAAFTC-HS6-200941</x:v>
      </x:c>
      <x:c r="B876" s="13" t="str">
        <x:v>200941</x:v>
      </x:c>
      <x:c r="C876" s="13" t="str">
        <x:v>20</x:v>
      </x:c>
      <x:c r="D876" s="13" t="str">
        <x:v>TRILATERAL_SPLIT_MERGE</x:v>
      </x:c>
      <x:c r="E876" s="13" t="str">
        <x:v>Pending</x:v>
      </x:c>
      <x:c r="F876" s="13" t="n">
        <x:v>3</x:v>
      </x:c>
      <x:c r="G876" s="13" t="n">
        <x:v>2</x:v>
      </x:c>
      <x:c r="H876" s="13" t="n">
        <x:v>1</x:v>
      </x:c>
      <x:c r="I876" s="13" t="str">
        <x:v>2009412000; 2009414020; 2009414040</x:v>
      </x:c>
      <x:c r="J876" s="13" t="str">
        <x:v>2009410201; 2009410299</x:v>
      </x:c>
      <x:c r="K876" s="13" t="str">
        <x:v>2009410000</x:v>
      </x:c>
      <x:c r="L876" s="13" t="str">
        <x:v>UNRESOLVED</x:v>
      </x:c>
      <x:c r="M876" s="13" t="str"/>
      <x:c r="N876" s="13" t="str">
        <x:v>NO / DEFAULT</x:v>
      </x:c>
      <x:c r="O876" s="13" t="str"/>
      <x:c r="P876" s="13" t="str">
        <x:v>NO / DEFAULT</x:v>
      </x:c>
      <x:c r="Q876" s="13" t="str"/>
      <x:c r="R876" s="13" t="str">
        <x:v>INDEPENDENT / DEFAULT</x:v>
      </x:c>
      <x:c r="S876" s="13" t="str"/>
      <x:c r="T876" s="13" t="str">
        <x:v>UNRESOLVED</x:v>
      </x:c>
      <x:c r="U876" s="13" t="str"/>
      <x:c r="V876" s="13" t="str"/>
      <x:c r="W876" s="13" t="str"/>
      <x:c r="X876" s="13" t="str">
        <x:f>IF(L876&lt;&gt;"COVERED","HELD — COVERAGE",IF(N876="YES — SENSITIVE","C ACTIONABLE","CHAPTER 5 DEFAULT"))</x:f>
        <x:v>HELD — COVERAGE</x:v>
      </x:c>
      <x:c r="Y876" s="13" t="str">
        <x:f>IF(L876&lt;&gt;"COVERED","HELD — COVERAGE",IF(P876="YES — MANAGED ACCESS","D ACTIONABLE","NO D FIELD"))</x:f>
        <x:v>HELD — COVERAGE</x:v>
      </x:c>
      <x:c r="Z876" s="13" t="str">
        <x:f>IF(L876&lt;&gt;"COVERED","HELD — COVERAGE",IF(OR(R876="PAIRED SYNCHRONIZED",R876="TRILATERAL SYNCHRONIZED"),"E ACTIONABLE","INDEPENDENT"))</x:f>
        <x:v>HELD — COVERAGE</x:v>
      </x:c>
      <x:c r="AA876" s="13" t="str">
        <x:f>IF(L876&lt;&gt;"COVERED","HELD — COVERAGE","WAIT FOR UPSTREAM COMPLETION")</x:f>
        <x:v>HELD — COVERAGE</x:v>
      </x:c>
      <x:c r="AB876" s="13" t="str">
        <x:f>IF(L876&lt;&gt;"COVERED","HELD — COVERAGE",IF(T876="UNRESOLVED","G DECISION REQUIRED",IF(T876="NOT APPLICABLE","G N/A","G ACTIONABLE")))</x:f>
        <x:v>HELD — COVERAGE</x:v>
      </x:c>
      <x:c r="AC876" s="13" t="str">
        <x:f>IF(L876="UNRESOLVED","COVERAGE FIRST",IF(OR(L876="EXCLUDED",L876="OUT OF SCOPE"),"CLOSED BY COVERAGE",IF(AND(L876="COVERED",T876&lt;&gt;"UNRESOLVED"),"PARTIALLY ADOPTED","DECISIONS REMAIN")))</x:f>
        <x:v>COVERAGE FIRST</x:v>
      </x:c>
    </x:row>
    <x:row r="877">
      <x:c r="A877" s="13" t="str">
        <x:v>NAAFTC-HS6-200949</x:v>
      </x:c>
      <x:c r="B877" s="13" t="str">
        <x:v>200949</x:v>
      </x:c>
      <x:c r="C877" s="13" t="str">
        <x:v>20</x:v>
      </x:c>
      <x:c r="D877" s="13" t="str">
        <x:v>TRILATERAL_SPLIT_MERGE</x:v>
      </x:c>
      <x:c r="E877" s="13" t="str">
        <x:v>Pending</x:v>
      </x:c>
      <x:c r="F877" s="13" t="n">
        <x:v>3</x:v>
      </x:c>
      <x:c r="G877" s="13" t="n">
        <x:v>1</x:v>
      </x:c>
      <x:c r="H877" s="13" t="n">
        <x:v>1</x:v>
      </x:c>
      <x:c r="I877" s="13" t="str">
        <x:v>2009492000; 2009494020; 2009494040</x:v>
      </x:c>
      <x:c r="J877" s="13" t="str">
        <x:v>2009499900</x:v>
      </x:c>
      <x:c r="K877" s="13" t="str">
        <x:v>2009490000</x:v>
      </x:c>
      <x:c r="L877" s="13" t="str">
        <x:v>UNRESOLVED</x:v>
      </x:c>
      <x:c r="M877" s="13" t="str"/>
      <x:c r="N877" s="13" t="str">
        <x:v>NO / DEFAULT</x:v>
      </x:c>
      <x:c r="O877" s="13" t="str"/>
      <x:c r="P877" s="13" t="str">
        <x:v>NO / DEFAULT</x:v>
      </x:c>
      <x:c r="Q877" s="13" t="str"/>
      <x:c r="R877" s="13" t="str">
        <x:v>INDEPENDENT / DEFAULT</x:v>
      </x:c>
      <x:c r="S877" s="13" t="str"/>
      <x:c r="T877" s="13" t="str">
        <x:v>UNRESOLVED</x:v>
      </x:c>
      <x:c r="U877" s="13" t="str"/>
      <x:c r="V877" s="13" t="str"/>
      <x:c r="W877" s="13" t="str"/>
      <x:c r="X877" s="13" t="str">
        <x:f>IF(L877&lt;&gt;"COVERED","HELD — COVERAGE",IF(N877="YES — SENSITIVE","C ACTIONABLE","CHAPTER 5 DEFAULT"))</x:f>
        <x:v>HELD — COVERAGE</x:v>
      </x:c>
      <x:c r="Y877" s="13" t="str">
        <x:f>IF(L877&lt;&gt;"COVERED","HELD — COVERAGE",IF(P877="YES — MANAGED ACCESS","D ACTIONABLE","NO D FIELD"))</x:f>
        <x:v>HELD — COVERAGE</x:v>
      </x:c>
      <x:c r="Z877" s="13" t="str">
        <x:f>IF(L877&lt;&gt;"COVERED","HELD — COVERAGE",IF(OR(R877="PAIRED SYNCHRONIZED",R877="TRILATERAL SYNCHRONIZED"),"E ACTIONABLE","INDEPENDENT"))</x:f>
        <x:v>HELD — COVERAGE</x:v>
      </x:c>
      <x:c r="AA877" s="13" t="str">
        <x:f>IF(L877&lt;&gt;"COVERED","HELD — COVERAGE","WAIT FOR UPSTREAM COMPLETION")</x:f>
        <x:v>HELD — COVERAGE</x:v>
      </x:c>
      <x:c r="AB877" s="13" t="str">
        <x:f>IF(L877&lt;&gt;"COVERED","HELD — COVERAGE",IF(T877="UNRESOLVED","G DECISION REQUIRED",IF(T877="NOT APPLICABLE","G N/A","G ACTIONABLE")))</x:f>
        <x:v>HELD — COVERAGE</x:v>
      </x:c>
      <x:c r="AC877" s="13" t="str">
        <x:f>IF(L877="UNRESOLVED","COVERAGE FIRST",IF(OR(L877="EXCLUDED",L877="OUT OF SCOPE"),"CLOSED BY COVERAGE",IF(AND(L877="COVERED",T877&lt;&gt;"UNRESOLVED"),"PARTIALLY ADOPTED","DECISIONS REMAIN")))</x:f>
        <x:v>COVERAGE FIRST</x:v>
      </x:c>
    </x:row>
    <x:row r="878">
      <x:c r="A878" s="13" t="str">
        <x:v>NAAFTC-HS6-200950</x:v>
      </x:c>
      <x:c r="B878" s="13" t="str">
        <x:v>200950</x:v>
      </x:c>
      <x:c r="C878" s="13" t="str">
        <x:v>20</x:v>
      </x:c>
      <x:c r="D878" s="13" t="str">
        <x:v>TRILATERAL_SPLIT_MERGE</x:v>
      </x:c>
      <x:c r="E878" s="13" t="str">
        <x:v>Pending</x:v>
      </x:c>
      <x:c r="F878" s="13" t="n">
        <x:v>2</x:v>
      </x:c>
      <x:c r="G878" s="13" t="n">
        <x:v>1</x:v>
      </x:c>
      <x:c r="H878" s="13" t="n">
        <x:v>1</x:v>
      </x:c>
      <x:c r="I878" s="13" t="str">
        <x:v>2009500010; 2009500090</x:v>
      </x:c>
      <x:c r="J878" s="13" t="str">
        <x:v>2009500100</x:v>
      </x:c>
      <x:c r="K878" s="13" t="str">
        <x:v>2009500000</x:v>
      </x:c>
      <x:c r="L878" s="13" t="str">
        <x:v>UNRESOLVED</x:v>
      </x:c>
      <x:c r="M878" s="13" t="str"/>
      <x:c r="N878" s="13" t="str">
        <x:v>NO / DEFAULT</x:v>
      </x:c>
      <x:c r="O878" s="13" t="str"/>
      <x:c r="P878" s="13" t="str">
        <x:v>NO / DEFAULT</x:v>
      </x:c>
      <x:c r="Q878" s="13" t="str"/>
      <x:c r="R878" s="13" t="str">
        <x:v>INDEPENDENT / DEFAULT</x:v>
      </x:c>
      <x:c r="S878" s="13" t="str"/>
      <x:c r="T878" s="13" t="str">
        <x:v>UNRESOLVED</x:v>
      </x:c>
      <x:c r="U878" s="13" t="str"/>
      <x:c r="V878" s="13" t="str"/>
      <x:c r="W878" s="13" t="str"/>
      <x:c r="X878" s="13" t="str">
        <x:f>IF(L878&lt;&gt;"COVERED","HELD — COVERAGE",IF(N878="YES — SENSITIVE","C ACTIONABLE","CHAPTER 5 DEFAULT"))</x:f>
        <x:v>HELD — COVERAGE</x:v>
      </x:c>
      <x:c r="Y878" s="13" t="str">
        <x:f>IF(L878&lt;&gt;"COVERED","HELD — COVERAGE",IF(P878="YES — MANAGED ACCESS","D ACTIONABLE","NO D FIELD"))</x:f>
        <x:v>HELD — COVERAGE</x:v>
      </x:c>
      <x:c r="Z878" s="13" t="str">
        <x:f>IF(L878&lt;&gt;"COVERED","HELD — COVERAGE",IF(OR(R878="PAIRED SYNCHRONIZED",R878="TRILATERAL SYNCHRONIZED"),"E ACTIONABLE","INDEPENDENT"))</x:f>
        <x:v>HELD — COVERAGE</x:v>
      </x:c>
      <x:c r="AA878" s="13" t="str">
        <x:f>IF(L878&lt;&gt;"COVERED","HELD — COVERAGE","WAIT FOR UPSTREAM COMPLETION")</x:f>
        <x:v>HELD — COVERAGE</x:v>
      </x:c>
      <x:c r="AB878" s="13" t="str">
        <x:f>IF(L878&lt;&gt;"COVERED","HELD — COVERAGE",IF(T878="UNRESOLVED","G DECISION REQUIRED",IF(T878="NOT APPLICABLE","G N/A","G ACTIONABLE")))</x:f>
        <x:v>HELD — COVERAGE</x:v>
      </x:c>
      <x:c r="AC878" s="13" t="str">
        <x:f>IF(L878="UNRESOLVED","COVERAGE FIRST",IF(OR(L878="EXCLUDED",L878="OUT OF SCOPE"),"CLOSED BY COVERAGE",IF(AND(L878="COVERED",T878&lt;&gt;"UNRESOLVED"),"PARTIALLY ADOPTED","DECISIONS REMAIN")))</x:f>
        <x:v>COVERAGE FIRST</x:v>
      </x:c>
    </x:row>
    <x:row r="879">
      <x:c r="A879" s="13" t="str">
        <x:v>NAAFTC-HS6-200961</x:v>
      </x:c>
      <x:c r="B879" s="13" t="str">
        <x:v>200961</x:v>
      </x:c>
      <x:c r="C879" s="13" t="str">
        <x:v>20</x:v>
      </x:c>
      <x:c r="D879" s="13" t="str">
        <x:v>TRILATERAL_SPLIT_MERGE</x:v>
      </x:c>
      <x:c r="E879" s="13" t="str">
        <x:v>Pending</x:v>
      </x:c>
      <x:c r="F879" s="13" t="n">
        <x:v>3</x:v>
      </x:c>
      <x:c r="G879" s="13" t="n">
        <x:v>1</x:v>
      </x:c>
      <x:c r="H879" s="13" t="n">
        <x:v>2</x:v>
      </x:c>
      <x:c r="I879" s="13" t="str">
        <x:v>2009610020; 2009610040; 2009610060</x:v>
      </x:c>
      <x:c r="J879" s="13" t="str">
        <x:v>2009610100</x:v>
      </x:c>
      <x:c r="K879" s="13" t="str">
        <x:v>2009611000; 2009619000</x:v>
      </x:c>
      <x:c r="L879" s="13" t="str">
        <x:v>UNRESOLVED</x:v>
      </x:c>
      <x:c r="M879" s="13" t="str"/>
      <x:c r="N879" s="13" t="str">
        <x:v>NO / DEFAULT</x:v>
      </x:c>
      <x:c r="O879" s="13" t="str"/>
      <x:c r="P879" s="13" t="str">
        <x:v>NO / DEFAULT</x:v>
      </x:c>
      <x:c r="Q879" s="13" t="str"/>
      <x:c r="R879" s="13" t="str">
        <x:v>INDEPENDENT / DEFAULT</x:v>
      </x:c>
      <x:c r="S879" s="13" t="str"/>
      <x:c r="T879" s="13" t="str">
        <x:v>UNRESOLVED</x:v>
      </x:c>
      <x:c r="U879" s="13" t="str"/>
      <x:c r="V879" s="13" t="str"/>
      <x:c r="W879" s="13" t="str"/>
      <x:c r="X879" s="13" t="str">
        <x:f>IF(L879&lt;&gt;"COVERED","HELD — COVERAGE",IF(N879="YES — SENSITIVE","C ACTIONABLE","CHAPTER 5 DEFAULT"))</x:f>
        <x:v>HELD — COVERAGE</x:v>
      </x:c>
      <x:c r="Y879" s="13" t="str">
        <x:f>IF(L879&lt;&gt;"COVERED","HELD — COVERAGE",IF(P879="YES — MANAGED ACCESS","D ACTIONABLE","NO D FIELD"))</x:f>
        <x:v>HELD — COVERAGE</x:v>
      </x:c>
      <x:c r="Z879" s="13" t="str">
        <x:f>IF(L879&lt;&gt;"COVERED","HELD — COVERAGE",IF(OR(R879="PAIRED SYNCHRONIZED",R879="TRILATERAL SYNCHRONIZED"),"E ACTIONABLE","INDEPENDENT"))</x:f>
        <x:v>HELD — COVERAGE</x:v>
      </x:c>
      <x:c r="AA879" s="13" t="str">
        <x:f>IF(L879&lt;&gt;"COVERED","HELD — COVERAGE","WAIT FOR UPSTREAM COMPLETION")</x:f>
        <x:v>HELD — COVERAGE</x:v>
      </x:c>
      <x:c r="AB879" s="13" t="str">
        <x:f>IF(L879&lt;&gt;"COVERED","HELD — COVERAGE",IF(T879="UNRESOLVED","G DECISION REQUIRED",IF(T879="NOT APPLICABLE","G N/A","G ACTIONABLE")))</x:f>
        <x:v>HELD — COVERAGE</x:v>
      </x:c>
      <x:c r="AC879" s="13" t="str">
        <x:f>IF(L879="UNRESOLVED","COVERAGE FIRST",IF(OR(L879="EXCLUDED",L879="OUT OF SCOPE"),"CLOSED BY COVERAGE",IF(AND(L879="COVERED",T879&lt;&gt;"UNRESOLVED"),"PARTIALLY ADOPTED","DECISIONS REMAIN")))</x:f>
        <x:v>COVERAGE FIRST</x:v>
      </x:c>
    </x:row>
    <x:row r="880">
      <x:c r="A880" s="13" t="str">
        <x:v>NAAFTC-HS6-200969</x:v>
      </x:c>
      <x:c r="B880" s="13" t="str">
        <x:v>200969</x:v>
      </x:c>
      <x:c r="C880" s="13" t="str">
        <x:v>20</x:v>
      </x:c>
      <x:c r="D880" s="13" t="str">
        <x:v>TRILATERAL_SPLIT_MERGE</x:v>
      </x:c>
      <x:c r="E880" s="13" t="str">
        <x:v>Pending</x:v>
      </x:c>
      <x:c r="F880" s="13" t="n">
        <x:v>2</x:v>
      </x:c>
      <x:c r="G880" s="13" t="n">
        <x:v>1</x:v>
      </x:c>
      <x:c r="H880" s="13" t="n">
        <x:v>2</x:v>
      </x:c>
      <x:c r="I880" s="13" t="str">
        <x:v>2009690040; 2009690060</x:v>
      </x:c>
      <x:c r="J880" s="13" t="str">
        <x:v>2009699900</x:v>
      </x:c>
      <x:c r="K880" s="13" t="str">
        <x:v>20096910; 2009699000</x:v>
      </x:c>
      <x:c r="L880" s="13" t="str">
        <x:v>UNRESOLVED</x:v>
      </x:c>
      <x:c r="M880" s="13" t="str"/>
      <x:c r="N880" s="13" t="str">
        <x:v>NO / DEFAULT</x:v>
      </x:c>
      <x:c r="O880" s="13" t="str"/>
      <x:c r="P880" s="13" t="str">
        <x:v>NO / DEFAULT</x:v>
      </x:c>
      <x:c r="Q880" s="13" t="str"/>
      <x:c r="R880" s="13" t="str">
        <x:v>INDEPENDENT / DEFAULT</x:v>
      </x:c>
      <x:c r="S880" s="13" t="str"/>
      <x:c r="T880" s="13" t="str">
        <x:v>UNRESOLVED</x:v>
      </x:c>
      <x:c r="U880" s="13" t="str"/>
      <x:c r="V880" s="13" t="str"/>
      <x:c r="W880" s="13" t="str"/>
      <x:c r="X880" s="13" t="str">
        <x:f>IF(L880&lt;&gt;"COVERED","HELD — COVERAGE",IF(N880="YES — SENSITIVE","C ACTIONABLE","CHAPTER 5 DEFAULT"))</x:f>
        <x:v>HELD — COVERAGE</x:v>
      </x:c>
      <x:c r="Y880" s="13" t="str">
        <x:f>IF(L880&lt;&gt;"COVERED","HELD — COVERAGE",IF(P880="YES — MANAGED ACCESS","D ACTIONABLE","NO D FIELD"))</x:f>
        <x:v>HELD — COVERAGE</x:v>
      </x:c>
      <x:c r="Z880" s="13" t="str">
        <x:f>IF(L880&lt;&gt;"COVERED","HELD — COVERAGE",IF(OR(R880="PAIRED SYNCHRONIZED",R880="TRILATERAL SYNCHRONIZED"),"E ACTIONABLE","INDEPENDENT"))</x:f>
        <x:v>HELD — COVERAGE</x:v>
      </x:c>
      <x:c r="AA880" s="13" t="str">
        <x:f>IF(L880&lt;&gt;"COVERED","HELD — COVERAGE","WAIT FOR UPSTREAM COMPLETION")</x:f>
        <x:v>HELD — COVERAGE</x:v>
      </x:c>
      <x:c r="AB880" s="13" t="str">
        <x:f>IF(L880&lt;&gt;"COVERED","HELD — COVERAGE",IF(T880="UNRESOLVED","G DECISION REQUIRED",IF(T880="NOT APPLICABLE","G N/A","G ACTIONABLE")))</x:f>
        <x:v>HELD — COVERAGE</x:v>
      </x:c>
      <x:c r="AC880" s="13" t="str">
        <x:f>IF(L880="UNRESOLVED","COVERAGE FIRST",IF(OR(L880="EXCLUDED",L880="OUT OF SCOPE"),"CLOSED BY COVERAGE",IF(AND(L880="COVERED",T880&lt;&gt;"UNRESOLVED"),"PARTIALLY ADOPTED","DECISIONS REMAIN")))</x:f>
        <x:v>COVERAGE FIRST</x:v>
      </x:c>
    </x:row>
    <x:row r="881">
      <x:c r="A881" s="13" t="str">
        <x:v>NAAFTC-HS6-200971</x:v>
      </x:c>
      <x:c r="B881" s="13" t="str">
        <x:v>200971</x:v>
      </x:c>
      <x:c r="C881" s="13" t="str">
        <x:v>20</x:v>
      </x:c>
      <x:c r="D881" s="13" t="str">
        <x:v>TRILATERAL_SPLIT_MERGE</x:v>
      </x:c>
      <x:c r="E881" s="13" t="str">
        <x:v>Pending</x:v>
      </x:c>
      <x:c r="F881" s="13" t="n">
        <x:v>1</x:v>
      </x:c>
      <x:c r="G881" s="13" t="n">
        <x:v>1</x:v>
      </x:c>
      <x:c r="H881" s="13" t="n">
        <x:v>2</x:v>
      </x:c>
      <x:c r="I881" s="13" t="str">
        <x:v>2009710000</x:v>
      </x:c>
      <x:c r="J881" s="13" t="str">
        <x:v>2009710100</x:v>
      </x:c>
      <x:c r="K881" s="13" t="str">
        <x:v>2009711000; 2009719000</x:v>
      </x:c>
      <x:c r="L881" s="13" t="str">
        <x:v>UNRESOLVED</x:v>
      </x:c>
      <x:c r="M881" s="13" t="str"/>
      <x:c r="N881" s="13" t="str">
        <x:v>NO / DEFAULT</x:v>
      </x:c>
      <x:c r="O881" s="13" t="str"/>
      <x:c r="P881" s="13" t="str">
        <x:v>NO / DEFAULT</x:v>
      </x:c>
      <x:c r="Q881" s="13" t="str"/>
      <x:c r="R881" s="13" t="str">
        <x:v>INDEPENDENT / DEFAULT</x:v>
      </x:c>
      <x:c r="S881" s="13" t="str"/>
      <x:c r="T881" s="13" t="str">
        <x:v>UNRESOLVED</x:v>
      </x:c>
      <x:c r="U881" s="13" t="str"/>
      <x:c r="V881" s="13" t="str"/>
      <x:c r="W881" s="13" t="str"/>
      <x:c r="X881" s="13" t="str">
        <x:f>IF(L881&lt;&gt;"COVERED","HELD — COVERAGE",IF(N881="YES — SENSITIVE","C ACTIONABLE","CHAPTER 5 DEFAULT"))</x:f>
        <x:v>HELD — COVERAGE</x:v>
      </x:c>
      <x:c r="Y881" s="13" t="str">
        <x:f>IF(L881&lt;&gt;"COVERED","HELD — COVERAGE",IF(P881="YES — MANAGED ACCESS","D ACTIONABLE","NO D FIELD"))</x:f>
        <x:v>HELD — COVERAGE</x:v>
      </x:c>
      <x:c r="Z881" s="13" t="str">
        <x:f>IF(L881&lt;&gt;"COVERED","HELD — COVERAGE",IF(OR(R881="PAIRED SYNCHRONIZED",R881="TRILATERAL SYNCHRONIZED"),"E ACTIONABLE","INDEPENDENT"))</x:f>
        <x:v>HELD — COVERAGE</x:v>
      </x:c>
      <x:c r="AA881" s="13" t="str">
        <x:f>IF(L881&lt;&gt;"COVERED","HELD — COVERAGE","WAIT FOR UPSTREAM COMPLETION")</x:f>
        <x:v>HELD — COVERAGE</x:v>
      </x:c>
      <x:c r="AB881" s="13" t="str">
        <x:f>IF(L881&lt;&gt;"COVERED","HELD — COVERAGE",IF(T881="UNRESOLVED","G DECISION REQUIRED",IF(T881="NOT APPLICABLE","G N/A","G ACTIONABLE")))</x:f>
        <x:v>HELD — COVERAGE</x:v>
      </x:c>
      <x:c r="AC881" s="13" t="str">
        <x:f>IF(L881="UNRESOLVED","COVERAGE FIRST",IF(OR(L881="EXCLUDED",L881="OUT OF SCOPE"),"CLOSED BY COVERAGE",IF(AND(L881="COVERED",T881&lt;&gt;"UNRESOLVED"),"PARTIALLY ADOPTED","DECISIONS REMAIN")))</x:f>
        <x:v>COVERAGE FIRST</x:v>
      </x:c>
    </x:row>
    <x:row r="882">
      <x:c r="A882" s="13" t="str">
        <x:v>NAAFTC-HS6-200979</x:v>
      </x:c>
      <x:c r="B882" s="13" t="str">
        <x:v>200979</x:v>
      </x:c>
      <x:c r="C882" s="13" t="str">
        <x:v>20</x:v>
      </x:c>
      <x:c r="D882" s="13" t="str">
        <x:v>TRILATERAL_SPLIT_MERGE</x:v>
      </x:c>
      <x:c r="E882" s="13" t="str">
        <x:v>Pending</x:v>
      </x:c>
      <x:c r="F882" s="13" t="n">
        <x:v>4</x:v>
      </x:c>
      <x:c r="G882" s="13" t="n">
        <x:v>1</x:v>
      </x:c>
      <x:c r="H882" s="13" t="n">
        <x:v>3</x:v>
      </x:c>
      <x:c r="I882" s="13" t="str">
        <x:v>2009790015; 2009790017; 2009790040; 2009790060</x:v>
      </x:c>
      <x:c r="J882" s="13" t="str">
        <x:v>2009799900</x:v>
      </x:c>
      <x:c r="K882" s="13" t="str">
        <x:v>20097911; 2009791900; 2009799000</x:v>
      </x:c>
      <x:c r="L882" s="13" t="str">
        <x:v>UNRESOLVED</x:v>
      </x:c>
      <x:c r="M882" s="13" t="str"/>
      <x:c r="N882" s="13" t="str">
        <x:v>NO / DEFAULT</x:v>
      </x:c>
      <x:c r="O882" s="13" t="str"/>
      <x:c r="P882" s="13" t="str">
        <x:v>NO / DEFAULT</x:v>
      </x:c>
      <x:c r="Q882" s="13" t="str"/>
      <x:c r="R882" s="13" t="str">
        <x:v>INDEPENDENT / DEFAULT</x:v>
      </x:c>
      <x:c r="S882" s="13" t="str"/>
      <x:c r="T882" s="13" t="str">
        <x:v>UNRESOLVED</x:v>
      </x:c>
      <x:c r="U882" s="13" t="str"/>
      <x:c r="V882" s="13" t="str"/>
      <x:c r="W882" s="13" t="str"/>
      <x:c r="X882" s="13" t="str">
        <x:f>IF(L882&lt;&gt;"COVERED","HELD — COVERAGE",IF(N882="YES — SENSITIVE","C ACTIONABLE","CHAPTER 5 DEFAULT"))</x:f>
        <x:v>HELD — COVERAGE</x:v>
      </x:c>
      <x:c r="Y882" s="13" t="str">
        <x:f>IF(L882&lt;&gt;"COVERED","HELD — COVERAGE",IF(P882="YES — MANAGED ACCESS","D ACTIONABLE","NO D FIELD"))</x:f>
        <x:v>HELD — COVERAGE</x:v>
      </x:c>
      <x:c r="Z882" s="13" t="str">
        <x:f>IF(L882&lt;&gt;"COVERED","HELD — COVERAGE",IF(OR(R882="PAIRED SYNCHRONIZED",R882="TRILATERAL SYNCHRONIZED"),"E ACTIONABLE","INDEPENDENT"))</x:f>
        <x:v>HELD — COVERAGE</x:v>
      </x:c>
      <x:c r="AA882" s="13" t="str">
        <x:f>IF(L882&lt;&gt;"COVERED","HELD — COVERAGE","WAIT FOR UPSTREAM COMPLETION")</x:f>
        <x:v>HELD — COVERAGE</x:v>
      </x:c>
      <x:c r="AB882" s="13" t="str">
        <x:f>IF(L882&lt;&gt;"COVERED","HELD — COVERAGE",IF(T882="UNRESOLVED","G DECISION REQUIRED",IF(T882="NOT APPLICABLE","G N/A","G ACTIONABLE")))</x:f>
        <x:v>HELD — COVERAGE</x:v>
      </x:c>
      <x:c r="AC882" s="13" t="str">
        <x:f>IF(L882="UNRESOLVED","COVERAGE FIRST",IF(OR(L882="EXCLUDED",L882="OUT OF SCOPE"),"CLOSED BY COVERAGE",IF(AND(L882="COVERED",T882&lt;&gt;"UNRESOLVED"),"PARTIALLY ADOPTED","DECISIONS REMAIN")))</x:f>
        <x:v>COVERAGE FIRST</x:v>
      </x:c>
    </x:row>
    <x:row r="883">
      <x:c r="A883" s="13" t="str">
        <x:v>NAAFTC-HS6-200981</x:v>
      </x:c>
      <x:c r="B883" s="13" t="str">
        <x:v>200981</x:v>
      </x:c>
      <x:c r="C883" s="13" t="str">
        <x:v>20</x:v>
      </x:c>
      <x:c r="D883" s="13" t="str">
        <x:v>TRILATERAL_1_TO_1_TO_1</x:v>
      </x:c>
      <x:c r="E883" s="13" t="str">
        <x:v>Pending</x:v>
      </x:c>
      <x:c r="F883" s="13" t="n">
        <x:v>1</x:v>
      </x:c>
      <x:c r="G883" s="13" t="n">
        <x:v>1</x:v>
      </x:c>
      <x:c r="H883" s="13" t="n">
        <x:v>1</x:v>
      </x:c>
      <x:c r="I883" s="13" t="str">
        <x:v>2009810000</x:v>
      </x:c>
      <x:c r="J883" s="13" t="str">
        <x:v>2009810100</x:v>
      </x:c>
      <x:c r="K883" s="13" t="str">
        <x:v>2009810000</x:v>
      </x:c>
      <x:c r="L883" s="13" t="str">
        <x:v>UNRESOLVED</x:v>
      </x:c>
      <x:c r="M883" s="13" t="str"/>
      <x:c r="N883" s="13" t="str">
        <x:v>NO / DEFAULT</x:v>
      </x:c>
      <x:c r="O883" s="13" t="str"/>
      <x:c r="P883" s="13" t="str">
        <x:v>NO / DEFAULT</x:v>
      </x:c>
      <x:c r="Q883" s="13" t="str"/>
      <x:c r="R883" s="13" t="str">
        <x:v>INDEPENDENT / DEFAULT</x:v>
      </x:c>
      <x:c r="S883" s="13" t="str"/>
      <x:c r="T883" s="13" t="str">
        <x:v>UNRESOLVED</x:v>
      </x:c>
      <x:c r="U883" s="13" t="str"/>
      <x:c r="V883" s="13" t="str"/>
      <x:c r="W883" s="13" t="str"/>
      <x:c r="X883" s="13" t="str">
        <x:f>IF(L883&lt;&gt;"COVERED","HELD — COVERAGE",IF(N883="YES — SENSITIVE","C ACTIONABLE","CHAPTER 5 DEFAULT"))</x:f>
        <x:v>HELD — COVERAGE</x:v>
      </x:c>
      <x:c r="Y883" s="13" t="str">
        <x:f>IF(L883&lt;&gt;"COVERED","HELD — COVERAGE",IF(P883="YES — MANAGED ACCESS","D ACTIONABLE","NO D FIELD"))</x:f>
        <x:v>HELD — COVERAGE</x:v>
      </x:c>
      <x:c r="Z883" s="13" t="str">
        <x:f>IF(L883&lt;&gt;"COVERED","HELD — COVERAGE",IF(OR(R883="PAIRED SYNCHRONIZED",R883="TRILATERAL SYNCHRONIZED"),"E ACTIONABLE","INDEPENDENT"))</x:f>
        <x:v>HELD — COVERAGE</x:v>
      </x:c>
      <x:c r="AA883" s="13" t="str">
        <x:f>IF(L883&lt;&gt;"COVERED","HELD — COVERAGE","WAIT FOR UPSTREAM COMPLETION")</x:f>
        <x:v>HELD — COVERAGE</x:v>
      </x:c>
      <x:c r="AB883" s="13" t="str">
        <x:f>IF(L883&lt;&gt;"COVERED","HELD — COVERAGE",IF(T883="UNRESOLVED","G DECISION REQUIRED",IF(T883="NOT APPLICABLE","G N/A","G ACTIONABLE")))</x:f>
        <x:v>HELD — COVERAGE</x:v>
      </x:c>
      <x:c r="AC883" s="13" t="str">
        <x:f>IF(L883="UNRESOLVED","COVERAGE FIRST",IF(OR(L883="EXCLUDED",L883="OUT OF SCOPE"),"CLOSED BY COVERAGE",IF(AND(L883="COVERED",T883&lt;&gt;"UNRESOLVED"),"PARTIALLY ADOPTED","DECISIONS REMAIN")))</x:f>
        <x:v>COVERAGE FIRST</x:v>
      </x:c>
    </x:row>
    <x:row r="884">
      <x:c r="A884" s="13" t="str">
        <x:v>NAAFTC-HS6-200989</x:v>
      </x:c>
      <x:c r="B884" s="13" t="str">
        <x:v>200989</x:v>
      </x:c>
      <x:c r="C884" s="13" t="str">
        <x:v>20</x:v>
      </x:c>
      <x:c r="D884" s="13" t="str">
        <x:v>TRILATERAL_SPLIT_MERGE</x:v>
      </x:c>
      <x:c r="E884" s="13" t="str">
        <x:v>Pending</x:v>
      </x:c>
      <x:c r="F884" s="13" t="n">
        <x:v>17</x:v>
      </x:c>
      <x:c r="G884" s="13" t="n">
        <x:v>1</x:v>
      </x:c>
      <x:c r="H884" s="13" t="n">
        <x:v>2</x:v>
      </x:c>
      <x:c r="I884" s="13" t="str">
        <x:v>2009892000; 2009894000; 2009896515; 2009896520; 2009896530; 2009896540; +11 more</x:v>
      </x:c>
      <x:c r="J884" s="13" t="str">
        <x:v>2009899900</x:v>
      </x:c>
      <x:c r="K884" s="13" t="str">
        <x:v>20098910; 2009892000</x:v>
      </x:c>
      <x:c r="L884" s="13" t="str">
        <x:v>UNRESOLVED</x:v>
      </x:c>
      <x:c r="M884" s="13" t="str"/>
      <x:c r="N884" s="13" t="str">
        <x:v>NO / DEFAULT</x:v>
      </x:c>
      <x:c r="O884" s="13" t="str"/>
      <x:c r="P884" s="13" t="str">
        <x:v>NO / DEFAULT</x:v>
      </x:c>
      <x:c r="Q884" s="13" t="str"/>
      <x:c r="R884" s="13" t="str">
        <x:v>INDEPENDENT / DEFAULT</x:v>
      </x:c>
      <x:c r="S884" s="13" t="str"/>
      <x:c r="T884" s="13" t="str">
        <x:v>UNRESOLVED</x:v>
      </x:c>
      <x:c r="U884" s="13" t="str"/>
      <x:c r="V884" s="13" t="str"/>
      <x:c r="W884" s="13" t="str"/>
      <x:c r="X884" s="13" t="str">
        <x:f>IF(L884&lt;&gt;"COVERED","HELD — COVERAGE",IF(N884="YES — SENSITIVE","C ACTIONABLE","CHAPTER 5 DEFAULT"))</x:f>
        <x:v>HELD — COVERAGE</x:v>
      </x:c>
      <x:c r="Y884" s="13" t="str">
        <x:f>IF(L884&lt;&gt;"COVERED","HELD — COVERAGE",IF(P884="YES — MANAGED ACCESS","D ACTIONABLE","NO D FIELD"))</x:f>
        <x:v>HELD — COVERAGE</x:v>
      </x:c>
      <x:c r="Z884" s="13" t="str">
        <x:f>IF(L884&lt;&gt;"COVERED","HELD — COVERAGE",IF(OR(R884="PAIRED SYNCHRONIZED",R884="TRILATERAL SYNCHRONIZED"),"E ACTIONABLE","INDEPENDENT"))</x:f>
        <x:v>HELD — COVERAGE</x:v>
      </x:c>
      <x:c r="AA884" s="13" t="str">
        <x:f>IF(L884&lt;&gt;"COVERED","HELD — COVERAGE","WAIT FOR UPSTREAM COMPLETION")</x:f>
        <x:v>HELD — COVERAGE</x:v>
      </x:c>
      <x:c r="AB884" s="13" t="str">
        <x:f>IF(L884&lt;&gt;"COVERED","HELD — COVERAGE",IF(T884="UNRESOLVED","G DECISION REQUIRED",IF(T884="NOT APPLICABLE","G N/A","G ACTIONABLE")))</x:f>
        <x:v>HELD — COVERAGE</x:v>
      </x:c>
      <x:c r="AC884" s="13" t="str">
        <x:f>IF(L884="UNRESOLVED","COVERAGE FIRST",IF(OR(L884="EXCLUDED",L884="OUT OF SCOPE"),"CLOSED BY COVERAGE",IF(AND(L884="COVERED",T884&lt;&gt;"UNRESOLVED"),"PARTIALLY ADOPTED","DECISIONS REMAIN")))</x:f>
        <x:v>COVERAGE FIRST</x:v>
      </x:c>
    </x:row>
    <x:row r="885">
      <x:c r="A885" s="13" t="str">
        <x:v>NAAFTC-HS6-200990</x:v>
      </x:c>
      <x:c r="B885" s="13" t="str">
        <x:v>200990</x:v>
      </x:c>
      <x:c r="C885" s="13" t="str">
        <x:v>20</x:v>
      </x:c>
      <x:c r="D885" s="13" t="str">
        <x:v>TRILATERAL_SPLIT_MERGE</x:v>
      </x:c>
      <x:c r="E885" s="13" t="str">
        <x:v>Pending</x:v>
      </x:c>
      <x:c r="F885" s="13" t="n">
        <x:v>3</x:v>
      </x:c>
      <x:c r="G885" s="13" t="n">
        <x:v>1</x:v>
      </x:c>
      <x:c r="H885" s="13" t="n">
        <x:v>4</x:v>
      </x:c>
      <x:c r="I885" s="13" t="str">
        <x:v>2009902000; 2009904020; 2009904040</x:v>
      </x:c>
      <x:c r="J885" s="13" t="str">
        <x:v>2009900200</x:v>
      </x:c>
      <x:c r="K885" s="13" t="str">
        <x:v>2009901000; 2009902000; 20099030; 2009904000</x:v>
      </x:c>
      <x:c r="L885" s="13" t="str">
        <x:v>UNRESOLVED</x:v>
      </x:c>
      <x:c r="M885" s="13" t="str"/>
      <x:c r="N885" s="13" t="str">
        <x:v>NO / DEFAULT</x:v>
      </x:c>
      <x:c r="O885" s="13" t="str"/>
      <x:c r="P885" s="13" t="str">
        <x:v>NO / DEFAULT</x:v>
      </x:c>
      <x:c r="Q885" s="13" t="str"/>
      <x:c r="R885" s="13" t="str">
        <x:v>INDEPENDENT / DEFAULT</x:v>
      </x:c>
      <x:c r="S885" s="13" t="str"/>
      <x:c r="T885" s="13" t="str">
        <x:v>UNRESOLVED</x:v>
      </x:c>
      <x:c r="U885" s="13" t="str"/>
      <x:c r="V885" s="13" t="str"/>
      <x:c r="W885" s="13" t="str"/>
      <x:c r="X885" s="13" t="str">
        <x:f>IF(L885&lt;&gt;"COVERED","HELD — COVERAGE",IF(N885="YES — SENSITIVE","C ACTIONABLE","CHAPTER 5 DEFAULT"))</x:f>
        <x:v>HELD — COVERAGE</x:v>
      </x:c>
      <x:c r="Y885" s="13" t="str">
        <x:f>IF(L885&lt;&gt;"COVERED","HELD — COVERAGE",IF(P885="YES — MANAGED ACCESS","D ACTIONABLE","NO D FIELD"))</x:f>
        <x:v>HELD — COVERAGE</x:v>
      </x:c>
      <x:c r="Z885" s="13" t="str">
        <x:f>IF(L885&lt;&gt;"COVERED","HELD — COVERAGE",IF(OR(R885="PAIRED SYNCHRONIZED",R885="TRILATERAL SYNCHRONIZED"),"E ACTIONABLE","INDEPENDENT"))</x:f>
        <x:v>HELD — COVERAGE</x:v>
      </x:c>
      <x:c r="AA885" s="13" t="str">
        <x:f>IF(L885&lt;&gt;"COVERED","HELD — COVERAGE","WAIT FOR UPSTREAM COMPLETION")</x:f>
        <x:v>HELD — COVERAGE</x:v>
      </x:c>
      <x:c r="AB885" s="13" t="str">
        <x:f>IF(L885&lt;&gt;"COVERED","HELD — COVERAGE",IF(T885="UNRESOLVED","G DECISION REQUIRED",IF(T885="NOT APPLICABLE","G N/A","G ACTIONABLE")))</x:f>
        <x:v>HELD — COVERAGE</x:v>
      </x:c>
      <x:c r="AC885" s="13" t="str">
        <x:f>IF(L885="UNRESOLVED","COVERAGE FIRST",IF(OR(L885="EXCLUDED",L885="OUT OF SCOPE"),"CLOSED BY COVERAGE",IF(AND(L885="COVERED",T885&lt;&gt;"UNRESOLVED"),"PARTIALLY ADOPTED","DECISIONS REMAIN")))</x:f>
        <x:v>COVERAGE FIRST</x:v>
      </x:c>
    </x:row>
    <x:row r="886">
      <x:c r="A886" s="13" t="str">
        <x:v>NAAFTC-HS6-210111</x:v>
      </x:c>
      <x:c r="B886" s="13" t="str">
        <x:v>210111</x:v>
      </x:c>
      <x:c r="C886" s="13" t="str">
        <x:v>21</x:v>
      </x:c>
      <x:c r="D886" s="13" t="str">
        <x:v>TRILATERAL_SPLIT_MERGE</x:v>
      </x:c>
      <x:c r="E886" s="13" t="str">
        <x:v>Pending</x:v>
      </x:c>
      <x:c r="F886" s="13" t="n">
        <x:v>6</x:v>
      </x:c>
      <x:c r="G886" s="13" t="n">
        <x:v>3</x:v>
      </x:c>
      <x:c r="H886" s="13" t="n">
        <x:v>2</x:v>
      </x:c>
      <x:c r="I886" s="13" t="str">
        <x:v>2101112126; 2101112129; 2101112131; 2101112139; 2101112941; 2101112949</x:v>
      </x:c>
      <x:c r="J886" s="13" t="str">
        <x:v>2101110200; 2101119901; 2101119999</x:v>
      </x:c>
      <x:c r="K886" s="13" t="str">
        <x:v>21011110; 21011190</x:v>
      </x:c>
      <x:c r="L886" s="13" t="str">
        <x:v>UNRESOLVED</x:v>
      </x:c>
      <x:c r="M886" s="13" t="str"/>
      <x:c r="N886" s="13" t="str">
        <x:v>NO / DEFAULT</x:v>
      </x:c>
      <x:c r="O886" s="13" t="str"/>
      <x:c r="P886" s="13" t="str">
        <x:v>NO / DEFAULT</x:v>
      </x:c>
      <x:c r="Q886" s="13" t="str"/>
      <x:c r="R886" s="13" t="str">
        <x:v>INDEPENDENT / DEFAULT</x:v>
      </x:c>
      <x:c r="S886" s="13" t="str"/>
      <x:c r="T886" s="13" t="str">
        <x:v>UNRESOLVED</x:v>
      </x:c>
      <x:c r="U886" s="13" t="str"/>
      <x:c r="V886" s="13" t="str"/>
      <x:c r="W886" s="13" t="str"/>
      <x:c r="X886" s="13" t="str">
        <x:f>IF(L886&lt;&gt;"COVERED","HELD — COVERAGE",IF(N886="YES — SENSITIVE","C ACTIONABLE","CHAPTER 5 DEFAULT"))</x:f>
        <x:v>HELD — COVERAGE</x:v>
      </x:c>
      <x:c r="Y886" s="13" t="str">
        <x:f>IF(L886&lt;&gt;"COVERED","HELD — COVERAGE",IF(P886="YES — MANAGED ACCESS","D ACTIONABLE","NO D FIELD"))</x:f>
        <x:v>HELD — COVERAGE</x:v>
      </x:c>
      <x:c r="Z886" s="13" t="str">
        <x:f>IF(L886&lt;&gt;"COVERED","HELD — COVERAGE",IF(OR(R886="PAIRED SYNCHRONIZED",R886="TRILATERAL SYNCHRONIZED"),"E ACTIONABLE","INDEPENDENT"))</x:f>
        <x:v>HELD — COVERAGE</x:v>
      </x:c>
      <x:c r="AA886" s="13" t="str">
        <x:f>IF(L886&lt;&gt;"COVERED","HELD — COVERAGE","WAIT FOR UPSTREAM COMPLETION")</x:f>
        <x:v>HELD — COVERAGE</x:v>
      </x:c>
      <x:c r="AB886" s="13" t="str">
        <x:f>IF(L886&lt;&gt;"COVERED","HELD — COVERAGE",IF(T886="UNRESOLVED","G DECISION REQUIRED",IF(T886="NOT APPLICABLE","G N/A","G ACTIONABLE")))</x:f>
        <x:v>HELD — COVERAGE</x:v>
      </x:c>
      <x:c r="AC886" s="13" t="str">
        <x:f>IF(L886="UNRESOLVED","COVERAGE FIRST",IF(OR(L886="EXCLUDED",L886="OUT OF SCOPE"),"CLOSED BY COVERAGE",IF(AND(L886="COVERED",T886&lt;&gt;"UNRESOLVED"),"PARTIALLY ADOPTED","DECISIONS REMAIN")))</x:f>
        <x:v>COVERAGE FIRST</x:v>
      </x:c>
    </x:row>
    <x:row r="887">
      <x:c r="A887" s="13" t="str">
        <x:v>NAAFTC-HS6-210112</x:v>
      </x:c>
      <x:c r="B887" s="13" t="str">
        <x:v>210112</x:v>
      </x:c>
      <x:c r="C887" s="13" t="str">
        <x:v>21</x:v>
      </x:c>
      <x:c r="D887" s="13" t="str">
        <x:v>TRILATERAL_SPLIT_MERGE</x:v>
      </x:c>
      <x:c r="E887" s="13" t="str">
        <x:v>Pending</x:v>
      </x:c>
      <x:c r="F887" s="13" t="n">
        <x:v>8</x:v>
      </x:c>
      <x:c r="G887" s="13" t="n">
        <x:v>1</x:v>
      </x:c>
      <x:c r="H887" s="13" t="n">
        <x:v>1</x:v>
      </x:c>
      <x:c r="I887" s="13" t="str">
        <x:v>2101123200; 2101123400; 2101123800; 2101124400; 2101124800; 2101125400; +2 more</x:v>
      </x:c>
      <x:c r="J887" s="13" t="str">
        <x:v>2101120100</x:v>
      </x:c>
      <x:c r="K887" s="13" t="str">
        <x:v>2101120000</x:v>
      </x:c>
      <x:c r="L887" s="13" t="str">
        <x:v>UNRESOLVED</x:v>
      </x:c>
      <x:c r="M887" s="13" t="str"/>
      <x:c r="N887" s="13" t="str">
        <x:v>NO / DEFAULT</x:v>
      </x:c>
      <x:c r="O887" s="13" t="str"/>
      <x:c r="P887" s="13" t="str">
        <x:v>NO / DEFAULT</x:v>
      </x:c>
      <x:c r="Q887" s="13" t="str"/>
      <x:c r="R887" s="13" t="str">
        <x:v>INDEPENDENT / DEFAULT</x:v>
      </x:c>
      <x:c r="S887" s="13" t="str"/>
      <x:c r="T887" s="13" t="str">
        <x:v>UNRESOLVED</x:v>
      </x:c>
      <x:c r="U887" s="13" t="str"/>
      <x:c r="V887" s="13" t="str"/>
      <x:c r="W887" s="13" t="str"/>
      <x:c r="X887" s="13" t="str">
        <x:f>IF(L887&lt;&gt;"COVERED","HELD — COVERAGE",IF(N887="YES — SENSITIVE","C ACTIONABLE","CHAPTER 5 DEFAULT"))</x:f>
        <x:v>HELD — COVERAGE</x:v>
      </x:c>
      <x:c r="Y887" s="13" t="str">
        <x:f>IF(L887&lt;&gt;"COVERED","HELD — COVERAGE",IF(P887="YES — MANAGED ACCESS","D ACTIONABLE","NO D FIELD"))</x:f>
        <x:v>HELD — COVERAGE</x:v>
      </x:c>
      <x:c r="Z887" s="13" t="str">
        <x:f>IF(L887&lt;&gt;"COVERED","HELD — COVERAGE",IF(OR(R887="PAIRED SYNCHRONIZED",R887="TRILATERAL SYNCHRONIZED"),"E ACTIONABLE","INDEPENDENT"))</x:f>
        <x:v>HELD — COVERAGE</x:v>
      </x:c>
      <x:c r="AA887" s="13" t="str">
        <x:f>IF(L887&lt;&gt;"COVERED","HELD — COVERAGE","WAIT FOR UPSTREAM COMPLETION")</x:f>
        <x:v>HELD — COVERAGE</x:v>
      </x:c>
      <x:c r="AB887" s="13" t="str">
        <x:f>IF(L887&lt;&gt;"COVERED","HELD — COVERAGE",IF(T887="UNRESOLVED","G DECISION REQUIRED",IF(T887="NOT APPLICABLE","G N/A","G ACTIONABLE")))</x:f>
        <x:v>HELD — COVERAGE</x:v>
      </x:c>
      <x:c r="AC887" s="13" t="str">
        <x:f>IF(L887="UNRESOLVED","COVERAGE FIRST",IF(OR(L887="EXCLUDED",L887="OUT OF SCOPE"),"CLOSED BY COVERAGE",IF(AND(L887="COVERED",T887&lt;&gt;"UNRESOLVED"),"PARTIALLY ADOPTED","DECISIONS REMAIN")))</x:f>
        <x:v>COVERAGE FIRST</x:v>
      </x:c>
    </x:row>
    <x:row r="888">
      <x:c r="A888" s="13" t="str">
        <x:v>NAAFTC-HS6-210120</x:v>
      </x:c>
      <x:c r="B888" s="13" t="str">
        <x:v>210120</x:v>
      </x:c>
      <x:c r="C888" s="13" t="str">
        <x:v>21</x:v>
      </x:c>
      <x:c r="D888" s="13" t="str">
        <x:v>TRILATERAL_SPLIT_MERGE</x:v>
      </x:c>
      <x:c r="E888" s="13" t="str">
        <x:v>Pending</x:v>
      </x:c>
      <x:c r="F888" s="13" t="n">
        <x:v>10</x:v>
      </x:c>
      <x:c r="G888" s="13" t="n">
        <x:v>1</x:v>
      </x:c>
      <x:c r="H888" s="13" t="n">
        <x:v>1</x:v>
      </x:c>
      <x:c r="I888" s="13" t="str">
        <x:v>2101202010; 2101202090; 2101203200; 2101203400; 2101203800; 2101204400; +4 more</x:v>
      </x:c>
      <x:c r="J888" s="13" t="str">
        <x:v>2101200100</x:v>
      </x:c>
      <x:c r="K888" s="13" t="str">
        <x:v>21012000</x:v>
      </x:c>
      <x:c r="L888" s="13" t="str">
        <x:v>UNRESOLVED</x:v>
      </x:c>
      <x:c r="M888" s="13" t="str"/>
      <x:c r="N888" s="13" t="str">
        <x:v>NO / DEFAULT</x:v>
      </x:c>
      <x:c r="O888" s="13" t="str"/>
      <x:c r="P888" s="13" t="str">
        <x:v>NO / DEFAULT</x:v>
      </x:c>
      <x:c r="Q888" s="13" t="str"/>
      <x:c r="R888" s="13" t="str">
        <x:v>INDEPENDENT / DEFAULT</x:v>
      </x:c>
      <x:c r="S888" s="13" t="str"/>
      <x:c r="T888" s="13" t="str">
        <x:v>UNRESOLVED</x:v>
      </x:c>
      <x:c r="U888" s="13" t="str"/>
      <x:c r="V888" s="13" t="str"/>
      <x:c r="W888" s="13" t="str"/>
      <x:c r="X888" s="13" t="str">
        <x:f>IF(L888&lt;&gt;"COVERED","HELD — COVERAGE",IF(N888="YES — SENSITIVE","C ACTIONABLE","CHAPTER 5 DEFAULT"))</x:f>
        <x:v>HELD — COVERAGE</x:v>
      </x:c>
      <x:c r="Y888" s="13" t="str">
        <x:f>IF(L888&lt;&gt;"COVERED","HELD — COVERAGE",IF(P888="YES — MANAGED ACCESS","D ACTIONABLE","NO D FIELD"))</x:f>
        <x:v>HELD — COVERAGE</x:v>
      </x:c>
      <x:c r="Z888" s="13" t="str">
        <x:f>IF(L888&lt;&gt;"COVERED","HELD — COVERAGE",IF(OR(R888="PAIRED SYNCHRONIZED",R888="TRILATERAL SYNCHRONIZED"),"E ACTIONABLE","INDEPENDENT"))</x:f>
        <x:v>HELD — COVERAGE</x:v>
      </x:c>
      <x:c r="AA888" s="13" t="str">
        <x:f>IF(L888&lt;&gt;"COVERED","HELD — COVERAGE","WAIT FOR UPSTREAM COMPLETION")</x:f>
        <x:v>HELD — COVERAGE</x:v>
      </x:c>
      <x:c r="AB888" s="13" t="str">
        <x:f>IF(L888&lt;&gt;"COVERED","HELD — COVERAGE",IF(T888="UNRESOLVED","G DECISION REQUIRED",IF(T888="NOT APPLICABLE","G N/A","G ACTIONABLE")))</x:f>
        <x:v>HELD — COVERAGE</x:v>
      </x:c>
      <x:c r="AC888" s="13" t="str">
        <x:f>IF(L888="UNRESOLVED","COVERAGE FIRST",IF(OR(L888="EXCLUDED",L888="OUT OF SCOPE"),"CLOSED BY COVERAGE",IF(AND(L888="COVERED",T888&lt;&gt;"UNRESOLVED"),"PARTIALLY ADOPTED","DECISIONS REMAIN")))</x:f>
        <x:v>COVERAGE FIRST</x:v>
      </x:c>
    </x:row>
    <x:row r="889">
      <x:c r="A889" s="13" t="str">
        <x:v>NAAFTC-HS6-210130</x:v>
      </x:c>
      <x:c r="B889" s="13" t="str">
        <x:v>210130</x:v>
      </x:c>
      <x:c r="C889" s="13" t="str">
        <x:v>21</x:v>
      </x:c>
      <x:c r="D889" s="13" t="str">
        <x:v>TRILATERAL_1_TO_1_TO_1</x:v>
      </x:c>
      <x:c r="E889" s="13" t="str">
        <x:v>Pending</x:v>
      </x:c>
      <x:c r="F889" s="13" t="n">
        <x:v>1</x:v>
      </x:c>
      <x:c r="G889" s="13" t="n">
        <x:v>1</x:v>
      </x:c>
      <x:c r="H889" s="13" t="n">
        <x:v>1</x:v>
      </x:c>
      <x:c r="I889" s="13" t="str">
        <x:v>2101300000</x:v>
      </x:c>
      <x:c r="J889" s="13" t="str">
        <x:v>2101300100</x:v>
      </x:c>
      <x:c r="K889" s="13" t="str">
        <x:v>2101300000</x:v>
      </x:c>
      <x:c r="L889" s="13" t="str">
        <x:v>UNRESOLVED</x:v>
      </x:c>
      <x:c r="M889" s="13" t="str"/>
      <x:c r="N889" s="13" t="str">
        <x:v>NO / DEFAULT</x:v>
      </x:c>
      <x:c r="O889" s="13" t="str"/>
      <x:c r="P889" s="13" t="str">
        <x:v>NO / DEFAULT</x:v>
      </x:c>
      <x:c r="Q889" s="13" t="str"/>
      <x:c r="R889" s="13" t="str">
        <x:v>INDEPENDENT / DEFAULT</x:v>
      </x:c>
      <x:c r="S889" s="13" t="str"/>
      <x:c r="T889" s="13" t="str">
        <x:v>UNRESOLVED</x:v>
      </x:c>
      <x:c r="U889" s="13" t="str"/>
      <x:c r="V889" s="13" t="str"/>
      <x:c r="W889" s="13" t="str"/>
      <x:c r="X889" s="13" t="str">
        <x:f>IF(L889&lt;&gt;"COVERED","HELD — COVERAGE",IF(N889="YES — SENSITIVE","C ACTIONABLE","CHAPTER 5 DEFAULT"))</x:f>
        <x:v>HELD — COVERAGE</x:v>
      </x:c>
      <x:c r="Y889" s="13" t="str">
        <x:f>IF(L889&lt;&gt;"COVERED","HELD — COVERAGE",IF(P889="YES — MANAGED ACCESS","D ACTIONABLE","NO D FIELD"))</x:f>
        <x:v>HELD — COVERAGE</x:v>
      </x:c>
      <x:c r="Z889" s="13" t="str">
        <x:f>IF(L889&lt;&gt;"COVERED","HELD — COVERAGE",IF(OR(R889="PAIRED SYNCHRONIZED",R889="TRILATERAL SYNCHRONIZED"),"E ACTIONABLE","INDEPENDENT"))</x:f>
        <x:v>HELD — COVERAGE</x:v>
      </x:c>
      <x:c r="AA889" s="13" t="str">
        <x:f>IF(L889&lt;&gt;"COVERED","HELD — COVERAGE","WAIT FOR UPSTREAM COMPLETION")</x:f>
        <x:v>HELD — COVERAGE</x:v>
      </x:c>
      <x:c r="AB889" s="13" t="str">
        <x:f>IF(L889&lt;&gt;"COVERED","HELD — COVERAGE",IF(T889="UNRESOLVED","G DECISION REQUIRED",IF(T889="NOT APPLICABLE","G N/A","G ACTIONABLE")))</x:f>
        <x:v>HELD — COVERAGE</x:v>
      </x:c>
      <x:c r="AC889" s="13" t="str">
        <x:f>IF(L889="UNRESOLVED","COVERAGE FIRST",IF(OR(L889="EXCLUDED",L889="OUT OF SCOPE"),"CLOSED BY COVERAGE",IF(AND(L889="COVERED",T889&lt;&gt;"UNRESOLVED"),"PARTIALLY ADOPTED","DECISIONS REMAIN")))</x:f>
        <x:v>COVERAGE FIRST</x:v>
      </x:c>
    </x:row>
    <x:row r="890">
      <x:c r="A890" s="13" t="str">
        <x:v>NAAFTC-HS6-210210</x:v>
      </x:c>
      <x:c r="B890" s="13" t="str">
        <x:v>210210</x:v>
      </x:c>
      <x:c r="C890" s="13" t="str">
        <x:v>21</x:v>
      </x:c>
      <x:c r="D890" s="13" t="str">
        <x:v>TRILATERAL_SPLIT_MERGE</x:v>
      </x:c>
      <x:c r="E890" s="13" t="str">
        <x:v>Pending</x:v>
      </x:c>
      <x:c r="F890" s="13" t="n">
        <x:v>1</x:v>
      </x:c>
      <x:c r="G890" s="13" t="n">
        <x:v>3</x:v>
      </x:c>
      <x:c r="H890" s="13" t="n">
        <x:v>1</x:v>
      </x:c>
      <x:c r="I890" s="13" t="str">
        <x:v>2102100000</x:v>
      </x:c>
      <x:c r="J890" s="13" t="str">
        <x:v>2102100200; 2102109901; 2102109999</x:v>
      </x:c>
      <x:c r="K890" s="13" t="str">
        <x:v>2102100000</x:v>
      </x:c>
      <x:c r="L890" s="13" t="str">
        <x:v>UNRESOLVED</x:v>
      </x:c>
      <x:c r="M890" s="13" t="str"/>
      <x:c r="N890" s="13" t="str">
        <x:v>NO / DEFAULT</x:v>
      </x:c>
      <x:c r="O890" s="13" t="str"/>
      <x:c r="P890" s="13" t="str">
        <x:v>NO / DEFAULT</x:v>
      </x:c>
      <x:c r="Q890" s="13" t="str"/>
      <x:c r="R890" s="13" t="str">
        <x:v>INDEPENDENT / DEFAULT</x:v>
      </x:c>
      <x:c r="S890" s="13" t="str"/>
      <x:c r="T890" s="13" t="str">
        <x:v>UNRESOLVED</x:v>
      </x:c>
      <x:c r="U890" s="13" t="str"/>
      <x:c r="V890" s="13" t="str"/>
      <x:c r="W890" s="13" t="str"/>
      <x:c r="X890" s="13" t="str">
        <x:f>IF(L890&lt;&gt;"COVERED","HELD — COVERAGE",IF(N890="YES — SENSITIVE","C ACTIONABLE","CHAPTER 5 DEFAULT"))</x:f>
        <x:v>HELD — COVERAGE</x:v>
      </x:c>
      <x:c r="Y890" s="13" t="str">
        <x:f>IF(L890&lt;&gt;"COVERED","HELD — COVERAGE",IF(P890="YES — MANAGED ACCESS","D ACTIONABLE","NO D FIELD"))</x:f>
        <x:v>HELD — COVERAGE</x:v>
      </x:c>
      <x:c r="Z890" s="13" t="str">
        <x:f>IF(L890&lt;&gt;"COVERED","HELD — COVERAGE",IF(OR(R890="PAIRED SYNCHRONIZED",R890="TRILATERAL SYNCHRONIZED"),"E ACTIONABLE","INDEPENDENT"))</x:f>
        <x:v>HELD — COVERAGE</x:v>
      </x:c>
      <x:c r="AA890" s="13" t="str">
        <x:f>IF(L890&lt;&gt;"COVERED","HELD — COVERAGE","WAIT FOR UPSTREAM COMPLETION")</x:f>
        <x:v>HELD — COVERAGE</x:v>
      </x:c>
      <x:c r="AB890" s="13" t="str">
        <x:f>IF(L890&lt;&gt;"COVERED","HELD — COVERAGE",IF(T890="UNRESOLVED","G DECISION REQUIRED",IF(T890="NOT APPLICABLE","G N/A","G ACTIONABLE")))</x:f>
        <x:v>HELD — COVERAGE</x:v>
      </x:c>
      <x:c r="AC890" s="13" t="str">
        <x:f>IF(L890="UNRESOLVED","COVERAGE FIRST",IF(OR(L890="EXCLUDED",L890="OUT OF SCOPE"),"CLOSED BY COVERAGE",IF(AND(L890="COVERED",T890&lt;&gt;"UNRESOLVED"),"PARTIALLY ADOPTED","DECISIONS REMAIN")))</x:f>
        <x:v>COVERAGE FIRST</x:v>
      </x:c>
    </x:row>
    <x:row r="891">
      <x:c r="A891" s="13" t="str">
        <x:v>NAAFTC-HS6-210220</x:v>
      </x:c>
      <x:c r="B891" s="13" t="str">
        <x:v>210220</x:v>
      </x:c>
      <x:c r="C891" s="13" t="str">
        <x:v>21</x:v>
      </x:c>
      <x:c r="D891" s="13" t="str">
        <x:v>TRILATERAL_SPLIT_MERGE</x:v>
      </x:c>
      <x:c r="E891" s="13" t="str">
        <x:v>Pending</x:v>
      </x:c>
      <x:c r="F891" s="13" t="n">
        <x:v>3</x:v>
      </x:c>
      <x:c r="G891" s="13" t="n">
        <x:v>2</x:v>
      </x:c>
      <x:c r="H891" s="13" t="n">
        <x:v>1</x:v>
      </x:c>
      <x:c r="I891" s="13" t="str">
        <x:v>2102202000; 2102204000; 2102206000</x:v>
      </x:c>
      <x:c r="J891" s="13" t="str">
        <x:v>2102200100; 2102209900</x:v>
      </x:c>
      <x:c r="K891" s="13" t="str">
        <x:v>2102200000</x:v>
      </x:c>
      <x:c r="L891" s="13" t="str">
        <x:v>UNRESOLVED</x:v>
      </x:c>
      <x:c r="M891" s="13" t="str"/>
      <x:c r="N891" s="13" t="str">
        <x:v>NO / DEFAULT</x:v>
      </x:c>
      <x:c r="O891" s="13" t="str"/>
      <x:c r="P891" s="13" t="str">
        <x:v>NO / DEFAULT</x:v>
      </x:c>
      <x:c r="Q891" s="13" t="str"/>
      <x:c r="R891" s="13" t="str">
        <x:v>INDEPENDENT / DEFAULT</x:v>
      </x:c>
      <x:c r="S891" s="13" t="str"/>
      <x:c r="T891" s="13" t="str">
        <x:v>UNRESOLVED</x:v>
      </x:c>
      <x:c r="U891" s="13" t="str"/>
      <x:c r="V891" s="13" t="str"/>
      <x:c r="W891" s="13" t="str"/>
      <x:c r="X891" s="13" t="str">
        <x:f>IF(L891&lt;&gt;"COVERED","HELD — COVERAGE",IF(N891="YES — SENSITIVE","C ACTIONABLE","CHAPTER 5 DEFAULT"))</x:f>
        <x:v>HELD — COVERAGE</x:v>
      </x:c>
      <x:c r="Y891" s="13" t="str">
        <x:f>IF(L891&lt;&gt;"COVERED","HELD — COVERAGE",IF(P891="YES — MANAGED ACCESS","D ACTIONABLE","NO D FIELD"))</x:f>
        <x:v>HELD — COVERAGE</x:v>
      </x:c>
      <x:c r="Z891" s="13" t="str">
        <x:f>IF(L891&lt;&gt;"COVERED","HELD — COVERAGE",IF(OR(R891="PAIRED SYNCHRONIZED",R891="TRILATERAL SYNCHRONIZED"),"E ACTIONABLE","INDEPENDENT"))</x:f>
        <x:v>HELD — COVERAGE</x:v>
      </x:c>
      <x:c r="AA891" s="13" t="str">
        <x:f>IF(L891&lt;&gt;"COVERED","HELD — COVERAGE","WAIT FOR UPSTREAM COMPLETION")</x:f>
        <x:v>HELD — COVERAGE</x:v>
      </x:c>
      <x:c r="AB891" s="13" t="str">
        <x:f>IF(L891&lt;&gt;"COVERED","HELD — COVERAGE",IF(T891="UNRESOLVED","G DECISION REQUIRED",IF(T891="NOT APPLICABLE","G N/A","G ACTIONABLE")))</x:f>
        <x:v>HELD — COVERAGE</x:v>
      </x:c>
      <x:c r="AC891" s="13" t="str">
        <x:f>IF(L891="UNRESOLVED","COVERAGE FIRST",IF(OR(L891="EXCLUDED",L891="OUT OF SCOPE"),"CLOSED BY COVERAGE",IF(AND(L891="COVERED",T891&lt;&gt;"UNRESOLVED"),"PARTIALLY ADOPTED","DECISIONS REMAIN")))</x:f>
        <x:v>COVERAGE FIRST</x:v>
      </x:c>
    </x:row>
    <x:row r="892">
      <x:c r="A892" s="13" t="str">
        <x:v>NAAFTC-HS6-210230</x:v>
      </x:c>
      <x:c r="B892" s="13" t="str">
        <x:v>210230</x:v>
      </x:c>
      <x:c r="C892" s="13" t="str">
        <x:v>21</x:v>
      </x:c>
      <x:c r="D892" s="13" t="str">
        <x:v>TRILATERAL_1_TO_1_TO_1</x:v>
      </x:c>
      <x:c r="E892" s="13" t="str">
        <x:v>Pending</x:v>
      </x:c>
      <x:c r="F892" s="13" t="n">
        <x:v>1</x:v>
      </x:c>
      <x:c r="G892" s="13" t="n">
        <x:v>1</x:v>
      </x:c>
      <x:c r="H892" s="13" t="n">
        <x:v>1</x:v>
      </x:c>
      <x:c r="I892" s="13" t="str">
        <x:v>2102300000</x:v>
      </x:c>
      <x:c r="J892" s="13" t="str">
        <x:v>2102300100</x:v>
      </x:c>
      <x:c r="K892" s="13" t="str">
        <x:v>2102300000</x:v>
      </x:c>
      <x:c r="L892" s="13" t="str">
        <x:v>UNRESOLVED</x:v>
      </x:c>
      <x:c r="M892" s="13" t="str"/>
      <x:c r="N892" s="13" t="str">
        <x:v>NO / DEFAULT</x:v>
      </x:c>
      <x:c r="O892" s="13" t="str"/>
      <x:c r="P892" s="13" t="str">
        <x:v>NO / DEFAULT</x:v>
      </x:c>
      <x:c r="Q892" s="13" t="str"/>
      <x:c r="R892" s="13" t="str">
        <x:v>INDEPENDENT / DEFAULT</x:v>
      </x:c>
      <x:c r="S892" s="13" t="str"/>
      <x:c r="T892" s="13" t="str">
        <x:v>UNRESOLVED</x:v>
      </x:c>
      <x:c r="U892" s="13" t="str"/>
      <x:c r="V892" s="13" t="str"/>
      <x:c r="W892" s="13" t="str"/>
      <x:c r="X892" s="13" t="str">
        <x:f>IF(L892&lt;&gt;"COVERED","HELD — COVERAGE",IF(N892="YES — SENSITIVE","C ACTIONABLE","CHAPTER 5 DEFAULT"))</x:f>
        <x:v>HELD — COVERAGE</x:v>
      </x:c>
      <x:c r="Y892" s="13" t="str">
        <x:f>IF(L892&lt;&gt;"COVERED","HELD — COVERAGE",IF(P892="YES — MANAGED ACCESS","D ACTIONABLE","NO D FIELD"))</x:f>
        <x:v>HELD — COVERAGE</x:v>
      </x:c>
      <x:c r="Z892" s="13" t="str">
        <x:f>IF(L892&lt;&gt;"COVERED","HELD — COVERAGE",IF(OR(R892="PAIRED SYNCHRONIZED",R892="TRILATERAL SYNCHRONIZED"),"E ACTIONABLE","INDEPENDENT"))</x:f>
        <x:v>HELD — COVERAGE</x:v>
      </x:c>
      <x:c r="AA892" s="13" t="str">
        <x:f>IF(L892&lt;&gt;"COVERED","HELD — COVERAGE","WAIT FOR UPSTREAM COMPLETION")</x:f>
        <x:v>HELD — COVERAGE</x:v>
      </x:c>
      <x:c r="AB892" s="13" t="str">
        <x:f>IF(L892&lt;&gt;"COVERED","HELD — COVERAGE",IF(T892="UNRESOLVED","G DECISION REQUIRED",IF(T892="NOT APPLICABLE","G N/A","G ACTIONABLE")))</x:f>
        <x:v>HELD — COVERAGE</x:v>
      </x:c>
      <x:c r="AC892" s="13" t="str">
        <x:f>IF(L892="UNRESOLVED","COVERAGE FIRST",IF(OR(L892="EXCLUDED",L892="OUT OF SCOPE"),"CLOSED BY COVERAGE",IF(AND(L892="COVERED",T892&lt;&gt;"UNRESOLVED"),"PARTIALLY ADOPTED","DECISIONS REMAIN")))</x:f>
        <x:v>COVERAGE FIRST</x:v>
      </x:c>
    </x:row>
    <x:row r="893">
      <x:c r="A893" s="13" t="str">
        <x:v>NAAFTC-HS6-210310</x:v>
      </x:c>
      <x:c r="B893" s="13" t="str">
        <x:v>210310</x:v>
      </x:c>
      <x:c r="C893" s="13" t="str">
        <x:v>21</x:v>
      </x:c>
      <x:c r="D893" s="13" t="str">
        <x:v>TRILATERAL_1_TO_1_TO_1</x:v>
      </x:c>
      <x:c r="E893" s="13" t="str">
        <x:v>Pending</x:v>
      </x:c>
      <x:c r="F893" s="13" t="n">
        <x:v>1</x:v>
      </x:c>
      <x:c r="G893" s="13" t="n">
        <x:v>1</x:v>
      </x:c>
      <x:c r="H893" s="13" t="n">
        <x:v>1</x:v>
      </x:c>
      <x:c r="I893" s="13" t="str">
        <x:v>2103100000</x:v>
      </x:c>
      <x:c r="J893" s="13" t="str">
        <x:v>2103100100</x:v>
      </x:c>
      <x:c r="K893" s="13" t="str">
        <x:v>2103100000</x:v>
      </x:c>
      <x:c r="L893" s="13" t="str">
        <x:v>UNRESOLVED</x:v>
      </x:c>
      <x:c r="M893" s="13" t="str"/>
      <x:c r="N893" s="13" t="str">
        <x:v>NO / DEFAULT</x:v>
      </x:c>
      <x:c r="O893" s="13" t="str"/>
      <x:c r="P893" s="13" t="str">
        <x:v>NO / DEFAULT</x:v>
      </x:c>
      <x:c r="Q893" s="13" t="str"/>
      <x:c r="R893" s="13" t="str">
        <x:v>INDEPENDENT / DEFAULT</x:v>
      </x:c>
      <x:c r="S893" s="13" t="str"/>
      <x:c r="T893" s="13" t="str">
        <x:v>UNRESOLVED</x:v>
      </x:c>
      <x:c r="U893" s="13" t="str"/>
      <x:c r="V893" s="13" t="str"/>
      <x:c r="W893" s="13" t="str"/>
      <x:c r="X893" s="13" t="str">
        <x:f>IF(L893&lt;&gt;"COVERED","HELD — COVERAGE",IF(N893="YES — SENSITIVE","C ACTIONABLE","CHAPTER 5 DEFAULT"))</x:f>
        <x:v>HELD — COVERAGE</x:v>
      </x:c>
      <x:c r="Y893" s="13" t="str">
        <x:f>IF(L893&lt;&gt;"COVERED","HELD — COVERAGE",IF(P893="YES — MANAGED ACCESS","D ACTIONABLE","NO D FIELD"))</x:f>
        <x:v>HELD — COVERAGE</x:v>
      </x:c>
      <x:c r="Z893" s="13" t="str">
        <x:f>IF(L893&lt;&gt;"COVERED","HELD — COVERAGE",IF(OR(R893="PAIRED SYNCHRONIZED",R893="TRILATERAL SYNCHRONIZED"),"E ACTIONABLE","INDEPENDENT"))</x:f>
        <x:v>HELD — COVERAGE</x:v>
      </x:c>
      <x:c r="AA893" s="13" t="str">
        <x:f>IF(L893&lt;&gt;"COVERED","HELD — COVERAGE","WAIT FOR UPSTREAM COMPLETION")</x:f>
        <x:v>HELD — COVERAGE</x:v>
      </x:c>
      <x:c r="AB893" s="13" t="str">
        <x:f>IF(L893&lt;&gt;"COVERED","HELD — COVERAGE",IF(T893="UNRESOLVED","G DECISION REQUIRED",IF(T893="NOT APPLICABLE","G N/A","G ACTIONABLE")))</x:f>
        <x:v>HELD — COVERAGE</x:v>
      </x:c>
      <x:c r="AC893" s="13" t="str">
        <x:f>IF(L893="UNRESOLVED","COVERAGE FIRST",IF(OR(L893="EXCLUDED",L893="OUT OF SCOPE"),"CLOSED BY COVERAGE",IF(AND(L893="COVERED",T893&lt;&gt;"UNRESOLVED"),"PARTIALLY ADOPTED","DECISIONS REMAIN")))</x:f>
        <x:v>COVERAGE FIRST</x:v>
      </x:c>
    </x:row>
    <x:row r="894">
      <x:c r="A894" s="13" t="str">
        <x:v>NAAFTC-HS6-210320</x:v>
      </x:c>
      <x:c r="B894" s="13" t="str">
        <x:v>210320</x:v>
      </x:c>
      <x:c r="C894" s="13" t="str">
        <x:v>21</x:v>
      </x:c>
      <x:c r="D894" s="13" t="str">
        <x:v>TRILATERAL_SPLIT_MERGE</x:v>
      </x:c>
      <x:c r="E894" s="13" t="str">
        <x:v>Pending</x:v>
      </x:c>
      <x:c r="F894" s="13" t="n">
        <x:v>3</x:v>
      </x:c>
      <x:c r="G894" s="13" t="n">
        <x:v>2</x:v>
      </x:c>
      <x:c r="H894" s="13" t="n">
        <x:v>2</x:v>
      </x:c>
      <x:c r="I894" s="13" t="str">
        <x:v>2103202000; 2103204020; 2103204040</x:v>
      </x:c>
      <x:c r="J894" s="13" t="str">
        <x:v>2103200201; 2103200299</x:v>
      </x:c>
      <x:c r="K894" s="13" t="str">
        <x:v>2103201000; 21032090</x:v>
      </x:c>
      <x:c r="L894" s="13" t="str">
        <x:v>UNRESOLVED</x:v>
      </x:c>
      <x:c r="M894" s="13" t="str"/>
      <x:c r="N894" s="13" t="str">
        <x:v>NO / DEFAULT</x:v>
      </x:c>
      <x:c r="O894" s="13" t="str"/>
      <x:c r="P894" s="13" t="str">
        <x:v>NO / DEFAULT</x:v>
      </x:c>
      <x:c r="Q894" s="13" t="str"/>
      <x:c r="R894" s="13" t="str">
        <x:v>INDEPENDENT / DEFAULT</x:v>
      </x:c>
      <x:c r="S894" s="13" t="str"/>
      <x:c r="T894" s="13" t="str">
        <x:v>UNRESOLVED</x:v>
      </x:c>
      <x:c r="U894" s="13" t="str"/>
      <x:c r="V894" s="13" t="str"/>
      <x:c r="W894" s="13" t="str"/>
      <x:c r="X894" s="13" t="str">
        <x:f>IF(L894&lt;&gt;"COVERED","HELD — COVERAGE",IF(N894="YES — SENSITIVE","C ACTIONABLE","CHAPTER 5 DEFAULT"))</x:f>
        <x:v>HELD — COVERAGE</x:v>
      </x:c>
      <x:c r="Y894" s="13" t="str">
        <x:f>IF(L894&lt;&gt;"COVERED","HELD — COVERAGE",IF(P894="YES — MANAGED ACCESS","D ACTIONABLE","NO D FIELD"))</x:f>
        <x:v>HELD — COVERAGE</x:v>
      </x:c>
      <x:c r="Z894" s="13" t="str">
        <x:f>IF(L894&lt;&gt;"COVERED","HELD — COVERAGE",IF(OR(R894="PAIRED SYNCHRONIZED",R894="TRILATERAL SYNCHRONIZED"),"E ACTIONABLE","INDEPENDENT"))</x:f>
        <x:v>HELD — COVERAGE</x:v>
      </x:c>
      <x:c r="AA894" s="13" t="str">
        <x:f>IF(L894&lt;&gt;"COVERED","HELD — COVERAGE","WAIT FOR UPSTREAM COMPLETION")</x:f>
        <x:v>HELD — COVERAGE</x:v>
      </x:c>
      <x:c r="AB894" s="13" t="str">
        <x:f>IF(L894&lt;&gt;"COVERED","HELD — COVERAGE",IF(T894="UNRESOLVED","G DECISION REQUIRED",IF(T894="NOT APPLICABLE","G N/A","G ACTIONABLE")))</x:f>
        <x:v>HELD — COVERAGE</x:v>
      </x:c>
      <x:c r="AC894" s="13" t="str">
        <x:f>IF(L894="UNRESOLVED","COVERAGE FIRST",IF(OR(L894="EXCLUDED",L894="OUT OF SCOPE"),"CLOSED BY COVERAGE",IF(AND(L894="COVERED",T894&lt;&gt;"UNRESOLVED"),"PARTIALLY ADOPTED","DECISIONS REMAIN")))</x:f>
        <x:v>COVERAGE FIRST</x:v>
      </x:c>
    </x:row>
    <x:row r="895">
      <x:c r="A895" s="13" t="str">
        <x:v>NAAFTC-HS6-210330</x:v>
      </x:c>
      <x:c r="B895" s="13" t="str">
        <x:v>210330</x:v>
      </x:c>
      <x:c r="C895" s="13" t="str">
        <x:v>21</x:v>
      </x:c>
      <x:c r="D895" s="13" t="str">
        <x:v>TRILATERAL_SPLIT_MERGE</x:v>
      </x:c>
      <x:c r="E895" s="13" t="str">
        <x:v>Pending</x:v>
      </x:c>
      <x:c r="F895" s="13" t="n">
        <x:v>2</x:v>
      </x:c>
      <x:c r="G895" s="13" t="n">
        <x:v>2</x:v>
      </x:c>
      <x:c r="H895" s="13" t="n">
        <x:v>2</x:v>
      </x:c>
      <x:c r="I895" s="13" t="str">
        <x:v>2103302000; 2103304000</x:v>
      </x:c>
      <x:c r="J895" s="13" t="str">
        <x:v>2103300201; 2103300299</x:v>
      </x:c>
      <x:c r="K895" s="13" t="str">
        <x:v>2103301000; 2103302000</x:v>
      </x:c>
      <x:c r="L895" s="13" t="str">
        <x:v>UNRESOLVED</x:v>
      </x:c>
      <x:c r="M895" s="13" t="str"/>
      <x:c r="N895" s="13" t="str">
        <x:v>NO / DEFAULT</x:v>
      </x:c>
      <x:c r="O895" s="13" t="str"/>
      <x:c r="P895" s="13" t="str">
        <x:v>NO / DEFAULT</x:v>
      </x:c>
      <x:c r="Q895" s="13" t="str"/>
      <x:c r="R895" s="13" t="str">
        <x:v>INDEPENDENT / DEFAULT</x:v>
      </x:c>
      <x:c r="S895" s="13" t="str"/>
      <x:c r="T895" s="13" t="str">
        <x:v>UNRESOLVED</x:v>
      </x:c>
      <x:c r="U895" s="13" t="str"/>
      <x:c r="V895" s="13" t="str"/>
      <x:c r="W895" s="13" t="str"/>
      <x:c r="X895" s="13" t="str">
        <x:f>IF(L895&lt;&gt;"COVERED","HELD — COVERAGE",IF(N895="YES — SENSITIVE","C ACTIONABLE","CHAPTER 5 DEFAULT"))</x:f>
        <x:v>HELD — COVERAGE</x:v>
      </x:c>
      <x:c r="Y895" s="13" t="str">
        <x:f>IF(L895&lt;&gt;"COVERED","HELD — COVERAGE",IF(P895="YES — MANAGED ACCESS","D ACTIONABLE","NO D FIELD"))</x:f>
        <x:v>HELD — COVERAGE</x:v>
      </x:c>
      <x:c r="Z895" s="13" t="str">
        <x:f>IF(L895&lt;&gt;"COVERED","HELD — COVERAGE",IF(OR(R895="PAIRED SYNCHRONIZED",R895="TRILATERAL SYNCHRONIZED"),"E ACTIONABLE","INDEPENDENT"))</x:f>
        <x:v>HELD — COVERAGE</x:v>
      </x:c>
      <x:c r="AA895" s="13" t="str">
        <x:f>IF(L895&lt;&gt;"COVERED","HELD — COVERAGE","WAIT FOR UPSTREAM COMPLETION")</x:f>
        <x:v>HELD — COVERAGE</x:v>
      </x:c>
      <x:c r="AB895" s="13" t="str">
        <x:f>IF(L895&lt;&gt;"COVERED","HELD — COVERAGE",IF(T895="UNRESOLVED","G DECISION REQUIRED",IF(T895="NOT APPLICABLE","G N/A","G ACTIONABLE")))</x:f>
        <x:v>HELD — COVERAGE</x:v>
      </x:c>
      <x:c r="AC895" s="13" t="str">
        <x:f>IF(L895="UNRESOLVED","COVERAGE FIRST",IF(OR(L895="EXCLUDED",L895="OUT OF SCOPE"),"CLOSED BY COVERAGE",IF(AND(L895="COVERED",T895&lt;&gt;"UNRESOLVED"),"PARTIALLY ADOPTED","DECISIONS REMAIN")))</x:f>
        <x:v>COVERAGE FIRST</x:v>
      </x:c>
    </x:row>
    <x:row r="896">
      <x:c r="A896" s="13" t="str">
        <x:v>NAAFTC-HS6-210390</x:v>
      </x:c>
      <x:c r="B896" s="13" t="str">
        <x:v>210390</x:v>
      </x:c>
      <x:c r="C896" s="13" t="str">
        <x:v>21</x:v>
      </x:c>
      <x:c r="D896" s="13" t="str">
        <x:v>TRILATERAL_SPLIT_MERGE</x:v>
      </x:c>
      <x:c r="E896" s="13" t="str">
        <x:v>Pending</x:v>
      </x:c>
      <x:c r="F896" s="13" t="n">
        <x:v>11</x:v>
      </x:c>
      <x:c r="G896" s="13" t="n">
        <x:v>1</x:v>
      </x:c>
      <x:c r="H896" s="13" t="n">
        <x:v>2</x:v>
      </x:c>
      <x:c r="I896" s="13" t="str">
        <x:v>2103902000; 2103904000; 2103907200; 2103907400; 2103907800; 2103908000; +5 more</x:v>
      </x:c>
      <x:c r="J896" s="13" t="str">
        <x:v>2103909900</x:v>
      </x:c>
      <x:c r="K896" s="13" t="str">
        <x:v>2103902000; 21039090</x:v>
      </x:c>
      <x:c r="L896" s="13" t="str">
        <x:v>UNRESOLVED</x:v>
      </x:c>
      <x:c r="M896" s="13" t="str"/>
      <x:c r="N896" s="13" t="str">
        <x:v>NO / DEFAULT</x:v>
      </x:c>
      <x:c r="O896" s="13" t="str"/>
      <x:c r="P896" s="13" t="str">
        <x:v>NO / DEFAULT</x:v>
      </x:c>
      <x:c r="Q896" s="13" t="str"/>
      <x:c r="R896" s="13" t="str">
        <x:v>INDEPENDENT / DEFAULT</x:v>
      </x:c>
      <x:c r="S896" s="13" t="str"/>
      <x:c r="T896" s="13" t="str">
        <x:v>UNRESOLVED</x:v>
      </x:c>
      <x:c r="U896" s="13" t="str"/>
      <x:c r="V896" s="13" t="str"/>
      <x:c r="W896" s="13" t="str"/>
      <x:c r="X896" s="13" t="str">
        <x:f>IF(L896&lt;&gt;"COVERED","HELD — COVERAGE",IF(N896="YES — SENSITIVE","C ACTIONABLE","CHAPTER 5 DEFAULT"))</x:f>
        <x:v>HELD — COVERAGE</x:v>
      </x:c>
      <x:c r="Y896" s="13" t="str">
        <x:f>IF(L896&lt;&gt;"COVERED","HELD — COVERAGE",IF(P896="YES — MANAGED ACCESS","D ACTIONABLE","NO D FIELD"))</x:f>
        <x:v>HELD — COVERAGE</x:v>
      </x:c>
      <x:c r="Z896" s="13" t="str">
        <x:f>IF(L896&lt;&gt;"COVERED","HELD — COVERAGE",IF(OR(R896="PAIRED SYNCHRONIZED",R896="TRILATERAL SYNCHRONIZED"),"E ACTIONABLE","INDEPENDENT"))</x:f>
        <x:v>HELD — COVERAGE</x:v>
      </x:c>
      <x:c r="AA896" s="13" t="str">
        <x:f>IF(L896&lt;&gt;"COVERED","HELD — COVERAGE","WAIT FOR UPSTREAM COMPLETION")</x:f>
        <x:v>HELD — COVERAGE</x:v>
      </x:c>
      <x:c r="AB896" s="13" t="str">
        <x:f>IF(L896&lt;&gt;"COVERED","HELD — COVERAGE",IF(T896="UNRESOLVED","G DECISION REQUIRED",IF(T896="NOT APPLICABLE","G N/A","G ACTIONABLE")))</x:f>
        <x:v>HELD — COVERAGE</x:v>
      </x:c>
      <x:c r="AC896" s="13" t="str">
        <x:f>IF(L896="UNRESOLVED","COVERAGE FIRST",IF(OR(L896="EXCLUDED",L896="OUT OF SCOPE"),"CLOSED BY COVERAGE",IF(AND(L896="COVERED",T896&lt;&gt;"UNRESOLVED"),"PARTIALLY ADOPTED","DECISIONS REMAIN")))</x:f>
        <x:v>COVERAGE FIRST</x:v>
      </x:c>
    </x:row>
    <x:row r="897">
      <x:c r="A897" s="13" t="str">
        <x:v>NAAFTC-HS6-210410</x:v>
      </x:c>
      <x:c r="B897" s="13" t="str">
        <x:v>210410</x:v>
      </x:c>
      <x:c r="C897" s="13" t="str">
        <x:v>21</x:v>
      </x:c>
      <x:c r="D897" s="13" t="str">
        <x:v>TRILATERAL_SPLIT_MERGE</x:v>
      </x:c>
      <x:c r="E897" s="13" t="str">
        <x:v>Pending</x:v>
      </x:c>
      <x:c r="F897" s="13" t="n">
        <x:v>4</x:v>
      </x:c>
      <x:c r="G897" s="13" t="n">
        <x:v>1</x:v>
      </x:c>
      <x:c r="H897" s="13" t="n">
        <x:v>1</x:v>
      </x:c>
      <x:c r="I897" s="13" t="str">
        <x:v>2104100020; 2104100040; 2104100055; 2104100065</x:v>
      </x:c>
      <x:c r="J897" s="13" t="str">
        <x:v>2104100100</x:v>
      </x:c>
      <x:c r="K897" s="13" t="str">
        <x:v>2104100000</x:v>
      </x:c>
      <x:c r="L897" s="13" t="str">
        <x:v>UNRESOLVED</x:v>
      </x:c>
      <x:c r="M897" s="13" t="str"/>
      <x:c r="N897" s="13" t="str">
        <x:v>NO / DEFAULT</x:v>
      </x:c>
      <x:c r="O897" s="13" t="str"/>
      <x:c r="P897" s="13" t="str">
        <x:v>NO / DEFAULT</x:v>
      </x:c>
      <x:c r="Q897" s="13" t="str"/>
      <x:c r="R897" s="13" t="str">
        <x:v>INDEPENDENT / DEFAULT</x:v>
      </x:c>
      <x:c r="S897" s="13" t="str"/>
      <x:c r="T897" s="13" t="str">
        <x:v>UNRESOLVED</x:v>
      </x:c>
      <x:c r="U897" s="13" t="str"/>
      <x:c r="V897" s="13" t="str"/>
      <x:c r="W897" s="13" t="str"/>
      <x:c r="X897" s="13" t="str">
        <x:f>IF(L897&lt;&gt;"COVERED","HELD — COVERAGE",IF(N897="YES — SENSITIVE","C ACTIONABLE","CHAPTER 5 DEFAULT"))</x:f>
        <x:v>HELD — COVERAGE</x:v>
      </x:c>
      <x:c r="Y897" s="13" t="str">
        <x:f>IF(L897&lt;&gt;"COVERED","HELD — COVERAGE",IF(P897="YES — MANAGED ACCESS","D ACTIONABLE","NO D FIELD"))</x:f>
        <x:v>HELD — COVERAGE</x:v>
      </x:c>
      <x:c r="Z897" s="13" t="str">
        <x:f>IF(L897&lt;&gt;"COVERED","HELD — COVERAGE",IF(OR(R897="PAIRED SYNCHRONIZED",R897="TRILATERAL SYNCHRONIZED"),"E ACTIONABLE","INDEPENDENT"))</x:f>
        <x:v>HELD — COVERAGE</x:v>
      </x:c>
      <x:c r="AA897" s="13" t="str">
        <x:f>IF(L897&lt;&gt;"COVERED","HELD — COVERAGE","WAIT FOR UPSTREAM COMPLETION")</x:f>
        <x:v>HELD — COVERAGE</x:v>
      </x:c>
      <x:c r="AB897" s="13" t="str">
        <x:f>IF(L897&lt;&gt;"COVERED","HELD — COVERAGE",IF(T897="UNRESOLVED","G DECISION REQUIRED",IF(T897="NOT APPLICABLE","G N/A","G ACTIONABLE")))</x:f>
        <x:v>HELD — COVERAGE</x:v>
      </x:c>
      <x:c r="AC897" s="13" t="str">
        <x:f>IF(L897="UNRESOLVED","COVERAGE FIRST",IF(OR(L897="EXCLUDED",L897="OUT OF SCOPE"),"CLOSED BY COVERAGE",IF(AND(L897="COVERED",T897&lt;&gt;"UNRESOLVED"),"PARTIALLY ADOPTED","DECISIONS REMAIN")))</x:f>
        <x:v>COVERAGE FIRST</x:v>
      </x:c>
    </x:row>
    <x:row r="898">
      <x:c r="A898" s="13" t="str">
        <x:v>NAAFTC-HS6-210420</x:v>
      </x:c>
      <x:c r="B898" s="13" t="str">
        <x:v>210420</x:v>
      </x:c>
      <x:c r="C898" s="13" t="str">
        <x:v>21</x:v>
      </x:c>
      <x:c r="D898" s="13" t="str">
        <x:v>TRILATERAL_SPLIT_MERGE</x:v>
      </x:c>
      <x:c r="E898" s="13" t="str">
        <x:v>Pending</x:v>
      </x:c>
      <x:c r="F898" s="13" t="n">
        <x:v>2</x:v>
      </x:c>
      <x:c r="G898" s="13" t="n">
        <x:v>1</x:v>
      </x:c>
      <x:c r="H898" s="13" t="n">
        <x:v>1</x:v>
      </x:c>
      <x:c r="I898" s="13" t="str">
        <x:v>2104201000; 2104205000</x:v>
      </x:c>
      <x:c r="J898" s="13" t="str">
        <x:v>2104200100</x:v>
      </x:c>
      <x:c r="K898" s="13" t="str">
        <x:v>2104200000</x:v>
      </x:c>
      <x:c r="L898" s="13" t="str">
        <x:v>UNRESOLVED</x:v>
      </x:c>
      <x:c r="M898" s="13" t="str"/>
      <x:c r="N898" s="13" t="str">
        <x:v>NO / DEFAULT</x:v>
      </x:c>
      <x:c r="O898" s="13" t="str"/>
      <x:c r="P898" s="13" t="str">
        <x:v>NO / DEFAULT</x:v>
      </x:c>
      <x:c r="Q898" s="13" t="str"/>
      <x:c r="R898" s="13" t="str">
        <x:v>INDEPENDENT / DEFAULT</x:v>
      </x:c>
      <x:c r="S898" s="13" t="str"/>
      <x:c r="T898" s="13" t="str">
        <x:v>UNRESOLVED</x:v>
      </x:c>
      <x:c r="U898" s="13" t="str"/>
      <x:c r="V898" s="13" t="str"/>
      <x:c r="W898" s="13" t="str"/>
      <x:c r="X898" s="13" t="str">
        <x:f>IF(L898&lt;&gt;"COVERED","HELD — COVERAGE",IF(N898="YES — SENSITIVE","C ACTIONABLE","CHAPTER 5 DEFAULT"))</x:f>
        <x:v>HELD — COVERAGE</x:v>
      </x:c>
      <x:c r="Y898" s="13" t="str">
        <x:f>IF(L898&lt;&gt;"COVERED","HELD — COVERAGE",IF(P898="YES — MANAGED ACCESS","D ACTIONABLE","NO D FIELD"))</x:f>
        <x:v>HELD — COVERAGE</x:v>
      </x:c>
      <x:c r="Z898" s="13" t="str">
        <x:f>IF(L898&lt;&gt;"COVERED","HELD — COVERAGE",IF(OR(R898="PAIRED SYNCHRONIZED",R898="TRILATERAL SYNCHRONIZED"),"E ACTIONABLE","INDEPENDENT"))</x:f>
        <x:v>HELD — COVERAGE</x:v>
      </x:c>
      <x:c r="AA898" s="13" t="str">
        <x:f>IF(L898&lt;&gt;"COVERED","HELD — COVERAGE","WAIT FOR UPSTREAM COMPLETION")</x:f>
        <x:v>HELD — COVERAGE</x:v>
      </x:c>
      <x:c r="AB898" s="13" t="str">
        <x:f>IF(L898&lt;&gt;"COVERED","HELD — COVERAGE",IF(T898="UNRESOLVED","G DECISION REQUIRED",IF(T898="NOT APPLICABLE","G N/A","G ACTIONABLE")))</x:f>
        <x:v>HELD — COVERAGE</x:v>
      </x:c>
      <x:c r="AC898" s="13" t="str">
        <x:f>IF(L898="UNRESOLVED","COVERAGE FIRST",IF(OR(L898="EXCLUDED",L898="OUT OF SCOPE"),"CLOSED BY COVERAGE",IF(AND(L898="COVERED",T898&lt;&gt;"UNRESOLVED"),"PARTIALLY ADOPTED","DECISIONS REMAIN")))</x:f>
        <x:v>COVERAGE FIRST</x:v>
      </x:c>
    </x:row>
    <x:row r="899">
      <x:c r="A899" s="13" t="str">
        <x:v>NAAFTC-HS6-210500</x:v>
      </x:c>
      <x:c r="B899" s="13" t="str">
        <x:v>210500</x:v>
      </x:c>
      <x:c r="C899" s="13" t="str">
        <x:v>21</x:v>
      </x:c>
      <x:c r="D899" s="13" t="str">
        <x:v>TRILATERAL_SPLIT_MERGE</x:v>
      </x:c>
      <x:c r="E899" s="13" t="str">
        <x:v>Pending</x:v>
      </x:c>
      <x:c r="F899" s="13" t="n">
        <x:v>7</x:v>
      </x:c>
      <x:c r="G899" s="13" t="n">
        <x:v>1</x:v>
      </x:c>
      <x:c r="H899" s="13" t="n">
        <x:v>1</x:v>
      </x:c>
      <x:c r="I899" s="13" t="str">
        <x:v>2105000500; 2105001000; 2105002000; 2105002500; 2105003000; 2105004000; +1 more</x:v>
      </x:c>
      <x:c r="J899" s="13" t="str">
        <x:v>2105000100</x:v>
      </x:c>
      <x:c r="K899" s="13" t="str">
        <x:v>2105001000</x:v>
      </x:c>
      <x:c r="L899" s="13" t="str">
        <x:v>UNRESOLVED</x:v>
      </x:c>
      <x:c r="M899" s="13" t="str"/>
      <x:c r="N899" s="13" t="str">
        <x:v>NO / DEFAULT</x:v>
      </x:c>
      <x:c r="O899" s="13" t="str"/>
      <x:c r="P899" s="13" t="str">
        <x:v>NO / DEFAULT</x:v>
      </x:c>
      <x:c r="Q899" s="13" t="str"/>
      <x:c r="R899" s="13" t="str">
        <x:v>INDEPENDENT / DEFAULT</x:v>
      </x:c>
      <x:c r="S899" s="13" t="str"/>
      <x:c r="T899" s="13" t="str">
        <x:v>UNRESOLVED</x:v>
      </x:c>
      <x:c r="U899" s="13" t="str"/>
      <x:c r="V899" s="13" t="str"/>
      <x:c r="W899" s="13" t="str"/>
      <x:c r="X899" s="13" t="str">
        <x:f>IF(L899&lt;&gt;"COVERED","HELD — COVERAGE",IF(N899="YES — SENSITIVE","C ACTIONABLE","CHAPTER 5 DEFAULT"))</x:f>
        <x:v>HELD — COVERAGE</x:v>
      </x:c>
      <x:c r="Y899" s="13" t="str">
        <x:f>IF(L899&lt;&gt;"COVERED","HELD — COVERAGE",IF(P899="YES — MANAGED ACCESS","D ACTIONABLE","NO D FIELD"))</x:f>
        <x:v>HELD — COVERAGE</x:v>
      </x:c>
      <x:c r="Z899" s="13" t="str">
        <x:f>IF(L899&lt;&gt;"COVERED","HELD — COVERAGE",IF(OR(R899="PAIRED SYNCHRONIZED",R899="TRILATERAL SYNCHRONIZED"),"E ACTIONABLE","INDEPENDENT"))</x:f>
        <x:v>HELD — COVERAGE</x:v>
      </x:c>
      <x:c r="AA899" s="13" t="str">
        <x:f>IF(L899&lt;&gt;"COVERED","HELD — COVERAGE","WAIT FOR UPSTREAM COMPLETION")</x:f>
        <x:v>HELD — COVERAGE</x:v>
      </x:c>
      <x:c r="AB899" s="13" t="str">
        <x:f>IF(L899&lt;&gt;"COVERED","HELD — COVERAGE",IF(T899="UNRESOLVED","G DECISION REQUIRED",IF(T899="NOT APPLICABLE","G N/A","G ACTIONABLE")))</x:f>
        <x:v>HELD — COVERAGE</x:v>
      </x:c>
      <x:c r="AC899" s="13" t="str">
        <x:f>IF(L899="UNRESOLVED","COVERAGE FIRST",IF(OR(L899="EXCLUDED",L899="OUT OF SCOPE"),"CLOSED BY COVERAGE",IF(AND(L899="COVERED",T899&lt;&gt;"UNRESOLVED"),"PARTIALLY ADOPTED","DECISIONS REMAIN")))</x:f>
        <x:v>COVERAGE FIRST</x:v>
      </x:c>
    </x:row>
    <x:row r="900">
      <x:c r="A900" s="13" t="str">
        <x:v>NAAFTC-HS6-210610</x:v>
      </x:c>
      <x:c r="B900" s="13" t="str">
        <x:v>210610</x:v>
      </x:c>
      <x:c r="C900" s="13" t="str">
        <x:v>21</x:v>
      </x:c>
      <x:c r="D900" s="13" t="str">
        <x:v>TRILATERAL_SPLIT_MERGE</x:v>
      </x:c>
      <x:c r="E900" s="13" t="str">
        <x:v>Pending</x:v>
      </x:c>
      <x:c r="F900" s="13" t="n">
        <x:v>1</x:v>
      </x:c>
      <x:c r="G900" s="13" t="n">
        <x:v>2</x:v>
      </x:c>
      <x:c r="H900" s="13" t="n">
        <x:v>1</x:v>
      </x:c>
      <x:c r="I900" s="13" t="str">
        <x:v>2106100000</x:v>
      </x:c>
      <x:c r="J900" s="13" t="str">
        <x:v>2106100100; 2106109900</x:v>
      </x:c>
      <x:c r="K900" s="13" t="str">
        <x:v>2106100000</x:v>
      </x:c>
      <x:c r="L900" s="13" t="str">
        <x:v>UNRESOLVED</x:v>
      </x:c>
      <x:c r="M900" s="13" t="str"/>
      <x:c r="N900" s="13" t="str">
        <x:v>NO / DEFAULT</x:v>
      </x:c>
      <x:c r="O900" s="13" t="str"/>
      <x:c r="P900" s="13" t="str">
        <x:v>NO / DEFAULT</x:v>
      </x:c>
      <x:c r="Q900" s="13" t="str"/>
      <x:c r="R900" s="13" t="str">
        <x:v>INDEPENDENT / DEFAULT</x:v>
      </x:c>
      <x:c r="S900" s="13" t="str"/>
      <x:c r="T900" s="13" t="str">
        <x:v>UNRESOLVED</x:v>
      </x:c>
      <x:c r="U900" s="13" t="str"/>
      <x:c r="V900" s="13" t="str"/>
      <x:c r="W900" s="13" t="str"/>
      <x:c r="X900" s="13" t="str">
        <x:f>IF(L900&lt;&gt;"COVERED","HELD — COVERAGE",IF(N900="YES — SENSITIVE","C ACTIONABLE","CHAPTER 5 DEFAULT"))</x:f>
        <x:v>HELD — COVERAGE</x:v>
      </x:c>
      <x:c r="Y900" s="13" t="str">
        <x:f>IF(L900&lt;&gt;"COVERED","HELD — COVERAGE",IF(P900="YES — MANAGED ACCESS","D ACTIONABLE","NO D FIELD"))</x:f>
        <x:v>HELD — COVERAGE</x:v>
      </x:c>
      <x:c r="Z900" s="13" t="str">
        <x:f>IF(L900&lt;&gt;"COVERED","HELD — COVERAGE",IF(OR(R900="PAIRED SYNCHRONIZED",R900="TRILATERAL SYNCHRONIZED"),"E ACTIONABLE","INDEPENDENT"))</x:f>
        <x:v>HELD — COVERAGE</x:v>
      </x:c>
      <x:c r="AA900" s="13" t="str">
        <x:f>IF(L900&lt;&gt;"COVERED","HELD — COVERAGE","WAIT FOR UPSTREAM COMPLETION")</x:f>
        <x:v>HELD — COVERAGE</x:v>
      </x:c>
      <x:c r="AB900" s="13" t="str">
        <x:f>IF(L900&lt;&gt;"COVERED","HELD — COVERAGE",IF(T900="UNRESOLVED","G DECISION REQUIRED",IF(T900="NOT APPLICABLE","G N/A","G ACTIONABLE")))</x:f>
        <x:v>HELD — COVERAGE</x:v>
      </x:c>
      <x:c r="AC900" s="13" t="str">
        <x:f>IF(L900="UNRESOLVED","COVERAGE FIRST",IF(OR(L900="EXCLUDED",L900="OUT OF SCOPE"),"CLOSED BY COVERAGE",IF(AND(L900="COVERED",T900&lt;&gt;"UNRESOLVED"),"PARTIALLY ADOPTED","DECISIONS REMAIN")))</x:f>
        <x:v>COVERAGE FIRST</x:v>
      </x:c>
    </x:row>
    <x:row r="901">
      <x:c r="A901" s="13" t="str">
        <x:v>NAAFTC-HS6-210690</x:v>
      </x:c>
      <x:c r="B901" s="13" t="str">
        <x:v>210690</x:v>
      </x:c>
      <x:c r="C901" s="13" t="str">
        <x:v>21</x:v>
      </x:c>
      <x:c r="D901" s="13" t="str">
        <x:v>TRILATERAL_SPLIT_MERGE</x:v>
      </x:c>
      <x:c r="E901" s="13" t="str">
        <x:v>Pending</x:v>
      </x:c>
      <x:c r="F901" s="13" t="n">
        <x:v>57</x:v>
      </x:c>
      <x:c r="G901" s="13" t="n">
        <x:v>13</x:v>
      </x:c>
      <x:c r="H901" s="13" t="n">
        <x:v>13</x:v>
      </x:c>
      <x:c r="I901" s="13" t="str">
        <x:v>2106900300; 2106900600; 2106900900; 2106901200; 2106901500; 2106901800; +51 more</x:v>
      </x:c>
      <x:c r="J901" s="13" t="str">
        <x:v>2106900100; 2106900300; 2106900400; 2106900500; 2106900700; 2106900800; +7 more</x:v>
      </x:c>
      <x:c r="K901" s="13" t="str">
        <x:v>21069029; 2106903100; 2106903200; 2106903300; 2106903400; 2106903500; +7 more</x:v>
      </x:c>
      <x:c r="L901" s="13" t="str">
        <x:v>UNRESOLVED</x:v>
      </x:c>
      <x:c r="M901" s="13" t="str"/>
      <x:c r="N901" s="13" t="str">
        <x:v>NO / DEFAULT</x:v>
      </x:c>
      <x:c r="O901" s="13" t="str"/>
      <x:c r="P901" s="13" t="str">
        <x:v>NO / DEFAULT</x:v>
      </x:c>
      <x:c r="Q901" s="13" t="str"/>
      <x:c r="R901" s="13" t="str">
        <x:v>INDEPENDENT / DEFAULT</x:v>
      </x:c>
      <x:c r="S901" s="13" t="str"/>
      <x:c r="T901" s="13" t="str">
        <x:v>UNRESOLVED</x:v>
      </x:c>
      <x:c r="U901" s="13" t="str"/>
      <x:c r="V901" s="13" t="str"/>
      <x:c r="W901" s="13" t="str"/>
      <x:c r="X901" s="13" t="str">
        <x:f>IF(L901&lt;&gt;"COVERED","HELD — COVERAGE",IF(N901="YES — SENSITIVE","C ACTIONABLE","CHAPTER 5 DEFAULT"))</x:f>
        <x:v>HELD — COVERAGE</x:v>
      </x:c>
      <x:c r="Y901" s="13" t="str">
        <x:f>IF(L901&lt;&gt;"COVERED","HELD — COVERAGE",IF(P901="YES — MANAGED ACCESS","D ACTIONABLE","NO D FIELD"))</x:f>
        <x:v>HELD — COVERAGE</x:v>
      </x:c>
      <x:c r="Z901" s="13" t="str">
        <x:f>IF(L901&lt;&gt;"COVERED","HELD — COVERAGE",IF(OR(R901="PAIRED SYNCHRONIZED",R901="TRILATERAL SYNCHRONIZED"),"E ACTIONABLE","INDEPENDENT"))</x:f>
        <x:v>HELD — COVERAGE</x:v>
      </x:c>
      <x:c r="AA901" s="13" t="str">
        <x:f>IF(L901&lt;&gt;"COVERED","HELD — COVERAGE","WAIT FOR UPSTREAM COMPLETION")</x:f>
        <x:v>HELD — COVERAGE</x:v>
      </x:c>
      <x:c r="AB901" s="13" t="str">
        <x:f>IF(L901&lt;&gt;"COVERED","HELD — COVERAGE",IF(T901="UNRESOLVED","G DECISION REQUIRED",IF(T901="NOT APPLICABLE","G N/A","G ACTIONABLE")))</x:f>
        <x:v>HELD — COVERAGE</x:v>
      </x:c>
      <x:c r="AC901" s="13" t="str">
        <x:f>IF(L901="UNRESOLVED","COVERAGE FIRST",IF(OR(L901="EXCLUDED",L901="OUT OF SCOPE"),"CLOSED BY COVERAGE",IF(AND(L901="COVERED",T901&lt;&gt;"UNRESOLVED"),"PARTIALLY ADOPTED","DECISIONS REMAIN")))</x:f>
        <x:v>COVERAGE FIRST</x:v>
      </x:c>
    </x:row>
    <x:row r="902">
      <x:c r="A902" s="13" t="str">
        <x:v>NAAFTC-HS6-220110</x:v>
      </x:c>
      <x:c r="B902" s="13" t="str">
        <x:v>220110</x:v>
      </x:c>
      <x:c r="C902" s="13" t="str">
        <x:v>22</x:v>
      </x:c>
      <x:c r="D902" s="13" t="str">
        <x:v>TRILATERAL_SPLIT_MERGE</x:v>
      </x:c>
      <x:c r="E902" s="13" t="str">
        <x:v>Pending</x:v>
      </x:c>
      <x:c r="F902" s="13" t="n">
        <x:v>1</x:v>
      </x:c>
      <x:c r="G902" s="13" t="n">
        <x:v>2</x:v>
      </x:c>
      <x:c r="H902" s="13" t="n">
        <x:v>1</x:v>
      </x:c>
      <x:c r="I902" s="13" t="str">
        <x:v>2201100000</x:v>
      </x:c>
      <x:c r="J902" s="13" t="str">
        <x:v>2201100201; 2201100299</x:v>
      </x:c>
      <x:c r="K902" s="13" t="str">
        <x:v>22011000</x:v>
      </x:c>
      <x:c r="L902" s="13" t="str">
        <x:v>UNRESOLVED</x:v>
      </x:c>
      <x:c r="M902" s="13" t="str"/>
      <x:c r="N902" s="13" t="str">
        <x:v>NO / DEFAULT</x:v>
      </x:c>
      <x:c r="O902" s="13" t="str"/>
      <x:c r="P902" s="13" t="str">
        <x:v>NO / DEFAULT</x:v>
      </x:c>
      <x:c r="Q902" s="13" t="str"/>
      <x:c r="R902" s="13" t="str">
        <x:v>INDEPENDENT / DEFAULT</x:v>
      </x:c>
      <x:c r="S902" s="13" t="str"/>
      <x:c r="T902" s="13" t="str">
        <x:v>UNRESOLVED</x:v>
      </x:c>
      <x:c r="U902" s="13" t="str"/>
      <x:c r="V902" s="13" t="str"/>
      <x:c r="W902" s="13" t="str"/>
      <x:c r="X902" s="13" t="str">
        <x:f>IF(L902&lt;&gt;"COVERED","HELD — COVERAGE",IF(N902="YES — SENSITIVE","C ACTIONABLE","CHAPTER 5 DEFAULT"))</x:f>
        <x:v>HELD — COVERAGE</x:v>
      </x:c>
      <x:c r="Y902" s="13" t="str">
        <x:f>IF(L902&lt;&gt;"COVERED","HELD — COVERAGE",IF(P902="YES — MANAGED ACCESS","D ACTIONABLE","NO D FIELD"))</x:f>
        <x:v>HELD — COVERAGE</x:v>
      </x:c>
      <x:c r="Z902" s="13" t="str">
        <x:f>IF(L902&lt;&gt;"COVERED","HELD — COVERAGE",IF(OR(R902="PAIRED SYNCHRONIZED",R902="TRILATERAL SYNCHRONIZED"),"E ACTIONABLE","INDEPENDENT"))</x:f>
        <x:v>HELD — COVERAGE</x:v>
      </x:c>
      <x:c r="AA902" s="13" t="str">
        <x:f>IF(L902&lt;&gt;"COVERED","HELD — COVERAGE","WAIT FOR UPSTREAM COMPLETION")</x:f>
        <x:v>HELD — COVERAGE</x:v>
      </x:c>
      <x:c r="AB902" s="13" t="str">
        <x:f>IF(L902&lt;&gt;"COVERED","HELD — COVERAGE",IF(T902="UNRESOLVED","G DECISION REQUIRED",IF(T902="NOT APPLICABLE","G N/A","G ACTIONABLE")))</x:f>
        <x:v>HELD — COVERAGE</x:v>
      </x:c>
      <x:c r="AC902" s="13" t="str">
        <x:f>IF(L902="UNRESOLVED","COVERAGE FIRST",IF(OR(L902="EXCLUDED",L902="OUT OF SCOPE"),"CLOSED BY COVERAGE",IF(AND(L902="COVERED",T902&lt;&gt;"UNRESOLVED"),"PARTIALLY ADOPTED","DECISIONS REMAIN")))</x:f>
        <x:v>COVERAGE FIRST</x:v>
      </x:c>
    </x:row>
    <x:row r="903">
      <x:c r="A903" s="13" t="str">
        <x:v>NAAFTC-HS6-220190</x:v>
      </x:c>
      <x:c r="B903" s="13" t="str">
        <x:v>220190</x:v>
      </x:c>
      <x:c r="C903" s="13" t="str">
        <x:v>22</x:v>
      </x:c>
      <x:c r="D903" s="13" t="str">
        <x:v>TRILATERAL_SPLIT_MERGE</x:v>
      </x:c>
      <x:c r="E903" s="13" t="str">
        <x:v>Pending</x:v>
      </x:c>
      <x:c r="F903" s="13" t="n">
        <x:v>1</x:v>
      </x:c>
      <x:c r="G903" s="13" t="n">
        <x:v>3</x:v>
      </x:c>
      <x:c r="H903" s="13" t="n">
        <x:v>1</x:v>
      </x:c>
      <x:c r="I903" s="13" t="str">
        <x:v>2201900000</x:v>
      </x:c>
      <x:c r="J903" s="13" t="str">
        <x:v>2201900100; 2201900200; 2201909900</x:v>
      </x:c>
      <x:c r="K903" s="13" t="str">
        <x:v>2201900000</x:v>
      </x:c>
      <x:c r="L903" s="13" t="str">
        <x:v>UNRESOLVED</x:v>
      </x:c>
      <x:c r="M903" s="13" t="str"/>
      <x:c r="N903" s="13" t="str">
        <x:v>NO / DEFAULT</x:v>
      </x:c>
      <x:c r="O903" s="13" t="str"/>
      <x:c r="P903" s="13" t="str">
        <x:v>NO / DEFAULT</x:v>
      </x:c>
      <x:c r="Q903" s="13" t="str"/>
      <x:c r="R903" s="13" t="str">
        <x:v>INDEPENDENT / DEFAULT</x:v>
      </x:c>
      <x:c r="S903" s="13" t="str"/>
      <x:c r="T903" s="13" t="str">
        <x:v>UNRESOLVED</x:v>
      </x:c>
      <x:c r="U903" s="13" t="str"/>
      <x:c r="V903" s="13" t="str"/>
      <x:c r="W903" s="13" t="str"/>
      <x:c r="X903" s="13" t="str">
        <x:f>IF(L903&lt;&gt;"COVERED","HELD — COVERAGE",IF(N903="YES — SENSITIVE","C ACTIONABLE","CHAPTER 5 DEFAULT"))</x:f>
        <x:v>HELD — COVERAGE</x:v>
      </x:c>
      <x:c r="Y903" s="13" t="str">
        <x:f>IF(L903&lt;&gt;"COVERED","HELD — COVERAGE",IF(P903="YES — MANAGED ACCESS","D ACTIONABLE","NO D FIELD"))</x:f>
        <x:v>HELD — COVERAGE</x:v>
      </x:c>
      <x:c r="Z903" s="13" t="str">
        <x:f>IF(L903&lt;&gt;"COVERED","HELD — COVERAGE",IF(OR(R903="PAIRED SYNCHRONIZED",R903="TRILATERAL SYNCHRONIZED"),"E ACTIONABLE","INDEPENDENT"))</x:f>
        <x:v>HELD — COVERAGE</x:v>
      </x:c>
      <x:c r="AA903" s="13" t="str">
        <x:f>IF(L903&lt;&gt;"COVERED","HELD — COVERAGE","WAIT FOR UPSTREAM COMPLETION")</x:f>
        <x:v>HELD — COVERAGE</x:v>
      </x:c>
      <x:c r="AB903" s="13" t="str">
        <x:f>IF(L903&lt;&gt;"COVERED","HELD — COVERAGE",IF(T903="UNRESOLVED","G DECISION REQUIRED",IF(T903="NOT APPLICABLE","G N/A","G ACTIONABLE")))</x:f>
        <x:v>HELD — COVERAGE</x:v>
      </x:c>
      <x:c r="AC903" s="13" t="str">
        <x:f>IF(L903="UNRESOLVED","COVERAGE FIRST",IF(OR(L903="EXCLUDED",L903="OUT OF SCOPE"),"CLOSED BY COVERAGE",IF(AND(L903="COVERED",T903&lt;&gt;"UNRESOLVED"),"PARTIALLY ADOPTED","DECISIONS REMAIN")))</x:f>
        <x:v>COVERAGE FIRST</x:v>
      </x:c>
    </x:row>
    <x:row r="904">
      <x:c r="A904" s="13" t="str">
        <x:v>NAAFTC-HS6-220210</x:v>
      </x:c>
      <x:c r="B904" s="13" t="str">
        <x:v>220210</x:v>
      </x:c>
      <x:c r="C904" s="13" t="str">
        <x:v>22</x:v>
      </x:c>
      <x:c r="D904" s="13" t="str">
        <x:v>TRILATERAL_SPLIT_MERGE</x:v>
      </x:c>
      <x:c r="E904" s="13" t="str">
        <x:v>Pending</x:v>
      </x:c>
      <x:c r="F904" s="13" t="n">
        <x:v>5</x:v>
      </x:c>
      <x:c r="G904" s="13" t="n">
        <x:v>1</x:v>
      </x:c>
      <x:c r="H904" s="13" t="n">
        <x:v>1</x:v>
      </x:c>
      <x:c r="I904" s="13" t="str">
        <x:v>2202100020; 2202100045; 2202100055; 2202100065; 2202100075</x:v>
      </x:c>
      <x:c r="J904" s="13" t="str">
        <x:v>2202100100</x:v>
      </x:c>
      <x:c r="K904" s="13" t="str">
        <x:v>22021000</x:v>
      </x:c>
      <x:c r="L904" s="13" t="str">
        <x:v>UNRESOLVED</x:v>
      </x:c>
      <x:c r="M904" s="13" t="str"/>
      <x:c r="N904" s="13" t="str">
        <x:v>NO / DEFAULT</x:v>
      </x:c>
      <x:c r="O904" s="13" t="str"/>
      <x:c r="P904" s="13" t="str">
        <x:v>NO / DEFAULT</x:v>
      </x:c>
      <x:c r="Q904" s="13" t="str"/>
      <x:c r="R904" s="13" t="str">
        <x:v>INDEPENDENT / DEFAULT</x:v>
      </x:c>
      <x:c r="S904" s="13" t="str"/>
      <x:c r="T904" s="13" t="str">
        <x:v>UNRESOLVED</x:v>
      </x:c>
      <x:c r="U904" s="13" t="str"/>
      <x:c r="V904" s="13" t="str"/>
      <x:c r="W904" s="13" t="str"/>
      <x:c r="X904" s="13" t="str">
        <x:f>IF(L904&lt;&gt;"COVERED","HELD — COVERAGE",IF(N904="YES — SENSITIVE","C ACTIONABLE","CHAPTER 5 DEFAULT"))</x:f>
        <x:v>HELD — COVERAGE</x:v>
      </x:c>
      <x:c r="Y904" s="13" t="str">
        <x:f>IF(L904&lt;&gt;"COVERED","HELD — COVERAGE",IF(P904="YES — MANAGED ACCESS","D ACTIONABLE","NO D FIELD"))</x:f>
        <x:v>HELD — COVERAGE</x:v>
      </x:c>
      <x:c r="Z904" s="13" t="str">
        <x:f>IF(L904&lt;&gt;"COVERED","HELD — COVERAGE",IF(OR(R904="PAIRED SYNCHRONIZED",R904="TRILATERAL SYNCHRONIZED"),"E ACTIONABLE","INDEPENDENT"))</x:f>
        <x:v>HELD — COVERAGE</x:v>
      </x:c>
      <x:c r="AA904" s="13" t="str">
        <x:f>IF(L904&lt;&gt;"COVERED","HELD — COVERAGE","WAIT FOR UPSTREAM COMPLETION")</x:f>
        <x:v>HELD — COVERAGE</x:v>
      </x:c>
      <x:c r="AB904" s="13" t="str">
        <x:f>IF(L904&lt;&gt;"COVERED","HELD — COVERAGE",IF(T904="UNRESOLVED","G DECISION REQUIRED",IF(T904="NOT APPLICABLE","G N/A","G ACTIONABLE")))</x:f>
        <x:v>HELD — COVERAGE</x:v>
      </x:c>
      <x:c r="AC904" s="13" t="str">
        <x:f>IF(L904="UNRESOLVED","COVERAGE FIRST",IF(OR(L904="EXCLUDED",L904="OUT OF SCOPE"),"CLOSED BY COVERAGE",IF(AND(L904="COVERED",T904&lt;&gt;"UNRESOLVED"),"PARTIALLY ADOPTED","DECISIONS REMAIN")))</x:f>
        <x:v>COVERAGE FIRST</x:v>
      </x:c>
    </x:row>
    <x:row r="905">
      <x:c r="A905" s="13" t="str">
        <x:v>NAAFTC-HS6-220291</x:v>
      </x:c>
      <x:c r="B905" s="13" t="str">
        <x:v>220291</x:v>
      </x:c>
      <x:c r="C905" s="13" t="str">
        <x:v>22</x:v>
      </x:c>
      <x:c r="D905" s="13" t="str">
        <x:v>TRILATERAL_SPLIT_MERGE</x:v>
      </x:c>
      <x:c r="E905" s="13" t="str">
        <x:v>Pending</x:v>
      </x:c>
      <x:c r="F905" s="13" t="n">
        <x:v>2</x:v>
      </x:c>
      <x:c r="G905" s="13" t="n">
        <x:v>1</x:v>
      </x:c>
      <x:c r="H905" s="13" t="n">
        <x:v>1</x:v>
      </x:c>
      <x:c r="I905" s="13" t="str">
        <x:v>2202910010; 2202910020</x:v>
      </x:c>
      <x:c r="J905" s="13" t="str">
        <x:v>2202910100</x:v>
      </x:c>
      <x:c r="K905" s="13" t="str">
        <x:v>2202910000</x:v>
      </x:c>
      <x:c r="L905" s="13" t="str">
        <x:v>UNRESOLVED</x:v>
      </x:c>
      <x:c r="M905" s="13" t="str"/>
      <x:c r="N905" s="13" t="str">
        <x:v>NO / DEFAULT</x:v>
      </x:c>
      <x:c r="O905" s="13" t="str"/>
      <x:c r="P905" s="13" t="str">
        <x:v>NO / DEFAULT</x:v>
      </x:c>
      <x:c r="Q905" s="13" t="str"/>
      <x:c r="R905" s="13" t="str">
        <x:v>INDEPENDENT / DEFAULT</x:v>
      </x:c>
      <x:c r="S905" s="13" t="str"/>
      <x:c r="T905" s="13" t="str">
        <x:v>UNRESOLVED</x:v>
      </x:c>
      <x:c r="U905" s="13" t="str"/>
      <x:c r="V905" s="13" t="str"/>
      <x:c r="W905" s="13" t="str"/>
      <x:c r="X905" s="13" t="str">
        <x:f>IF(L905&lt;&gt;"COVERED","HELD — COVERAGE",IF(N905="YES — SENSITIVE","C ACTIONABLE","CHAPTER 5 DEFAULT"))</x:f>
        <x:v>HELD — COVERAGE</x:v>
      </x:c>
      <x:c r="Y905" s="13" t="str">
        <x:f>IF(L905&lt;&gt;"COVERED","HELD — COVERAGE",IF(P905="YES — MANAGED ACCESS","D ACTIONABLE","NO D FIELD"))</x:f>
        <x:v>HELD — COVERAGE</x:v>
      </x:c>
      <x:c r="Z905" s="13" t="str">
        <x:f>IF(L905&lt;&gt;"COVERED","HELD — COVERAGE",IF(OR(R905="PAIRED SYNCHRONIZED",R905="TRILATERAL SYNCHRONIZED"),"E ACTIONABLE","INDEPENDENT"))</x:f>
        <x:v>HELD — COVERAGE</x:v>
      </x:c>
      <x:c r="AA905" s="13" t="str">
        <x:f>IF(L905&lt;&gt;"COVERED","HELD — COVERAGE","WAIT FOR UPSTREAM COMPLETION")</x:f>
        <x:v>HELD — COVERAGE</x:v>
      </x:c>
      <x:c r="AB905" s="13" t="str">
        <x:f>IF(L905&lt;&gt;"COVERED","HELD — COVERAGE",IF(T905="UNRESOLVED","G DECISION REQUIRED",IF(T905="NOT APPLICABLE","G N/A","G ACTIONABLE")))</x:f>
        <x:v>HELD — COVERAGE</x:v>
      </x:c>
      <x:c r="AC905" s="13" t="str">
        <x:f>IF(L905="UNRESOLVED","COVERAGE FIRST",IF(OR(L905="EXCLUDED",L905="OUT OF SCOPE"),"CLOSED BY COVERAGE",IF(AND(L905="COVERED",T905&lt;&gt;"UNRESOLVED"),"PARTIALLY ADOPTED","DECISIONS REMAIN")))</x:f>
        <x:v>COVERAGE FIRST</x:v>
      </x:c>
    </x:row>
    <x:row r="906">
      <x:c r="A906" s="13" t="str">
        <x:v>NAAFTC-HS6-220299</x:v>
      </x:c>
      <x:c r="B906" s="13" t="str">
        <x:v>220299</x:v>
      </x:c>
      <x:c r="C906" s="13" t="str">
        <x:v>22</x:v>
      </x:c>
      <x:c r="D906" s="13" t="str">
        <x:v>TRILATERAL_SPLIT_MERGE</x:v>
      </x:c>
      <x:c r="E906" s="13" t="str">
        <x:v>Pending</x:v>
      </x:c>
      <x:c r="F906" s="13" t="n">
        <x:v>12</x:v>
      </x:c>
      <x:c r="G906" s="13" t="n">
        <x:v>6</x:v>
      </x:c>
      <x:c r="H906" s="13" t="n">
        <x:v>7</x:v>
      </x:c>
      <x:c r="I906" s="13" t="str">
        <x:v>2202991000; 2202992200; 2202992400; 2202992800; 2202993000; 2202993500; +6 more</x:v>
      </x:c>
      <x:c r="J906" s="13" t="str">
        <x:v>2202990100; 2202990201; 2202990299; 2202990300; 2202990400; 2202999900</x:v>
      </x:c>
      <x:c r="K906" s="13" t="str">
        <x:v>2202991000; 22029921; 2202992200; 2202993100; 2202993200; 2202993300; +1 more</x:v>
      </x:c>
      <x:c r="L906" s="13" t="str">
        <x:v>UNRESOLVED</x:v>
      </x:c>
      <x:c r="M906" s="13" t="str"/>
      <x:c r="N906" s="13" t="str">
        <x:v>NO / DEFAULT</x:v>
      </x:c>
      <x:c r="O906" s="13" t="str"/>
      <x:c r="P906" s="13" t="str">
        <x:v>NO / DEFAULT</x:v>
      </x:c>
      <x:c r="Q906" s="13" t="str"/>
      <x:c r="R906" s="13" t="str">
        <x:v>INDEPENDENT / DEFAULT</x:v>
      </x:c>
      <x:c r="S906" s="13" t="str"/>
      <x:c r="T906" s="13" t="str">
        <x:v>UNRESOLVED</x:v>
      </x:c>
      <x:c r="U906" s="13" t="str"/>
      <x:c r="V906" s="13" t="str"/>
      <x:c r="W906" s="13" t="str"/>
      <x:c r="X906" s="13" t="str">
        <x:f>IF(L906&lt;&gt;"COVERED","HELD — COVERAGE",IF(N906="YES — SENSITIVE","C ACTIONABLE","CHAPTER 5 DEFAULT"))</x:f>
        <x:v>HELD — COVERAGE</x:v>
      </x:c>
      <x:c r="Y906" s="13" t="str">
        <x:f>IF(L906&lt;&gt;"COVERED","HELD — COVERAGE",IF(P906="YES — MANAGED ACCESS","D ACTIONABLE","NO D FIELD"))</x:f>
        <x:v>HELD — COVERAGE</x:v>
      </x:c>
      <x:c r="Z906" s="13" t="str">
        <x:f>IF(L906&lt;&gt;"COVERED","HELD — COVERAGE",IF(OR(R906="PAIRED SYNCHRONIZED",R906="TRILATERAL SYNCHRONIZED"),"E ACTIONABLE","INDEPENDENT"))</x:f>
        <x:v>HELD — COVERAGE</x:v>
      </x:c>
      <x:c r="AA906" s="13" t="str">
        <x:f>IF(L906&lt;&gt;"COVERED","HELD — COVERAGE","WAIT FOR UPSTREAM COMPLETION")</x:f>
        <x:v>HELD — COVERAGE</x:v>
      </x:c>
      <x:c r="AB906" s="13" t="str">
        <x:f>IF(L906&lt;&gt;"COVERED","HELD — COVERAGE",IF(T906="UNRESOLVED","G DECISION REQUIRED",IF(T906="NOT APPLICABLE","G N/A","G ACTIONABLE")))</x:f>
        <x:v>HELD — COVERAGE</x:v>
      </x:c>
      <x:c r="AC906" s="13" t="str">
        <x:f>IF(L906="UNRESOLVED","COVERAGE FIRST",IF(OR(L906="EXCLUDED",L906="OUT OF SCOPE"),"CLOSED BY COVERAGE",IF(AND(L906="COVERED",T906&lt;&gt;"UNRESOLVED"),"PARTIALLY ADOPTED","DECISIONS REMAIN")))</x:f>
        <x:v>COVERAGE FIRST</x:v>
      </x:c>
    </x:row>
    <x:row r="907">
      <x:c r="A907" s="13" t="str">
        <x:v>NAAFTC-HS6-220300</x:v>
      </x:c>
      <x:c r="B907" s="13" t="str">
        <x:v>220300</x:v>
      </x:c>
      <x:c r="C907" s="13" t="str">
        <x:v>22</x:v>
      </x:c>
      <x:c r="D907" s="13" t="str">
        <x:v>TRILATERAL_SPLIT_MERGE</x:v>
      </x:c>
      <x:c r="E907" s="13" t="str">
        <x:v>Pending</x:v>
      </x:c>
      <x:c r="F907" s="13" t="n">
        <x:v>3</x:v>
      </x:c>
      <x:c r="G907" s="13" t="n">
        <x:v>1</x:v>
      </x:c>
      <x:c r="H907" s="13" t="n">
        <x:v>1</x:v>
      </x:c>
      <x:c r="I907" s="13" t="str">
        <x:v>2203000030; 2203000060; 2203000090</x:v>
      </x:c>
      <x:c r="J907" s="13" t="str">
        <x:v>2203000100</x:v>
      </x:c>
      <x:c r="K907" s="13" t="str">
        <x:v>22030000</x:v>
      </x:c>
      <x:c r="L907" s="13" t="str">
        <x:v>UNRESOLVED</x:v>
      </x:c>
      <x:c r="M907" s="13" t="str"/>
      <x:c r="N907" s="13" t="str">
        <x:v>NO / DEFAULT</x:v>
      </x:c>
      <x:c r="O907" s="13" t="str"/>
      <x:c r="P907" s="13" t="str">
        <x:v>NO / DEFAULT</x:v>
      </x:c>
      <x:c r="Q907" s="13" t="str"/>
      <x:c r="R907" s="13" t="str">
        <x:v>INDEPENDENT / DEFAULT</x:v>
      </x:c>
      <x:c r="S907" s="13" t="str"/>
      <x:c r="T907" s="13" t="str">
        <x:v>UNRESOLVED</x:v>
      </x:c>
      <x:c r="U907" s="13" t="str"/>
      <x:c r="V907" s="13" t="str"/>
      <x:c r="W907" s="13" t="str"/>
      <x:c r="X907" s="13" t="str">
        <x:f>IF(L907&lt;&gt;"COVERED","HELD — COVERAGE",IF(N907="YES — SENSITIVE","C ACTIONABLE","CHAPTER 5 DEFAULT"))</x:f>
        <x:v>HELD — COVERAGE</x:v>
      </x:c>
      <x:c r="Y907" s="13" t="str">
        <x:f>IF(L907&lt;&gt;"COVERED","HELD — COVERAGE",IF(P907="YES — MANAGED ACCESS","D ACTIONABLE","NO D FIELD"))</x:f>
        <x:v>HELD — COVERAGE</x:v>
      </x:c>
      <x:c r="Z907" s="13" t="str">
        <x:f>IF(L907&lt;&gt;"COVERED","HELD — COVERAGE",IF(OR(R907="PAIRED SYNCHRONIZED",R907="TRILATERAL SYNCHRONIZED"),"E ACTIONABLE","INDEPENDENT"))</x:f>
        <x:v>HELD — COVERAGE</x:v>
      </x:c>
      <x:c r="AA907" s="13" t="str">
        <x:f>IF(L907&lt;&gt;"COVERED","HELD — COVERAGE","WAIT FOR UPSTREAM COMPLETION")</x:f>
        <x:v>HELD — COVERAGE</x:v>
      </x:c>
      <x:c r="AB907" s="13" t="str">
        <x:f>IF(L907&lt;&gt;"COVERED","HELD — COVERAGE",IF(T907="UNRESOLVED","G DECISION REQUIRED",IF(T907="NOT APPLICABLE","G N/A","G ACTIONABLE")))</x:f>
        <x:v>HELD — COVERAGE</x:v>
      </x:c>
      <x:c r="AC907" s="13" t="str">
        <x:f>IF(L907="UNRESOLVED","COVERAGE FIRST",IF(OR(L907="EXCLUDED",L907="OUT OF SCOPE"),"CLOSED BY COVERAGE",IF(AND(L907="COVERED",T907&lt;&gt;"UNRESOLVED"),"PARTIALLY ADOPTED","DECISIONS REMAIN")))</x:f>
        <x:v>COVERAGE FIRST</x:v>
      </x:c>
    </x:row>
    <x:row r="908">
      <x:c r="A908" s="13" t="str">
        <x:v>NAAFTC-HS6-220410</x:v>
      </x:c>
      <x:c r="B908" s="13" t="str">
        <x:v>220410</x:v>
      </x:c>
      <x:c r="C908" s="13" t="str">
        <x:v>22</x:v>
      </x:c>
      <x:c r="D908" s="13" t="str">
        <x:v>TRILATERAL_SPLIT_MERGE</x:v>
      </x:c>
      <x:c r="E908" s="13" t="str">
        <x:v>Pending</x:v>
      </x:c>
      <x:c r="F908" s="13" t="n">
        <x:v>3</x:v>
      </x:c>
      <x:c r="G908" s="13" t="n">
        <x:v>2</x:v>
      </x:c>
      <x:c r="H908" s="13" t="n">
        <x:v>2</x:v>
      </x:c>
      <x:c r="I908" s="13" t="str">
        <x:v>2204100030; 2204100065; 2204100075</x:v>
      </x:c>
      <x:c r="J908" s="13" t="str">
        <x:v>2204100201; 2204100299</x:v>
      </x:c>
      <x:c r="K908" s="13" t="str">
        <x:v>2204101000; 2204109000</x:v>
      </x:c>
      <x:c r="L908" s="13" t="str">
        <x:v>UNRESOLVED</x:v>
      </x:c>
      <x:c r="M908" s="13" t="str"/>
      <x:c r="N908" s="13" t="str">
        <x:v>NO / DEFAULT</x:v>
      </x:c>
      <x:c r="O908" s="13" t="str"/>
      <x:c r="P908" s="13" t="str">
        <x:v>NO / DEFAULT</x:v>
      </x:c>
      <x:c r="Q908" s="13" t="str"/>
      <x:c r="R908" s="13" t="str">
        <x:v>INDEPENDENT / DEFAULT</x:v>
      </x:c>
      <x:c r="S908" s="13" t="str"/>
      <x:c r="T908" s="13" t="str">
        <x:v>UNRESOLVED</x:v>
      </x:c>
      <x:c r="U908" s="13" t="str"/>
      <x:c r="V908" s="13" t="str"/>
      <x:c r="W908" s="13" t="str"/>
      <x:c r="X908" s="13" t="str">
        <x:f>IF(L908&lt;&gt;"COVERED","HELD — COVERAGE",IF(N908="YES — SENSITIVE","C ACTIONABLE","CHAPTER 5 DEFAULT"))</x:f>
        <x:v>HELD — COVERAGE</x:v>
      </x:c>
      <x:c r="Y908" s="13" t="str">
        <x:f>IF(L908&lt;&gt;"COVERED","HELD — COVERAGE",IF(P908="YES — MANAGED ACCESS","D ACTIONABLE","NO D FIELD"))</x:f>
        <x:v>HELD — COVERAGE</x:v>
      </x:c>
      <x:c r="Z908" s="13" t="str">
        <x:f>IF(L908&lt;&gt;"COVERED","HELD — COVERAGE",IF(OR(R908="PAIRED SYNCHRONIZED",R908="TRILATERAL SYNCHRONIZED"),"E ACTIONABLE","INDEPENDENT"))</x:f>
        <x:v>HELD — COVERAGE</x:v>
      </x:c>
      <x:c r="AA908" s="13" t="str">
        <x:f>IF(L908&lt;&gt;"COVERED","HELD — COVERAGE","WAIT FOR UPSTREAM COMPLETION")</x:f>
        <x:v>HELD — COVERAGE</x:v>
      </x:c>
      <x:c r="AB908" s="13" t="str">
        <x:f>IF(L908&lt;&gt;"COVERED","HELD — COVERAGE",IF(T908="UNRESOLVED","G DECISION REQUIRED",IF(T908="NOT APPLICABLE","G N/A","G ACTIONABLE")))</x:f>
        <x:v>HELD — COVERAGE</x:v>
      </x:c>
      <x:c r="AC908" s="13" t="str">
        <x:f>IF(L908="UNRESOLVED","COVERAGE FIRST",IF(OR(L908="EXCLUDED",L908="OUT OF SCOPE"),"CLOSED BY COVERAGE",IF(AND(L908="COVERED",T908&lt;&gt;"UNRESOLVED"),"PARTIALLY ADOPTED","DECISIONS REMAIN")))</x:f>
        <x:v>COVERAGE FIRST</x:v>
      </x:c>
    </x:row>
    <x:row r="909">
      <x:c r="A909" s="13" t="str">
        <x:v>NAAFTC-HS6-220421</x:v>
      </x:c>
      <x:c r="B909" s="13" t="str">
        <x:v>220421</x:v>
      </x:c>
      <x:c r="C909" s="13" t="str">
        <x:v>22</x:v>
      </x:c>
      <x:c r="D909" s="13" t="str">
        <x:v>TRILATERAL_SPLIT_MERGE</x:v>
      </x:c>
      <x:c r="E909" s="13" t="str">
        <x:v>Pending</x:v>
      </x:c>
      <x:c r="F909" s="13" t="n">
        <x:v>14</x:v>
      </x:c>
      <x:c r="G909" s="13" t="n">
        <x:v>3</x:v>
      </x:c>
      <x:c r="H909" s="13" t="n">
        <x:v>6</x:v>
      </x:c>
      <x:c r="I909" s="13" t="str">
        <x:v>2204212000; 2204213000; 2204215005; 2204215015; 2204215025; 2204215028; +8 more</x:v>
      </x:c>
      <x:c r="J909" s="13" t="str">
        <x:v>2204210401; 2204210402; 2204210499</x:v>
      </x:c>
      <x:c r="K909" s="13" t="str">
        <x:v>22042110; 2204212100; 2204212200; 2204212300; 2204212400; 2204212500</x:v>
      </x:c>
      <x:c r="L909" s="13" t="str">
        <x:v>UNRESOLVED</x:v>
      </x:c>
      <x:c r="M909" s="13" t="str"/>
      <x:c r="N909" s="13" t="str">
        <x:v>NO / DEFAULT</x:v>
      </x:c>
      <x:c r="O909" s="13" t="str"/>
      <x:c r="P909" s="13" t="str">
        <x:v>NO / DEFAULT</x:v>
      </x:c>
      <x:c r="Q909" s="13" t="str"/>
      <x:c r="R909" s="13" t="str">
        <x:v>INDEPENDENT / DEFAULT</x:v>
      </x:c>
      <x:c r="S909" s="13" t="str"/>
      <x:c r="T909" s="13" t="str">
        <x:v>UNRESOLVED</x:v>
      </x:c>
      <x:c r="U909" s="13" t="str"/>
      <x:c r="V909" s="13" t="str"/>
      <x:c r="W909" s="13" t="str"/>
      <x:c r="X909" s="13" t="str">
        <x:f>IF(L909&lt;&gt;"COVERED","HELD — COVERAGE",IF(N909="YES — SENSITIVE","C ACTIONABLE","CHAPTER 5 DEFAULT"))</x:f>
        <x:v>HELD — COVERAGE</x:v>
      </x:c>
      <x:c r="Y909" s="13" t="str">
        <x:f>IF(L909&lt;&gt;"COVERED","HELD — COVERAGE",IF(P909="YES — MANAGED ACCESS","D ACTIONABLE","NO D FIELD"))</x:f>
        <x:v>HELD — COVERAGE</x:v>
      </x:c>
      <x:c r="Z909" s="13" t="str">
        <x:f>IF(L909&lt;&gt;"COVERED","HELD — COVERAGE",IF(OR(R909="PAIRED SYNCHRONIZED",R909="TRILATERAL SYNCHRONIZED"),"E ACTIONABLE","INDEPENDENT"))</x:f>
        <x:v>HELD — COVERAGE</x:v>
      </x:c>
      <x:c r="AA909" s="13" t="str">
        <x:f>IF(L909&lt;&gt;"COVERED","HELD — COVERAGE","WAIT FOR UPSTREAM COMPLETION")</x:f>
        <x:v>HELD — COVERAGE</x:v>
      </x:c>
      <x:c r="AB909" s="13" t="str">
        <x:f>IF(L909&lt;&gt;"COVERED","HELD — COVERAGE",IF(T909="UNRESOLVED","G DECISION REQUIRED",IF(T909="NOT APPLICABLE","G N/A","G ACTIONABLE")))</x:f>
        <x:v>HELD — COVERAGE</x:v>
      </x:c>
      <x:c r="AC909" s="13" t="str">
        <x:f>IF(L909="UNRESOLVED","COVERAGE FIRST",IF(OR(L909="EXCLUDED",L909="OUT OF SCOPE"),"CLOSED BY COVERAGE",IF(AND(L909="COVERED",T909&lt;&gt;"UNRESOLVED"),"PARTIALLY ADOPTED","DECISIONS REMAIN")))</x:f>
        <x:v>COVERAGE FIRST</x:v>
      </x:c>
    </x:row>
    <x:row r="910">
      <x:c r="A910" s="13" t="str">
        <x:v>NAAFTC-HS6-220422</x:v>
      </x:c>
      <x:c r="B910" s="13" t="str">
        <x:v>220422</x:v>
      </x:c>
      <x:c r="C910" s="13" t="str">
        <x:v>22</x:v>
      </x:c>
      <x:c r="D910" s="13" t="str">
        <x:v>TRILATERAL_SPLIT_MERGE</x:v>
      </x:c>
      <x:c r="E910" s="13" t="str">
        <x:v>Pending</x:v>
      </x:c>
      <x:c r="F910" s="13" t="n">
        <x:v>9</x:v>
      </x:c>
      <x:c r="G910" s="13" t="n">
        <x:v>1</x:v>
      </x:c>
      <x:c r="H910" s="13" t="n">
        <x:v>7</x:v>
      </x:c>
      <x:c r="I910" s="13" t="str">
        <x:v>2204222005; 2204222015; 2204222025; 2204222030; 2204222045; 2204222060; +3 more</x:v>
      </x:c>
      <x:c r="J910" s="13" t="str">
        <x:v>2204220100</x:v>
      </x:c>
      <x:c r="K910" s="13" t="str">
        <x:v>22042210; 2204222100; 2204222200; 2204222300; 2204222400; 2204222500; +1 more</x:v>
      </x:c>
      <x:c r="L910" s="13" t="str">
        <x:v>UNRESOLVED</x:v>
      </x:c>
      <x:c r="M910" s="13" t="str"/>
      <x:c r="N910" s="13" t="str">
        <x:v>NO / DEFAULT</x:v>
      </x:c>
      <x:c r="O910" s="13" t="str"/>
      <x:c r="P910" s="13" t="str">
        <x:v>NO / DEFAULT</x:v>
      </x:c>
      <x:c r="Q910" s="13" t="str"/>
      <x:c r="R910" s="13" t="str">
        <x:v>INDEPENDENT / DEFAULT</x:v>
      </x:c>
      <x:c r="S910" s="13" t="str"/>
      <x:c r="T910" s="13" t="str">
        <x:v>UNRESOLVED</x:v>
      </x:c>
      <x:c r="U910" s="13" t="str"/>
      <x:c r="V910" s="13" t="str"/>
      <x:c r="W910" s="13" t="str"/>
      <x:c r="X910" s="13" t="str">
        <x:f>IF(L910&lt;&gt;"COVERED","HELD — COVERAGE",IF(N910="YES — SENSITIVE","C ACTIONABLE","CHAPTER 5 DEFAULT"))</x:f>
        <x:v>HELD — COVERAGE</x:v>
      </x:c>
      <x:c r="Y910" s="13" t="str">
        <x:f>IF(L910&lt;&gt;"COVERED","HELD — COVERAGE",IF(P910="YES — MANAGED ACCESS","D ACTIONABLE","NO D FIELD"))</x:f>
        <x:v>HELD — COVERAGE</x:v>
      </x:c>
      <x:c r="Z910" s="13" t="str">
        <x:f>IF(L910&lt;&gt;"COVERED","HELD — COVERAGE",IF(OR(R910="PAIRED SYNCHRONIZED",R910="TRILATERAL SYNCHRONIZED"),"E ACTIONABLE","INDEPENDENT"))</x:f>
        <x:v>HELD — COVERAGE</x:v>
      </x:c>
      <x:c r="AA910" s="13" t="str">
        <x:f>IF(L910&lt;&gt;"COVERED","HELD — COVERAGE","WAIT FOR UPSTREAM COMPLETION")</x:f>
        <x:v>HELD — COVERAGE</x:v>
      </x:c>
      <x:c r="AB910" s="13" t="str">
        <x:f>IF(L910&lt;&gt;"COVERED","HELD — COVERAGE",IF(T910="UNRESOLVED","G DECISION REQUIRED",IF(T910="NOT APPLICABLE","G N/A","G ACTIONABLE")))</x:f>
        <x:v>HELD — COVERAGE</x:v>
      </x:c>
      <x:c r="AC910" s="13" t="str">
        <x:f>IF(L910="UNRESOLVED","COVERAGE FIRST",IF(OR(L910="EXCLUDED",L910="OUT OF SCOPE"),"CLOSED BY COVERAGE",IF(AND(L910="COVERED",T910&lt;&gt;"UNRESOLVED"),"PARTIALLY ADOPTED","DECISIONS REMAIN")))</x:f>
        <x:v>COVERAGE FIRST</x:v>
      </x:c>
    </x:row>
    <x:row r="911">
      <x:c r="A911" s="13" t="str">
        <x:v>NAAFTC-HS6-220429</x:v>
      </x:c>
      <x:c r="B911" s="13" t="str">
        <x:v>220429</x:v>
      </x:c>
      <x:c r="C911" s="13" t="str">
        <x:v>22</x:v>
      </x:c>
      <x:c r="D911" s="13" t="str">
        <x:v>TRILATERAL_SPLIT_MERGE</x:v>
      </x:c>
      <x:c r="E911" s="13" t="str">
        <x:v>Pending</x:v>
      </x:c>
      <x:c r="F911" s="13" t="n">
        <x:v>2</x:v>
      </x:c>
      <x:c r="G911" s="13" t="n">
        <x:v>1</x:v>
      </x:c>
      <x:c r="H911" s="13" t="n">
        <x:v>7</x:v>
      </x:c>
      <x:c r="I911" s="13" t="str">
        <x:v>2204296100; 2204298100</x:v>
      </x:c>
      <x:c r="J911" s="13" t="str">
        <x:v>2204299900</x:v>
      </x:c>
      <x:c r="K911" s="13" t="str">
        <x:v>2204292100; 2204292200; 2204292300; 2204292400; 2204292500; 2204292600; +1 more</x:v>
      </x:c>
      <x:c r="L911" s="13" t="str">
        <x:v>UNRESOLVED</x:v>
      </x:c>
      <x:c r="M911" s="13" t="str"/>
      <x:c r="N911" s="13" t="str">
        <x:v>NO / DEFAULT</x:v>
      </x:c>
      <x:c r="O911" s="13" t="str"/>
      <x:c r="P911" s="13" t="str">
        <x:v>NO / DEFAULT</x:v>
      </x:c>
      <x:c r="Q911" s="13" t="str"/>
      <x:c r="R911" s="13" t="str">
        <x:v>INDEPENDENT / DEFAULT</x:v>
      </x:c>
      <x:c r="S911" s="13" t="str"/>
      <x:c r="T911" s="13" t="str">
        <x:v>UNRESOLVED</x:v>
      </x:c>
      <x:c r="U911" s="13" t="str"/>
      <x:c r="V911" s="13" t="str"/>
      <x:c r="W911" s="13" t="str"/>
      <x:c r="X911" s="13" t="str">
        <x:f>IF(L911&lt;&gt;"COVERED","HELD — COVERAGE",IF(N911="YES — SENSITIVE","C ACTIONABLE","CHAPTER 5 DEFAULT"))</x:f>
        <x:v>HELD — COVERAGE</x:v>
      </x:c>
      <x:c r="Y911" s="13" t="str">
        <x:f>IF(L911&lt;&gt;"COVERED","HELD — COVERAGE",IF(P911="YES — MANAGED ACCESS","D ACTIONABLE","NO D FIELD"))</x:f>
        <x:v>HELD — COVERAGE</x:v>
      </x:c>
      <x:c r="Z911" s="13" t="str">
        <x:f>IF(L911&lt;&gt;"COVERED","HELD — COVERAGE",IF(OR(R911="PAIRED SYNCHRONIZED",R911="TRILATERAL SYNCHRONIZED"),"E ACTIONABLE","INDEPENDENT"))</x:f>
        <x:v>HELD — COVERAGE</x:v>
      </x:c>
      <x:c r="AA911" s="13" t="str">
        <x:f>IF(L911&lt;&gt;"COVERED","HELD — COVERAGE","WAIT FOR UPSTREAM COMPLETION")</x:f>
        <x:v>HELD — COVERAGE</x:v>
      </x:c>
      <x:c r="AB911" s="13" t="str">
        <x:f>IF(L911&lt;&gt;"COVERED","HELD — COVERAGE",IF(T911="UNRESOLVED","G DECISION REQUIRED",IF(T911="NOT APPLICABLE","G N/A","G ACTIONABLE")))</x:f>
        <x:v>HELD — COVERAGE</x:v>
      </x:c>
      <x:c r="AC911" s="13" t="str">
        <x:f>IF(L911="UNRESOLVED","COVERAGE FIRST",IF(OR(L911="EXCLUDED",L911="OUT OF SCOPE"),"CLOSED BY COVERAGE",IF(AND(L911="COVERED",T911&lt;&gt;"UNRESOLVED"),"PARTIALLY ADOPTED","DECISIONS REMAIN")))</x:f>
        <x:v>COVERAGE FIRST</x:v>
      </x:c>
    </x:row>
    <x:row r="912">
      <x:c r="A912" s="13" t="str">
        <x:v>NAAFTC-HS6-220430</x:v>
      </x:c>
      <x:c r="B912" s="13" t="str">
        <x:v>220430</x:v>
      </x:c>
      <x:c r="C912" s="13" t="str">
        <x:v>22</x:v>
      </x:c>
      <x:c r="D912" s="13" t="str">
        <x:v>TRILATERAL_SPLIT_MERGE</x:v>
      </x:c>
      <x:c r="E912" s="13" t="str">
        <x:v>Pending</x:v>
      </x:c>
      <x:c r="F912" s="13" t="n">
        <x:v>1</x:v>
      </x:c>
      <x:c r="G912" s="13" t="n">
        <x:v>1</x:v>
      </x:c>
      <x:c r="H912" s="13" t="n">
        <x:v>2</x:v>
      </x:c>
      <x:c r="I912" s="13" t="str">
        <x:v>2204300000</x:v>
      </x:c>
      <x:c r="J912" s="13" t="str">
        <x:v>2204309100</x:v>
      </x:c>
      <x:c r="K912" s="13" t="str">
        <x:v>2204301000; 2204309000</x:v>
      </x:c>
      <x:c r="L912" s="13" t="str">
        <x:v>UNRESOLVED</x:v>
      </x:c>
      <x:c r="M912" s="13" t="str"/>
      <x:c r="N912" s="13" t="str">
        <x:v>NO / DEFAULT</x:v>
      </x:c>
      <x:c r="O912" s="13" t="str"/>
      <x:c r="P912" s="13" t="str">
        <x:v>NO / DEFAULT</x:v>
      </x:c>
      <x:c r="Q912" s="13" t="str"/>
      <x:c r="R912" s="13" t="str">
        <x:v>INDEPENDENT / DEFAULT</x:v>
      </x:c>
      <x:c r="S912" s="13" t="str"/>
      <x:c r="T912" s="13" t="str">
        <x:v>UNRESOLVED</x:v>
      </x:c>
      <x:c r="U912" s="13" t="str"/>
      <x:c r="V912" s="13" t="str"/>
      <x:c r="W912" s="13" t="str"/>
      <x:c r="X912" s="13" t="str">
        <x:f>IF(L912&lt;&gt;"COVERED","HELD — COVERAGE",IF(N912="YES — SENSITIVE","C ACTIONABLE","CHAPTER 5 DEFAULT"))</x:f>
        <x:v>HELD — COVERAGE</x:v>
      </x:c>
      <x:c r="Y912" s="13" t="str">
        <x:f>IF(L912&lt;&gt;"COVERED","HELD — COVERAGE",IF(P912="YES — MANAGED ACCESS","D ACTIONABLE","NO D FIELD"))</x:f>
        <x:v>HELD — COVERAGE</x:v>
      </x:c>
      <x:c r="Z912" s="13" t="str">
        <x:f>IF(L912&lt;&gt;"COVERED","HELD — COVERAGE",IF(OR(R912="PAIRED SYNCHRONIZED",R912="TRILATERAL SYNCHRONIZED"),"E ACTIONABLE","INDEPENDENT"))</x:f>
        <x:v>HELD — COVERAGE</x:v>
      </x:c>
      <x:c r="AA912" s="13" t="str">
        <x:f>IF(L912&lt;&gt;"COVERED","HELD — COVERAGE","WAIT FOR UPSTREAM COMPLETION")</x:f>
        <x:v>HELD — COVERAGE</x:v>
      </x:c>
      <x:c r="AB912" s="13" t="str">
        <x:f>IF(L912&lt;&gt;"COVERED","HELD — COVERAGE",IF(T912="UNRESOLVED","G DECISION REQUIRED",IF(T912="NOT APPLICABLE","G N/A","G ACTIONABLE")))</x:f>
        <x:v>HELD — COVERAGE</x:v>
      </x:c>
      <x:c r="AC912" s="13" t="str">
        <x:f>IF(L912="UNRESOLVED","COVERAGE FIRST",IF(OR(L912="EXCLUDED",L912="OUT OF SCOPE"),"CLOSED BY COVERAGE",IF(AND(L912="COVERED",T912&lt;&gt;"UNRESOLVED"),"PARTIALLY ADOPTED","DECISIONS REMAIN")))</x:f>
        <x:v>COVERAGE FIRST</x:v>
      </x:c>
    </x:row>
    <x:row r="913">
      <x:c r="A913" s="13" t="str">
        <x:v>NAAFTC-HS6-220510</x:v>
      </x:c>
      <x:c r="B913" s="13" t="str">
        <x:v>220510</x:v>
      </x:c>
      <x:c r="C913" s="13" t="str">
        <x:v>22</x:v>
      </x:c>
      <x:c r="D913" s="13" t="str">
        <x:v>TRILATERAL_SPLIT_MERGE</x:v>
      </x:c>
      <x:c r="E913" s="13" t="str">
        <x:v>Pending</x:v>
      </x:c>
      <x:c r="F913" s="13" t="n">
        <x:v>2</x:v>
      </x:c>
      <x:c r="G913" s="13" t="n">
        <x:v>1</x:v>
      </x:c>
      <x:c r="H913" s="13" t="n">
        <x:v>3</x:v>
      </x:c>
      <x:c r="I913" s="13" t="str">
        <x:v>2205103000; 2205106000</x:v>
      </x:c>
      <x:c r="J913" s="13" t="str">
        <x:v>2205100200</x:v>
      </x:c>
      <x:c r="K913" s="13" t="str">
        <x:v>22051010; 2205102000; 2205103000</x:v>
      </x:c>
      <x:c r="L913" s="13" t="str">
        <x:v>UNRESOLVED</x:v>
      </x:c>
      <x:c r="M913" s="13" t="str"/>
      <x:c r="N913" s="13" t="str">
        <x:v>NO / DEFAULT</x:v>
      </x:c>
      <x:c r="O913" s="13" t="str"/>
      <x:c r="P913" s="13" t="str">
        <x:v>NO / DEFAULT</x:v>
      </x:c>
      <x:c r="Q913" s="13" t="str"/>
      <x:c r="R913" s="13" t="str">
        <x:v>INDEPENDENT / DEFAULT</x:v>
      </x:c>
      <x:c r="S913" s="13" t="str"/>
      <x:c r="T913" s="13" t="str">
        <x:v>UNRESOLVED</x:v>
      </x:c>
      <x:c r="U913" s="13" t="str"/>
      <x:c r="V913" s="13" t="str"/>
      <x:c r="W913" s="13" t="str"/>
      <x:c r="X913" s="13" t="str">
        <x:f>IF(L913&lt;&gt;"COVERED","HELD — COVERAGE",IF(N913="YES — SENSITIVE","C ACTIONABLE","CHAPTER 5 DEFAULT"))</x:f>
        <x:v>HELD — COVERAGE</x:v>
      </x:c>
      <x:c r="Y913" s="13" t="str">
        <x:f>IF(L913&lt;&gt;"COVERED","HELD — COVERAGE",IF(P913="YES — MANAGED ACCESS","D ACTIONABLE","NO D FIELD"))</x:f>
        <x:v>HELD — COVERAGE</x:v>
      </x:c>
      <x:c r="Z913" s="13" t="str">
        <x:f>IF(L913&lt;&gt;"COVERED","HELD — COVERAGE",IF(OR(R913="PAIRED SYNCHRONIZED",R913="TRILATERAL SYNCHRONIZED"),"E ACTIONABLE","INDEPENDENT"))</x:f>
        <x:v>HELD — COVERAGE</x:v>
      </x:c>
      <x:c r="AA913" s="13" t="str">
        <x:f>IF(L913&lt;&gt;"COVERED","HELD — COVERAGE","WAIT FOR UPSTREAM COMPLETION")</x:f>
        <x:v>HELD — COVERAGE</x:v>
      </x:c>
      <x:c r="AB913" s="13" t="str">
        <x:f>IF(L913&lt;&gt;"COVERED","HELD — COVERAGE",IF(T913="UNRESOLVED","G DECISION REQUIRED",IF(T913="NOT APPLICABLE","G N/A","G ACTIONABLE")))</x:f>
        <x:v>HELD — COVERAGE</x:v>
      </x:c>
      <x:c r="AC913" s="13" t="str">
        <x:f>IF(L913="UNRESOLVED","COVERAGE FIRST",IF(OR(L913="EXCLUDED",L913="OUT OF SCOPE"),"CLOSED BY COVERAGE",IF(AND(L913="COVERED",T913&lt;&gt;"UNRESOLVED"),"PARTIALLY ADOPTED","DECISIONS REMAIN")))</x:f>
        <x:v>COVERAGE FIRST</x:v>
      </x:c>
    </x:row>
    <x:row r="914">
      <x:c r="A914" s="13" t="str">
        <x:v>NAAFTC-HS6-220590</x:v>
      </x:c>
      <x:c r="B914" s="13" t="str">
        <x:v>220590</x:v>
      </x:c>
      <x:c r="C914" s="13" t="str">
        <x:v>22</x:v>
      </x:c>
      <x:c r="D914" s="13" t="str">
        <x:v>TRILATERAL_SPLIT_MERGE</x:v>
      </x:c>
      <x:c r="E914" s="13" t="str">
        <x:v>Pending</x:v>
      </x:c>
      <x:c r="F914" s="13" t="n">
        <x:v>3</x:v>
      </x:c>
      <x:c r="G914" s="13" t="n">
        <x:v>1</x:v>
      </x:c>
      <x:c r="H914" s="13" t="n">
        <x:v>3</x:v>
      </x:c>
      <x:c r="I914" s="13" t="str">
        <x:v>2205902000; 2205904000; 2205906000</x:v>
      </x:c>
      <x:c r="J914" s="13" t="str">
        <x:v>2205909900</x:v>
      </x:c>
      <x:c r="K914" s="13" t="str">
        <x:v>2205901000; 2205902000; 2205903000</x:v>
      </x:c>
      <x:c r="L914" s="13" t="str">
        <x:v>UNRESOLVED</x:v>
      </x:c>
      <x:c r="M914" s="13" t="str"/>
      <x:c r="N914" s="13" t="str">
        <x:v>NO / DEFAULT</x:v>
      </x:c>
      <x:c r="O914" s="13" t="str"/>
      <x:c r="P914" s="13" t="str">
        <x:v>NO / DEFAULT</x:v>
      </x:c>
      <x:c r="Q914" s="13" t="str"/>
      <x:c r="R914" s="13" t="str">
        <x:v>INDEPENDENT / DEFAULT</x:v>
      </x:c>
      <x:c r="S914" s="13" t="str"/>
      <x:c r="T914" s="13" t="str">
        <x:v>UNRESOLVED</x:v>
      </x:c>
      <x:c r="U914" s="13" t="str"/>
      <x:c r="V914" s="13" t="str"/>
      <x:c r="W914" s="13" t="str"/>
      <x:c r="X914" s="13" t="str">
        <x:f>IF(L914&lt;&gt;"COVERED","HELD — COVERAGE",IF(N914="YES — SENSITIVE","C ACTIONABLE","CHAPTER 5 DEFAULT"))</x:f>
        <x:v>HELD — COVERAGE</x:v>
      </x:c>
      <x:c r="Y914" s="13" t="str">
        <x:f>IF(L914&lt;&gt;"COVERED","HELD — COVERAGE",IF(P914="YES — MANAGED ACCESS","D ACTIONABLE","NO D FIELD"))</x:f>
        <x:v>HELD — COVERAGE</x:v>
      </x:c>
      <x:c r="Z914" s="13" t="str">
        <x:f>IF(L914&lt;&gt;"COVERED","HELD — COVERAGE",IF(OR(R914="PAIRED SYNCHRONIZED",R914="TRILATERAL SYNCHRONIZED"),"E ACTIONABLE","INDEPENDENT"))</x:f>
        <x:v>HELD — COVERAGE</x:v>
      </x:c>
      <x:c r="AA914" s="13" t="str">
        <x:f>IF(L914&lt;&gt;"COVERED","HELD — COVERAGE","WAIT FOR UPSTREAM COMPLETION")</x:f>
        <x:v>HELD — COVERAGE</x:v>
      </x:c>
      <x:c r="AB914" s="13" t="str">
        <x:f>IF(L914&lt;&gt;"COVERED","HELD — COVERAGE",IF(T914="UNRESOLVED","G DECISION REQUIRED",IF(T914="NOT APPLICABLE","G N/A","G ACTIONABLE")))</x:f>
        <x:v>HELD — COVERAGE</x:v>
      </x:c>
      <x:c r="AC914" s="13" t="str">
        <x:f>IF(L914="UNRESOLVED","COVERAGE FIRST",IF(OR(L914="EXCLUDED",L914="OUT OF SCOPE"),"CLOSED BY COVERAGE",IF(AND(L914="COVERED",T914&lt;&gt;"UNRESOLVED"),"PARTIALLY ADOPTED","DECISIONS REMAIN")))</x:f>
        <x:v>COVERAGE FIRST</x:v>
      </x:c>
    </x:row>
    <x:row r="915">
      <x:c r="A915" s="13" t="str">
        <x:v>NAAFTC-HS6-220600</x:v>
      </x:c>
      <x:c r="B915" s="13" t="str">
        <x:v>220600</x:v>
      </x:c>
      <x:c r="C915" s="13" t="str">
        <x:v>22</x:v>
      </x:c>
      <x:c r="D915" s="13" t="str">
        <x:v>TRILATERAL_SPLIT_MERGE</x:v>
      </x:c>
      <x:c r="E915" s="13" t="str">
        <x:v>Pending</x:v>
      </x:c>
      <x:c r="F915" s="13" t="n">
        <x:v>9</x:v>
      </x:c>
      <x:c r="G915" s="13" t="n">
        <x:v>2</x:v>
      </x:c>
      <x:c r="H915" s="13" t="n">
        <x:v>19</x:v>
      </x:c>
      <x:c r="I915" s="13" t="str">
        <x:v>2206001510; 2206001520; 2206003000; 2206004500; 2206006000; 2206009015; +3 more</x:v>
      </x:c>
      <x:c r="J915" s="13" t="str">
        <x:v>2206009101; 2206009199</x:v>
      </x:c>
      <x:c r="K915" s="13" t="str">
        <x:v>2206003100; 2206003900; 2206004100; 2206004900; 2206005000; 2206006100; +13 more</x:v>
      </x:c>
      <x:c r="L915" s="13" t="str">
        <x:v>UNRESOLVED</x:v>
      </x:c>
      <x:c r="M915" s="13" t="str"/>
      <x:c r="N915" s="13" t="str">
        <x:v>NO / DEFAULT</x:v>
      </x:c>
      <x:c r="O915" s="13" t="str"/>
      <x:c r="P915" s="13" t="str">
        <x:v>NO / DEFAULT</x:v>
      </x:c>
      <x:c r="Q915" s="13" t="str"/>
      <x:c r="R915" s="13" t="str">
        <x:v>INDEPENDENT / DEFAULT</x:v>
      </x:c>
      <x:c r="S915" s="13" t="str"/>
      <x:c r="T915" s="13" t="str">
        <x:v>UNRESOLVED</x:v>
      </x:c>
      <x:c r="U915" s="13" t="str"/>
      <x:c r="V915" s="13" t="str"/>
      <x:c r="W915" s="13" t="str"/>
      <x:c r="X915" s="13" t="str">
        <x:f>IF(L915&lt;&gt;"COVERED","HELD — COVERAGE",IF(N915="YES — SENSITIVE","C ACTIONABLE","CHAPTER 5 DEFAULT"))</x:f>
        <x:v>HELD — COVERAGE</x:v>
      </x:c>
      <x:c r="Y915" s="13" t="str">
        <x:f>IF(L915&lt;&gt;"COVERED","HELD — COVERAGE",IF(P915="YES — MANAGED ACCESS","D ACTIONABLE","NO D FIELD"))</x:f>
        <x:v>HELD — COVERAGE</x:v>
      </x:c>
      <x:c r="Z915" s="13" t="str">
        <x:f>IF(L915&lt;&gt;"COVERED","HELD — COVERAGE",IF(OR(R915="PAIRED SYNCHRONIZED",R915="TRILATERAL SYNCHRONIZED"),"E ACTIONABLE","INDEPENDENT"))</x:f>
        <x:v>HELD — COVERAGE</x:v>
      </x:c>
      <x:c r="AA915" s="13" t="str">
        <x:f>IF(L915&lt;&gt;"COVERED","HELD — COVERAGE","WAIT FOR UPSTREAM COMPLETION")</x:f>
        <x:v>HELD — COVERAGE</x:v>
      </x:c>
      <x:c r="AB915" s="13" t="str">
        <x:f>IF(L915&lt;&gt;"COVERED","HELD — COVERAGE",IF(T915="UNRESOLVED","G DECISION REQUIRED",IF(T915="NOT APPLICABLE","G N/A","G ACTIONABLE")))</x:f>
        <x:v>HELD — COVERAGE</x:v>
      </x:c>
      <x:c r="AC915" s="13" t="str">
        <x:f>IF(L915="UNRESOLVED","COVERAGE FIRST",IF(OR(L915="EXCLUDED",L915="OUT OF SCOPE"),"CLOSED BY COVERAGE",IF(AND(L915="COVERED",T915&lt;&gt;"UNRESOLVED"),"PARTIALLY ADOPTED","DECISIONS REMAIN")))</x:f>
        <x:v>COVERAGE FIRST</x:v>
      </x:c>
    </x:row>
    <x:row r="916">
      <x:c r="A916" s="13" t="str">
        <x:v>NAAFTC-HS6-220710</x:v>
      </x:c>
      <x:c r="B916" s="13" t="str">
        <x:v>220710</x:v>
      </x:c>
      <x:c r="C916" s="13" t="str">
        <x:v>22</x:v>
      </x:c>
      <x:c r="D916" s="13" t="str">
        <x:v>TRILATERAL_SPLIT_MERGE</x:v>
      </x:c>
      <x:c r="E916" s="13" t="str">
        <x:v>Pending</x:v>
      </x:c>
      <x:c r="F916" s="13" t="n">
        <x:v>3</x:v>
      </x:c>
      <x:c r="G916" s="13" t="n">
        <x:v>1</x:v>
      </x:c>
      <x:c r="H916" s="13" t="n">
        <x:v>1</x:v>
      </x:c>
      <x:c r="I916" s="13" t="str">
        <x:v>2207103000; 2207106010; 2207106090</x:v>
      </x:c>
      <x:c r="J916" s="13" t="str">
        <x:v>2207100100</x:v>
      </x:c>
      <x:c r="K916" s="13" t="str">
        <x:v>22071000</x:v>
      </x:c>
      <x:c r="L916" s="13" t="str">
        <x:v>UNRESOLVED</x:v>
      </x:c>
      <x:c r="M916" s="13" t="str"/>
      <x:c r="N916" s="13" t="str">
        <x:v>NO / DEFAULT</x:v>
      </x:c>
      <x:c r="O916" s="13" t="str"/>
      <x:c r="P916" s="13" t="str">
        <x:v>NO / DEFAULT</x:v>
      </x:c>
      <x:c r="Q916" s="13" t="str"/>
      <x:c r="R916" s="13" t="str">
        <x:v>INDEPENDENT / DEFAULT</x:v>
      </x:c>
      <x:c r="S916" s="13" t="str"/>
      <x:c r="T916" s="13" t="str">
        <x:v>UNRESOLVED</x:v>
      </x:c>
      <x:c r="U916" s="13" t="str"/>
      <x:c r="V916" s="13" t="str"/>
      <x:c r="W916" s="13" t="str"/>
      <x:c r="X916" s="13" t="str">
        <x:f>IF(L916&lt;&gt;"COVERED","HELD — COVERAGE",IF(N916="YES — SENSITIVE","C ACTIONABLE","CHAPTER 5 DEFAULT"))</x:f>
        <x:v>HELD — COVERAGE</x:v>
      </x:c>
      <x:c r="Y916" s="13" t="str">
        <x:f>IF(L916&lt;&gt;"COVERED","HELD — COVERAGE",IF(P916="YES — MANAGED ACCESS","D ACTIONABLE","NO D FIELD"))</x:f>
        <x:v>HELD — COVERAGE</x:v>
      </x:c>
      <x:c r="Z916" s="13" t="str">
        <x:f>IF(L916&lt;&gt;"COVERED","HELD — COVERAGE",IF(OR(R916="PAIRED SYNCHRONIZED",R916="TRILATERAL SYNCHRONIZED"),"E ACTIONABLE","INDEPENDENT"))</x:f>
        <x:v>HELD — COVERAGE</x:v>
      </x:c>
      <x:c r="AA916" s="13" t="str">
        <x:f>IF(L916&lt;&gt;"COVERED","HELD — COVERAGE","WAIT FOR UPSTREAM COMPLETION")</x:f>
        <x:v>HELD — COVERAGE</x:v>
      </x:c>
      <x:c r="AB916" s="13" t="str">
        <x:f>IF(L916&lt;&gt;"COVERED","HELD — COVERAGE",IF(T916="UNRESOLVED","G DECISION REQUIRED",IF(T916="NOT APPLICABLE","G N/A","G ACTIONABLE")))</x:f>
        <x:v>HELD — COVERAGE</x:v>
      </x:c>
      <x:c r="AC916" s="13" t="str">
        <x:f>IF(L916="UNRESOLVED","COVERAGE FIRST",IF(OR(L916="EXCLUDED",L916="OUT OF SCOPE"),"CLOSED BY COVERAGE",IF(AND(L916="COVERED",T916&lt;&gt;"UNRESOLVED"),"PARTIALLY ADOPTED","DECISIONS REMAIN")))</x:f>
        <x:v>COVERAGE FIRST</x:v>
      </x:c>
    </x:row>
    <x:row r="917">
      <x:c r="A917" s="13" t="str">
        <x:v>NAAFTC-HS6-220720</x:v>
      </x:c>
      <x:c r="B917" s="13" t="str">
        <x:v>220720</x:v>
      </x:c>
      <x:c r="C917" s="13" t="str">
        <x:v>22</x:v>
      </x:c>
      <x:c r="D917" s="13" t="str">
        <x:v>TRILATERAL_SPLIT_MERGE</x:v>
      </x:c>
      <x:c r="E917" s="13" t="str">
        <x:v>Pending</x:v>
      </x:c>
      <x:c r="F917" s="13" t="n">
        <x:v>2</x:v>
      </x:c>
      <x:c r="G917" s="13" t="n">
        <x:v>1</x:v>
      </x:c>
      <x:c r="H917" s="13" t="n">
        <x:v>4</x:v>
      </x:c>
      <x:c r="I917" s="13" t="str">
        <x:v>2207200010; 2207200090</x:v>
      </x:c>
      <x:c r="J917" s="13" t="str">
        <x:v>2207200100</x:v>
      </x:c>
      <x:c r="K917" s="13" t="str">
        <x:v>2207201100; 22072012; 2207201900; 2207209000</x:v>
      </x:c>
      <x:c r="L917" s="13" t="str">
        <x:v>UNRESOLVED</x:v>
      </x:c>
      <x:c r="M917" s="13" t="str"/>
      <x:c r="N917" s="13" t="str">
        <x:v>NO / DEFAULT</x:v>
      </x:c>
      <x:c r="O917" s="13" t="str"/>
      <x:c r="P917" s="13" t="str">
        <x:v>NO / DEFAULT</x:v>
      </x:c>
      <x:c r="Q917" s="13" t="str"/>
      <x:c r="R917" s="13" t="str">
        <x:v>INDEPENDENT / DEFAULT</x:v>
      </x:c>
      <x:c r="S917" s="13" t="str"/>
      <x:c r="T917" s="13" t="str">
        <x:v>UNRESOLVED</x:v>
      </x:c>
      <x:c r="U917" s="13" t="str"/>
      <x:c r="V917" s="13" t="str"/>
      <x:c r="W917" s="13" t="str"/>
      <x:c r="X917" s="13" t="str">
        <x:f>IF(L917&lt;&gt;"COVERED","HELD — COVERAGE",IF(N917="YES — SENSITIVE","C ACTIONABLE","CHAPTER 5 DEFAULT"))</x:f>
        <x:v>HELD — COVERAGE</x:v>
      </x:c>
      <x:c r="Y917" s="13" t="str">
        <x:f>IF(L917&lt;&gt;"COVERED","HELD — COVERAGE",IF(P917="YES — MANAGED ACCESS","D ACTIONABLE","NO D FIELD"))</x:f>
        <x:v>HELD — COVERAGE</x:v>
      </x:c>
      <x:c r="Z917" s="13" t="str">
        <x:f>IF(L917&lt;&gt;"COVERED","HELD — COVERAGE",IF(OR(R917="PAIRED SYNCHRONIZED",R917="TRILATERAL SYNCHRONIZED"),"E ACTIONABLE","INDEPENDENT"))</x:f>
        <x:v>HELD — COVERAGE</x:v>
      </x:c>
      <x:c r="AA917" s="13" t="str">
        <x:f>IF(L917&lt;&gt;"COVERED","HELD — COVERAGE","WAIT FOR UPSTREAM COMPLETION")</x:f>
        <x:v>HELD — COVERAGE</x:v>
      </x:c>
      <x:c r="AB917" s="13" t="str">
        <x:f>IF(L917&lt;&gt;"COVERED","HELD — COVERAGE",IF(T917="UNRESOLVED","G DECISION REQUIRED",IF(T917="NOT APPLICABLE","G N/A","G ACTIONABLE")))</x:f>
        <x:v>HELD — COVERAGE</x:v>
      </x:c>
      <x:c r="AC917" s="13" t="str">
        <x:f>IF(L917="UNRESOLVED","COVERAGE FIRST",IF(OR(L917="EXCLUDED",L917="OUT OF SCOPE"),"CLOSED BY COVERAGE",IF(AND(L917="COVERED",T917&lt;&gt;"UNRESOLVED"),"PARTIALLY ADOPTED","DECISIONS REMAIN")))</x:f>
        <x:v>COVERAGE FIRST</x:v>
      </x:c>
    </x:row>
    <x:row r="918">
      <x:c r="A918" s="13" t="str">
        <x:v>NAAFTC-HS6-220820</x:v>
      </x:c>
      <x:c r="B918" s="13" t="str">
        <x:v>220820</x:v>
      </x:c>
      <x:c r="C918" s="13" t="str">
        <x:v>22</x:v>
      </x:c>
      <x:c r="D918" s="13" t="str">
        <x:v>TRILATERAL_SPLIT_MERGE</x:v>
      </x:c>
      <x:c r="E918" s="13" t="str">
        <x:v>Pending</x:v>
      </x:c>
      <x:c r="F918" s="13" t="n">
        <x:v>6</x:v>
      </x:c>
      <x:c r="G918" s="13" t="n">
        <x:v>4</x:v>
      </x:c>
      <x:c r="H918" s="13" t="n">
        <x:v>1</x:v>
      </x:c>
      <x:c r="I918" s="13" t="str">
        <x:v>2208201000; 2208202000; 2208203000; 2208204000; 2208205000; 2208206000</x:v>
      </x:c>
      <x:c r="J918" s="13" t="str">
        <x:v>2208200100; 2208200200; 2208200300; 2208209900</x:v>
      </x:c>
      <x:c r="K918" s="13" t="str">
        <x:v>22082000</x:v>
      </x:c>
      <x:c r="L918" s="13" t="str">
        <x:v>UNRESOLVED</x:v>
      </x:c>
      <x:c r="M918" s="13" t="str"/>
      <x:c r="N918" s="13" t="str">
        <x:v>NO / DEFAULT</x:v>
      </x:c>
      <x:c r="O918" s="13" t="str"/>
      <x:c r="P918" s="13" t="str">
        <x:v>NO / DEFAULT</x:v>
      </x:c>
      <x:c r="Q918" s="13" t="str"/>
      <x:c r="R918" s="13" t="str">
        <x:v>INDEPENDENT / DEFAULT</x:v>
      </x:c>
      <x:c r="S918" s="13" t="str"/>
      <x:c r="T918" s="13" t="str">
        <x:v>UNRESOLVED</x:v>
      </x:c>
      <x:c r="U918" s="13" t="str"/>
      <x:c r="V918" s="13" t="str"/>
      <x:c r="W918" s="13" t="str"/>
      <x:c r="X918" s="13" t="str">
        <x:f>IF(L918&lt;&gt;"COVERED","HELD — COVERAGE",IF(N918="YES — SENSITIVE","C ACTIONABLE","CHAPTER 5 DEFAULT"))</x:f>
        <x:v>HELD — COVERAGE</x:v>
      </x:c>
      <x:c r="Y918" s="13" t="str">
        <x:f>IF(L918&lt;&gt;"COVERED","HELD — COVERAGE",IF(P918="YES — MANAGED ACCESS","D ACTIONABLE","NO D FIELD"))</x:f>
        <x:v>HELD — COVERAGE</x:v>
      </x:c>
      <x:c r="Z918" s="13" t="str">
        <x:f>IF(L918&lt;&gt;"COVERED","HELD — COVERAGE",IF(OR(R918="PAIRED SYNCHRONIZED",R918="TRILATERAL SYNCHRONIZED"),"E ACTIONABLE","INDEPENDENT"))</x:f>
        <x:v>HELD — COVERAGE</x:v>
      </x:c>
      <x:c r="AA918" s="13" t="str">
        <x:f>IF(L918&lt;&gt;"COVERED","HELD — COVERAGE","WAIT FOR UPSTREAM COMPLETION")</x:f>
        <x:v>HELD — COVERAGE</x:v>
      </x:c>
      <x:c r="AB918" s="13" t="str">
        <x:f>IF(L918&lt;&gt;"COVERED","HELD — COVERAGE",IF(T918="UNRESOLVED","G DECISION REQUIRED",IF(T918="NOT APPLICABLE","G N/A","G ACTIONABLE")))</x:f>
        <x:v>HELD — COVERAGE</x:v>
      </x:c>
      <x:c r="AC918" s="13" t="str">
        <x:f>IF(L918="UNRESOLVED","COVERAGE FIRST",IF(OR(L918="EXCLUDED",L918="OUT OF SCOPE"),"CLOSED BY COVERAGE",IF(AND(L918="COVERED",T918&lt;&gt;"UNRESOLVED"),"PARTIALLY ADOPTED","DECISIONS REMAIN")))</x:f>
        <x:v>COVERAGE FIRST</x:v>
      </x:c>
    </x:row>
    <x:row r="919">
      <x:c r="A919" s="13" t="str">
        <x:v>NAAFTC-HS6-220830</x:v>
      </x:c>
      <x:c r="B919" s="13" t="str">
        <x:v>220830</x:v>
      </x:c>
      <x:c r="C919" s="13" t="str">
        <x:v>22</x:v>
      </x:c>
      <x:c r="D919" s="13" t="str">
        <x:v>TRILATERAL_SPLIT_MERGE</x:v>
      </x:c>
      <x:c r="E919" s="13" t="str">
        <x:v>Pending</x:v>
      </x:c>
      <x:c r="F919" s="13" t="n">
        <x:v>8</x:v>
      </x:c>
      <x:c r="G919" s="13" t="n">
        <x:v>5</x:v>
      </x:c>
      <x:c r="H919" s="13" t="n">
        <x:v>1</x:v>
      </x:c>
      <x:c r="I919" s="13" t="str">
        <x:v>2208303030; 2208303060; 2208306020; 2208306040; 2208306055; 2208306065; +2 more</x:v>
      </x:c>
      <x:c r="J919" s="13" t="str">
        <x:v>2208300501; 2208300502; 2208300503; 2208300504; 2208300599</x:v>
      </x:c>
      <x:c r="K919" s="13" t="str">
        <x:v>22083000</x:v>
      </x:c>
      <x:c r="L919" s="13" t="str">
        <x:v>UNRESOLVED</x:v>
      </x:c>
      <x:c r="M919" s="13" t="str"/>
      <x:c r="N919" s="13" t="str">
        <x:v>NO / DEFAULT</x:v>
      </x:c>
      <x:c r="O919" s="13" t="str"/>
      <x:c r="P919" s="13" t="str">
        <x:v>NO / DEFAULT</x:v>
      </x:c>
      <x:c r="Q919" s="13" t="str"/>
      <x:c r="R919" s="13" t="str">
        <x:v>INDEPENDENT / DEFAULT</x:v>
      </x:c>
      <x:c r="S919" s="13" t="str"/>
      <x:c r="T919" s="13" t="str">
        <x:v>UNRESOLVED</x:v>
      </x:c>
      <x:c r="U919" s="13" t="str"/>
      <x:c r="V919" s="13" t="str"/>
      <x:c r="W919" s="13" t="str"/>
      <x:c r="X919" s="13" t="str">
        <x:f>IF(L919&lt;&gt;"COVERED","HELD — COVERAGE",IF(N919="YES — SENSITIVE","C ACTIONABLE","CHAPTER 5 DEFAULT"))</x:f>
        <x:v>HELD — COVERAGE</x:v>
      </x:c>
      <x:c r="Y919" s="13" t="str">
        <x:f>IF(L919&lt;&gt;"COVERED","HELD — COVERAGE",IF(P919="YES — MANAGED ACCESS","D ACTIONABLE","NO D FIELD"))</x:f>
        <x:v>HELD — COVERAGE</x:v>
      </x:c>
      <x:c r="Z919" s="13" t="str">
        <x:f>IF(L919&lt;&gt;"COVERED","HELD — COVERAGE",IF(OR(R919="PAIRED SYNCHRONIZED",R919="TRILATERAL SYNCHRONIZED"),"E ACTIONABLE","INDEPENDENT"))</x:f>
        <x:v>HELD — COVERAGE</x:v>
      </x:c>
      <x:c r="AA919" s="13" t="str">
        <x:f>IF(L919&lt;&gt;"COVERED","HELD — COVERAGE","WAIT FOR UPSTREAM COMPLETION")</x:f>
        <x:v>HELD — COVERAGE</x:v>
      </x:c>
      <x:c r="AB919" s="13" t="str">
        <x:f>IF(L919&lt;&gt;"COVERED","HELD — COVERAGE",IF(T919="UNRESOLVED","G DECISION REQUIRED",IF(T919="NOT APPLICABLE","G N/A","G ACTIONABLE")))</x:f>
        <x:v>HELD — COVERAGE</x:v>
      </x:c>
      <x:c r="AC919" s="13" t="str">
        <x:f>IF(L919="UNRESOLVED","COVERAGE FIRST",IF(OR(L919="EXCLUDED",L919="OUT OF SCOPE"),"CLOSED BY COVERAGE",IF(AND(L919="COVERED",T919&lt;&gt;"UNRESOLVED"),"PARTIALLY ADOPTED","DECISIONS REMAIN")))</x:f>
        <x:v>COVERAGE FIRST</x:v>
      </x:c>
    </x:row>
    <x:row r="920">
      <x:c r="A920" s="13" t="str">
        <x:v>NAAFTC-HS6-220840</x:v>
      </x:c>
      <x:c r="B920" s="13" t="str">
        <x:v>220840</x:v>
      </x:c>
      <x:c r="C920" s="13" t="str">
        <x:v>22</x:v>
      </x:c>
      <x:c r="D920" s="13" t="str">
        <x:v>TRILATERAL_SPLIT_MERGE</x:v>
      </x:c>
      <x:c r="E920" s="13" t="str">
        <x:v>Pending</x:v>
      </x:c>
      <x:c r="F920" s="13" t="n">
        <x:v>4</x:v>
      </x:c>
      <x:c r="G920" s="13" t="n">
        <x:v>2</x:v>
      </x:c>
      <x:c r="H920" s="13" t="n">
        <x:v>2</x:v>
      </x:c>
      <x:c r="I920" s="13" t="str">
        <x:v>2208402000; 2208404000; 2208406000; 2208408000</x:v>
      </x:c>
      <x:c r="J920" s="13" t="str">
        <x:v>2208400201; 2208400299</x:v>
      </x:c>
      <x:c r="K920" s="13" t="str">
        <x:v>22084010; 2208409000</x:v>
      </x:c>
      <x:c r="L920" s="13" t="str">
        <x:v>UNRESOLVED</x:v>
      </x:c>
      <x:c r="M920" s="13" t="str"/>
      <x:c r="N920" s="13" t="str">
        <x:v>NO / DEFAULT</x:v>
      </x:c>
      <x:c r="O920" s="13" t="str"/>
      <x:c r="P920" s="13" t="str">
        <x:v>NO / DEFAULT</x:v>
      </x:c>
      <x:c r="Q920" s="13" t="str"/>
      <x:c r="R920" s="13" t="str">
        <x:v>INDEPENDENT / DEFAULT</x:v>
      </x:c>
      <x:c r="S920" s="13" t="str"/>
      <x:c r="T920" s="13" t="str">
        <x:v>UNRESOLVED</x:v>
      </x:c>
      <x:c r="U920" s="13" t="str"/>
      <x:c r="V920" s="13" t="str"/>
      <x:c r="W920" s="13" t="str"/>
      <x:c r="X920" s="13" t="str">
        <x:f>IF(L920&lt;&gt;"COVERED","HELD — COVERAGE",IF(N920="YES — SENSITIVE","C ACTIONABLE","CHAPTER 5 DEFAULT"))</x:f>
        <x:v>HELD — COVERAGE</x:v>
      </x:c>
      <x:c r="Y920" s="13" t="str">
        <x:f>IF(L920&lt;&gt;"COVERED","HELD — COVERAGE",IF(P920="YES — MANAGED ACCESS","D ACTIONABLE","NO D FIELD"))</x:f>
        <x:v>HELD — COVERAGE</x:v>
      </x:c>
      <x:c r="Z920" s="13" t="str">
        <x:f>IF(L920&lt;&gt;"COVERED","HELD — COVERAGE",IF(OR(R920="PAIRED SYNCHRONIZED",R920="TRILATERAL SYNCHRONIZED"),"E ACTIONABLE","INDEPENDENT"))</x:f>
        <x:v>HELD — COVERAGE</x:v>
      </x:c>
      <x:c r="AA920" s="13" t="str">
        <x:f>IF(L920&lt;&gt;"COVERED","HELD — COVERAGE","WAIT FOR UPSTREAM COMPLETION")</x:f>
        <x:v>HELD — COVERAGE</x:v>
      </x:c>
      <x:c r="AB920" s="13" t="str">
        <x:f>IF(L920&lt;&gt;"COVERED","HELD — COVERAGE",IF(T920="UNRESOLVED","G DECISION REQUIRED",IF(T920="NOT APPLICABLE","G N/A","G ACTIONABLE")))</x:f>
        <x:v>HELD — COVERAGE</x:v>
      </x:c>
      <x:c r="AC920" s="13" t="str">
        <x:f>IF(L920="UNRESOLVED","COVERAGE FIRST",IF(OR(L920="EXCLUDED",L920="OUT OF SCOPE"),"CLOSED BY COVERAGE",IF(AND(L920="COVERED",T920&lt;&gt;"UNRESOLVED"),"PARTIALLY ADOPTED","DECISIONS REMAIN")))</x:f>
        <x:v>COVERAGE FIRST</x:v>
      </x:c>
    </x:row>
    <x:row r="921">
      <x:c r="A921" s="13" t="str">
        <x:v>NAAFTC-HS6-220850</x:v>
      </x:c>
      <x:c r="B921" s="13" t="str">
        <x:v>220850</x:v>
      </x:c>
      <x:c r="C921" s="13" t="str">
        <x:v>22</x:v>
      </x:c>
      <x:c r="D921" s="13" t="str">
        <x:v>TRILATERAL_SPLIT_MERGE</x:v>
      </x:c>
      <x:c r="E921" s="13" t="str">
        <x:v>Pending</x:v>
      </x:c>
      <x:c r="F921" s="13" t="n">
        <x:v>2</x:v>
      </x:c>
      <x:c r="G921" s="13" t="n">
        <x:v>1</x:v>
      </x:c>
      <x:c r="H921" s="13" t="n">
        <x:v>1</x:v>
      </x:c>
      <x:c r="I921" s="13" t="str">
        <x:v>2208500030; 2208500060</x:v>
      </x:c>
      <x:c r="J921" s="13" t="str">
        <x:v>2208500100</x:v>
      </x:c>
      <x:c r="K921" s="13" t="str">
        <x:v>2208500000</x:v>
      </x:c>
      <x:c r="L921" s="13" t="str">
        <x:v>UNRESOLVED</x:v>
      </x:c>
      <x:c r="M921" s="13" t="str"/>
      <x:c r="N921" s="13" t="str">
        <x:v>NO / DEFAULT</x:v>
      </x:c>
      <x:c r="O921" s="13" t="str"/>
      <x:c r="P921" s="13" t="str">
        <x:v>NO / DEFAULT</x:v>
      </x:c>
      <x:c r="Q921" s="13" t="str"/>
      <x:c r="R921" s="13" t="str">
        <x:v>INDEPENDENT / DEFAULT</x:v>
      </x:c>
      <x:c r="S921" s="13" t="str"/>
      <x:c r="T921" s="13" t="str">
        <x:v>UNRESOLVED</x:v>
      </x:c>
      <x:c r="U921" s="13" t="str"/>
      <x:c r="V921" s="13" t="str"/>
      <x:c r="W921" s="13" t="str"/>
      <x:c r="X921" s="13" t="str">
        <x:f>IF(L921&lt;&gt;"COVERED","HELD — COVERAGE",IF(N921="YES — SENSITIVE","C ACTIONABLE","CHAPTER 5 DEFAULT"))</x:f>
        <x:v>HELD — COVERAGE</x:v>
      </x:c>
      <x:c r="Y921" s="13" t="str">
        <x:f>IF(L921&lt;&gt;"COVERED","HELD — COVERAGE",IF(P921="YES — MANAGED ACCESS","D ACTIONABLE","NO D FIELD"))</x:f>
        <x:v>HELD — COVERAGE</x:v>
      </x:c>
      <x:c r="Z921" s="13" t="str">
        <x:f>IF(L921&lt;&gt;"COVERED","HELD — COVERAGE",IF(OR(R921="PAIRED SYNCHRONIZED",R921="TRILATERAL SYNCHRONIZED"),"E ACTIONABLE","INDEPENDENT"))</x:f>
        <x:v>HELD — COVERAGE</x:v>
      </x:c>
      <x:c r="AA921" s="13" t="str">
        <x:f>IF(L921&lt;&gt;"COVERED","HELD — COVERAGE","WAIT FOR UPSTREAM COMPLETION")</x:f>
        <x:v>HELD — COVERAGE</x:v>
      </x:c>
      <x:c r="AB921" s="13" t="str">
        <x:f>IF(L921&lt;&gt;"COVERED","HELD — COVERAGE",IF(T921="UNRESOLVED","G DECISION REQUIRED",IF(T921="NOT APPLICABLE","G N/A","G ACTIONABLE")))</x:f>
        <x:v>HELD — COVERAGE</x:v>
      </x:c>
      <x:c r="AC921" s="13" t="str">
        <x:f>IF(L921="UNRESOLVED","COVERAGE FIRST",IF(OR(L921="EXCLUDED",L921="OUT OF SCOPE"),"CLOSED BY COVERAGE",IF(AND(L921="COVERED",T921&lt;&gt;"UNRESOLVED"),"PARTIALLY ADOPTED","DECISIONS REMAIN")))</x:f>
        <x:v>COVERAGE FIRST</x:v>
      </x:c>
    </x:row>
    <x:row r="922">
      <x:c r="A922" s="13" t="str">
        <x:v>NAAFTC-HS6-220860</x:v>
      </x:c>
      <x:c r="B922" s="13" t="str">
        <x:v>220860</x:v>
      </x:c>
      <x:c r="C922" s="13" t="str">
        <x:v>22</x:v>
      </x:c>
      <x:c r="D922" s="13" t="str">
        <x:v>TRILATERAL_SPLIT_MERGE</x:v>
      </x:c>
      <x:c r="E922" s="13" t="str">
        <x:v>Pending</x:v>
      </x:c>
      <x:c r="F922" s="13" t="n">
        <x:v>4</x:v>
      </x:c>
      <x:c r="G922" s="13" t="n">
        <x:v>1</x:v>
      </x:c>
      <x:c r="H922" s="13" t="n">
        <x:v>1</x:v>
      </x:c>
      <x:c r="I922" s="13" t="str">
        <x:v>2208601000; 2208602030; 2208602060; 2208605000</x:v>
      </x:c>
      <x:c r="J922" s="13" t="str">
        <x:v>2208600100</x:v>
      </x:c>
      <x:c r="K922" s="13" t="str">
        <x:v>2208600000</x:v>
      </x:c>
      <x:c r="L922" s="13" t="str">
        <x:v>UNRESOLVED</x:v>
      </x:c>
      <x:c r="M922" s="13" t="str"/>
      <x:c r="N922" s="13" t="str">
        <x:v>NO / DEFAULT</x:v>
      </x:c>
      <x:c r="O922" s="13" t="str"/>
      <x:c r="P922" s="13" t="str">
        <x:v>NO / DEFAULT</x:v>
      </x:c>
      <x:c r="Q922" s="13" t="str"/>
      <x:c r="R922" s="13" t="str">
        <x:v>INDEPENDENT / DEFAULT</x:v>
      </x:c>
      <x:c r="S922" s="13" t="str"/>
      <x:c r="T922" s="13" t="str">
        <x:v>UNRESOLVED</x:v>
      </x:c>
      <x:c r="U922" s="13" t="str"/>
      <x:c r="V922" s="13" t="str"/>
      <x:c r="W922" s="13" t="str"/>
      <x:c r="X922" s="13" t="str">
        <x:f>IF(L922&lt;&gt;"COVERED","HELD — COVERAGE",IF(N922="YES — SENSITIVE","C ACTIONABLE","CHAPTER 5 DEFAULT"))</x:f>
        <x:v>HELD — COVERAGE</x:v>
      </x:c>
      <x:c r="Y922" s="13" t="str">
        <x:f>IF(L922&lt;&gt;"COVERED","HELD — COVERAGE",IF(P922="YES — MANAGED ACCESS","D ACTIONABLE","NO D FIELD"))</x:f>
        <x:v>HELD — COVERAGE</x:v>
      </x:c>
      <x:c r="Z922" s="13" t="str">
        <x:f>IF(L922&lt;&gt;"COVERED","HELD — COVERAGE",IF(OR(R922="PAIRED SYNCHRONIZED",R922="TRILATERAL SYNCHRONIZED"),"E ACTIONABLE","INDEPENDENT"))</x:f>
        <x:v>HELD — COVERAGE</x:v>
      </x:c>
      <x:c r="AA922" s="13" t="str">
        <x:f>IF(L922&lt;&gt;"COVERED","HELD — COVERAGE","WAIT FOR UPSTREAM COMPLETION")</x:f>
        <x:v>HELD — COVERAGE</x:v>
      </x:c>
      <x:c r="AB922" s="13" t="str">
        <x:f>IF(L922&lt;&gt;"COVERED","HELD — COVERAGE",IF(T922="UNRESOLVED","G DECISION REQUIRED",IF(T922="NOT APPLICABLE","G N/A","G ACTIONABLE")))</x:f>
        <x:v>HELD — COVERAGE</x:v>
      </x:c>
      <x:c r="AC922" s="13" t="str">
        <x:f>IF(L922="UNRESOLVED","COVERAGE FIRST",IF(OR(L922="EXCLUDED",L922="OUT OF SCOPE"),"CLOSED BY COVERAGE",IF(AND(L922="COVERED",T922&lt;&gt;"UNRESOLVED"),"PARTIALLY ADOPTED","DECISIONS REMAIN")))</x:f>
        <x:v>COVERAGE FIRST</x:v>
      </x:c>
    </x:row>
    <x:row r="923">
      <x:c r="A923" s="13" t="str">
        <x:v>NAAFTC-HS6-220870</x:v>
      </x:c>
      <x:c r="B923" s="13" t="str">
        <x:v>220870</x:v>
      </x:c>
      <x:c r="C923" s="13" t="str">
        <x:v>22</x:v>
      </x:c>
      <x:c r="D923" s="13" t="str">
        <x:v>TRILATERAL_SPLIT_MERGE</x:v>
      </x:c>
      <x:c r="E923" s="13" t="str">
        <x:v>Pending</x:v>
      </x:c>
      <x:c r="F923" s="13" t="n">
        <x:v>2</x:v>
      </x:c>
      <x:c r="G923" s="13" t="n">
        <x:v>3</x:v>
      </x:c>
      <x:c r="H923" s="13" t="n">
        <x:v>1</x:v>
      </x:c>
      <x:c r="I923" s="13" t="str">
        <x:v>2208700030; 2208700060</x:v>
      </x:c>
      <x:c r="J923" s="13" t="str">
        <x:v>2208700301; 2208700302; 2208700399</x:v>
      </x:c>
      <x:c r="K923" s="13" t="str">
        <x:v>2208700000</x:v>
      </x:c>
      <x:c r="L923" s="13" t="str">
        <x:v>UNRESOLVED</x:v>
      </x:c>
      <x:c r="M923" s="13" t="str"/>
      <x:c r="N923" s="13" t="str">
        <x:v>NO / DEFAULT</x:v>
      </x:c>
      <x:c r="O923" s="13" t="str"/>
      <x:c r="P923" s="13" t="str">
        <x:v>NO / DEFAULT</x:v>
      </x:c>
      <x:c r="Q923" s="13" t="str"/>
      <x:c r="R923" s="13" t="str">
        <x:v>INDEPENDENT / DEFAULT</x:v>
      </x:c>
      <x:c r="S923" s="13" t="str"/>
      <x:c r="T923" s="13" t="str">
        <x:v>UNRESOLVED</x:v>
      </x:c>
      <x:c r="U923" s="13" t="str"/>
      <x:c r="V923" s="13" t="str"/>
      <x:c r="W923" s="13" t="str"/>
      <x:c r="X923" s="13" t="str">
        <x:f>IF(L923&lt;&gt;"COVERED","HELD — COVERAGE",IF(N923="YES — SENSITIVE","C ACTIONABLE","CHAPTER 5 DEFAULT"))</x:f>
        <x:v>HELD — COVERAGE</x:v>
      </x:c>
      <x:c r="Y923" s="13" t="str">
        <x:f>IF(L923&lt;&gt;"COVERED","HELD — COVERAGE",IF(P923="YES — MANAGED ACCESS","D ACTIONABLE","NO D FIELD"))</x:f>
        <x:v>HELD — COVERAGE</x:v>
      </x:c>
      <x:c r="Z923" s="13" t="str">
        <x:f>IF(L923&lt;&gt;"COVERED","HELD — COVERAGE",IF(OR(R923="PAIRED SYNCHRONIZED",R923="TRILATERAL SYNCHRONIZED"),"E ACTIONABLE","INDEPENDENT"))</x:f>
        <x:v>HELD — COVERAGE</x:v>
      </x:c>
      <x:c r="AA923" s="13" t="str">
        <x:f>IF(L923&lt;&gt;"COVERED","HELD — COVERAGE","WAIT FOR UPSTREAM COMPLETION")</x:f>
        <x:v>HELD — COVERAGE</x:v>
      </x:c>
      <x:c r="AB923" s="13" t="str">
        <x:f>IF(L923&lt;&gt;"COVERED","HELD — COVERAGE",IF(T923="UNRESOLVED","G DECISION REQUIRED",IF(T923="NOT APPLICABLE","G N/A","G ACTIONABLE")))</x:f>
        <x:v>HELD — COVERAGE</x:v>
      </x:c>
      <x:c r="AC923" s="13" t="str">
        <x:f>IF(L923="UNRESOLVED","COVERAGE FIRST",IF(OR(L923="EXCLUDED",L923="OUT OF SCOPE"),"CLOSED BY COVERAGE",IF(AND(L923="COVERED",T923&lt;&gt;"UNRESOLVED"),"PARTIALLY ADOPTED","DECISIONS REMAIN")))</x:f>
        <x:v>COVERAGE FIRST</x:v>
      </x:c>
    </x:row>
    <x:row r="924">
      <x:c r="A924" s="13" t="str">
        <x:v>NAAFTC-HS6-220890</x:v>
      </x:c>
      <x:c r="B924" s="13" t="str">
        <x:v>220890</x:v>
      </x:c>
      <x:c r="C924" s="13" t="str">
        <x:v>22</x:v>
      </x:c>
      <x:c r="D924" s="13" t="str">
        <x:v>TRILATERAL_SPLIT_MERGE</x:v>
      </x:c>
      <x:c r="E924" s="13" t="str">
        <x:v>Pending</x:v>
      </x:c>
      <x:c r="F924" s="13" t="n">
        <x:v>21</x:v>
      </x:c>
      <x:c r="G924" s="13" t="n">
        <x:v>10</x:v>
      </x:c>
      <x:c r="H924" s="13" t="n">
        <x:v>3</x:v>
      </x:c>
      <x:c r="I924" s="13" t="str">
        <x:v>2208900100; 2208900500; 2208901000; 2208901200; 2208901400; 2208901500; +15 more</x:v>
      </x:c>
      <x:c r="J924" s="13" t="str">
        <x:v>2208900100; 2208900200; 2208900301; 2208900391; 2208900400; 2208900500; +4 more</x:v>
      </x:c>
      <x:c r="K924" s="13" t="str">
        <x:v>2208901000; 2208909800; 2208909900</x:v>
      </x:c>
      <x:c r="L924" s="13" t="str">
        <x:v>UNRESOLVED</x:v>
      </x:c>
      <x:c r="M924" s="13" t="str"/>
      <x:c r="N924" s="13" t="str">
        <x:v>NO / DEFAULT</x:v>
      </x:c>
      <x:c r="O924" s="13" t="str"/>
      <x:c r="P924" s="13" t="str">
        <x:v>NO / DEFAULT</x:v>
      </x:c>
      <x:c r="Q924" s="13" t="str"/>
      <x:c r="R924" s="13" t="str">
        <x:v>INDEPENDENT / DEFAULT</x:v>
      </x:c>
      <x:c r="S924" s="13" t="str"/>
      <x:c r="T924" s="13" t="str">
        <x:v>UNRESOLVED</x:v>
      </x:c>
      <x:c r="U924" s="13" t="str"/>
      <x:c r="V924" s="13" t="str"/>
      <x:c r="W924" s="13" t="str"/>
      <x:c r="X924" s="13" t="str">
        <x:f>IF(L924&lt;&gt;"COVERED","HELD — COVERAGE",IF(N924="YES — SENSITIVE","C ACTIONABLE","CHAPTER 5 DEFAULT"))</x:f>
        <x:v>HELD — COVERAGE</x:v>
      </x:c>
      <x:c r="Y924" s="13" t="str">
        <x:f>IF(L924&lt;&gt;"COVERED","HELD — COVERAGE",IF(P924="YES — MANAGED ACCESS","D ACTIONABLE","NO D FIELD"))</x:f>
        <x:v>HELD — COVERAGE</x:v>
      </x:c>
      <x:c r="Z924" s="13" t="str">
        <x:f>IF(L924&lt;&gt;"COVERED","HELD — COVERAGE",IF(OR(R924="PAIRED SYNCHRONIZED",R924="TRILATERAL SYNCHRONIZED"),"E ACTIONABLE","INDEPENDENT"))</x:f>
        <x:v>HELD — COVERAGE</x:v>
      </x:c>
      <x:c r="AA924" s="13" t="str">
        <x:f>IF(L924&lt;&gt;"COVERED","HELD — COVERAGE","WAIT FOR UPSTREAM COMPLETION")</x:f>
        <x:v>HELD — COVERAGE</x:v>
      </x:c>
      <x:c r="AB924" s="13" t="str">
        <x:f>IF(L924&lt;&gt;"COVERED","HELD — COVERAGE",IF(T924="UNRESOLVED","G DECISION REQUIRED",IF(T924="NOT APPLICABLE","G N/A","G ACTIONABLE")))</x:f>
        <x:v>HELD — COVERAGE</x:v>
      </x:c>
      <x:c r="AC924" s="13" t="str">
        <x:f>IF(L924="UNRESOLVED","COVERAGE FIRST",IF(OR(L924="EXCLUDED",L924="OUT OF SCOPE"),"CLOSED BY COVERAGE",IF(AND(L924="COVERED",T924&lt;&gt;"UNRESOLVED"),"PARTIALLY ADOPTED","DECISIONS REMAIN")))</x:f>
        <x:v>COVERAGE FIRST</x:v>
      </x:c>
    </x:row>
    <x:row r="925">
      <x:c r="A925" s="13" t="str">
        <x:v>NAAFTC-HS6-220900</x:v>
      </x:c>
      <x:c r="B925" s="13" t="str">
        <x:v>220900</x:v>
      </x:c>
      <x:c r="C925" s="13" t="str">
        <x:v>22</x:v>
      </x:c>
      <x:c r="D925" s="13" t="str">
        <x:v>TRILATERAL_SPLIT_MERGE</x:v>
      </x:c>
      <x:c r="E925" s="13" t="str">
        <x:v>Pending</x:v>
      </x:c>
      <x:c r="F925" s="13" t="n">
        <x:v>2</x:v>
      </x:c>
      <x:c r="G925" s="13" t="n">
        <x:v>1</x:v>
      </x:c>
      <x:c r="H925" s="13" t="n">
        <x:v>1</x:v>
      </x:c>
      <x:c r="I925" s="13" t="str">
        <x:v>2209000030; 2209000060</x:v>
      </x:c>
      <x:c r="J925" s="13" t="str">
        <x:v>2209000100</x:v>
      </x:c>
      <x:c r="K925" s="13" t="str">
        <x:v>2209000000</x:v>
      </x:c>
      <x:c r="L925" s="13" t="str">
        <x:v>UNRESOLVED</x:v>
      </x:c>
      <x:c r="M925" s="13" t="str"/>
      <x:c r="N925" s="13" t="str">
        <x:v>NO / DEFAULT</x:v>
      </x:c>
      <x:c r="O925" s="13" t="str"/>
      <x:c r="P925" s="13" t="str">
        <x:v>NO / DEFAULT</x:v>
      </x:c>
      <x:c r="Q925" s="13" t="str"/>
      <x:c r="R925" s="13" t="str">
        <x:v>INDEPENDENT / DEFAULT</x:v>
      </x:c>
      <x:c r="S925" s="13" t="str"/>
      <x:c r="T925" s="13" t="str">
        <x:v>UNRESOLVED</x:v>
      </x:c>
      <x:c r="U925" s="13" t="str"/>
      <x:c r="V925" s="13" t="str"/>
      <x:c r="W925" s="13" t="str"/>
      <x:c r="X925" s="13" t="str">
        <x:f>IF(L925&lt;&gt;"COVERED","HELD — COVERAGE",IF(N925="YES — SENSITIVE","C ACTIONABLE","CHAPTER 5 DEFAULT"))</x:f>
        <x:v>HELD — COVERAGE</x:v>
      </x:c>
      <x:c r="Y925" s="13" t="str">
        <x:f>IF(L925&lt;&gt;"COVERED","HELD — COVERAGE",IF(P925="YES — MANAGED ACCESS","D ACTIONABLE","NO D FIELD"))</x:f>
        <x:v>HELD — COVERAGE</x:v>
      </x:c>
      <x:c r="Z925" s="13" t="str">
        <x:f>IF(L925&lt;&gt;"COVERED","HELD — COVERAGE",IF(OR(R925="PAIRED SYNCHRONIZED",R925="TRILATERAL SYNCHRONIZED"),"E ACTIONABLE","INDEPENDENT"))</x:f>
        <x:v>HELD — COVERAGE</x:v>
      </x:c>
      <x:c r="AA925" s="13" t="str">
        <x:f>IF(L925&lt;&gt;"COVERED","HELD — COVERAGE","WAIT FOR UPSTREAM COMPLETION")</x:f>
        <x:v>HELD — COVERAGE</x:v>
      </x:c>
      <x:c r="AB925" s="13" t="str">
        <x:f>IF(L925&lt;&gt;"COVERED","HELD — COVERAGE",IF(T925="UNRESOLVED","G DECISION REQUIRED",IF(T925="NOT APPLICABLE","G N/A","G ACTIONABLE")))</x:f>
        <x:v>HELD — COVERAGE</x:v>
      </x:c>
      <x:c r="AC925" s="13" t="str">
        <x:f>IF(L925="UNRESOLVED","COVERAGE FIRST",IF(OR(L925="EXCLUDED",L925="OUT OF SCOPE"),"CLOSED BY COVERAGE",IF(AND(L925="COVERED",T925&lt;&gt;"UNRESOLVED"),"PARTIALLY ADOPTED","DECISIONS REMAIN")))</x:f>
        <x:v>COVERAGE FIRST</x:v>
      </x:c>
    </x:row>
    <x:row r="926">
      <x:c r="A926" s="13" t="str">
        <x:v>NAAFTC-HS6-230110</x:v>
      </x:c>
      <x:c r="B926" s="13" t="str">
        <x:v>230110</x:v>
      </x:c>
      <x:c r="C926" s="13" t="str">
        <x:v>23</x:v>
      </x:c>
      <x:c r="D926" s="13" t="str">
        <x:v>TRILATERAL_SPLIT_MERGE</x:v>
      </x:c>
      <x:c r="E926" s="13" t="str">
        <x:v>Pending</x:v>
      </x:c>
      <x:c r="F926" s="13" t="n">
        <x:v>1</x:v>
      </x:c>
      <x:c r="G926" s="13" t="n">
        <x:v>2</x:v>
      </x:c>
      <x:c r="H926" s="13" t="n">
        <x:v>2</x:v>
      </x:c>
      <x:c r="I926" s="13" t="str">
        <x:v>2301100000</x:v>
      </x:c>
      <x:c r="J926" s="13" t="str">
        <x:v>2301100201; 2301100299</x:v>
      </x:c>
      <x:c r="K926" s="13" t="str">
        <x:v>2301101000; 23011090</x:v>
      </x:c>
      <x:c r="L926" s="13" t="str">
        <x:v>UNRESOLVED</x:v>
      </x:c>
      <x:c r="M926" s="13" t="str"/>
      <x:c r="N926" s="13" t="str">
        <x:v>NO / DEFAULT</x:v>
      </x:c>
      <x:c r="O926" s="13" t="str"/>
      <x:c r="P926" s="13" t="str">
        <x:v>NO / DEFAULT</x:v>
      </x:c>
      <x:c r="Q926" s="13" t="str"/>
      <x:c r="R926" s="13" t="str">
        <x:v>INDEPENDENT / DEFAULT</x:v>
      </x:c>
      <x:c r="S926" s="13" t="str"/>
      <x:c r="T926" s="13" t="str">
        <x:v>UNRESOLVED</x:v>
      </x:c>
      <x:c r="U926" s="13" t="str"/>
      <x:c r="V926" s="13" t="str"/>
      <x:c r="W926" s="13" t="str"/>
      <x:c r="X926" s="13" t="str">
        <x:f>IF(L926&lt;&gt;"COVERED","HELD — COVERAGE",IF(N926="YES — SENSITIVE","C ACTIONABLE","CHAPTER 5 DEFAULT"))</x:f>
        <x:v>HELD — COVERAGE</x:v>
      </x:c>
      <x:c r="Y926" s="13" t="str">
        <x:f>IF(L926&lt;&gt;"COVERED","HELD — COVERAGE",IF(P926="YES — MANAGED ACCESS","D ACTIONABLE","NO D FIELD"))</x:f>
        <x:v>HELD — COVERAGE</x:v>
      </x:c>
      <x:c r="Z926" s="13" t="str">
        <x:f>IF(L926&lt;&gt;"COVERED","HELD — COVERAGE",IF(OR(R926="PAIRED SYNCHRONIZED",R926="TRILATERAL SYNCHRONIZED"),"E ACTIONABLE","INDEPENDENT"))</x:f>
        <x:v>HELD — COVERAGE</x:v>
      </x:c>
      <x:c r="AA926" s="13" t="str">
        <x:f>IF(L926&lt;&gt;"COVERED","HELD — COVERAGE","WAIT FOR UPSTREAM COMPLETION")</x:f>
        <x:v>HELD — COVERAGE</x:v>
      </x:c>
      <x:c r="AB926" s="13" t="str">
        <x:f>IF(L926&lt;&gt;"COVERED","HELD — COVERAGE",IF(T926="UNRESOLVED","G DECISION REQUIRED",IF(T926="NOT APPLICABLE","G N/A","G ACTIONABLE")))</x:f>
        <x:v>HELD — COVERAGE</x:v>
      </x:c>
      <x:c r="AC926" s="13" t="str">
        <x:f>IF(L926="UNRESOLVED","COVERAGE FIRST",IF(OR(L926="EXCLUDED",L926="OUT OF SCOPE"),"CLOSED BY COVERAGE",IF(AND(L926="COVERED",T926&lt;&gt;"UNRESOLVED"),"PARTIALLY ADOPTED","DECISIONS REMAIN")))</x:f>
        <x:v>COVERAGE FIRST</x:v>
      </x:c>
    </x:row>
    <x:row r="927">
      <x:c r="A927" s="13" t="str">
        <x:v>NAAFTC-HS6-230120</x:v>
      </x:c>
      <x:c r="B927" s="13" t="str">
        <x:v>230120</x:v>
      </x:c>
      <x:c r="C927" s="13" t="str">
        <x:v>23</x:v>
      </x:c>
      <x:c r="D927" s="13" t="str">
        <x:v>TRILATERAL_SPLIT_MERGE</x:v>
      </x:c>
      <x:c r="E927" s="13" t="str">
        <x:v>Pending</x:v>
      </x:c>
      <x:c r="F927" s="13" t="n">
        <x:v>2</x:v>
      </x:c>
      <x:c r="G927" s="13" t="n">
        <x:v>1</x:v>
      </x:c>
      <x:c r="H927" s="13" t="n">
        <x:v>4</x:v>
      </x:c>
      <x:c r="I927" s="13" t="str">
        <x:v>2301200010; 2301200090</x:v>
      </x:c>
      <x:c r="J927" s="13" t="str">
        <x:v>2301200100</x:v>
      </x:c>
      <x:c r="K927" s="13" t="str">
        <x:v>2301201100; 2301201800; 2301201900; 2301209000</x:v>
      </x:c>
      <x:c r="L927" s="13" t="str">
        <x:v>UNRESOLVED</x:v>
      </x:c>
      <x:c r="M927" s="13" t="str"/>
      <x:c r="N927" s="13" t="str">
        <x:v>NO / DEFAULT</x:v>
      </x:c>
      <x:c r="O927" s="13" t="str"/>
      <x:c r="P927" s="13" t="str">
        <x:v>NO / DEFAULT</x:v>
      </x:c>
      <x:c r="Q927" s="13" t="str"/>
      <x:c r="R927" s="13" t="str">
        <x:v>INDEPENDENT / DEFAULT</x:v>
      </x:c>
      <x:c r="S927" s="13" t="str"/>
      <x:c r="T927" s="13" t="str">
        <x:v>UNRESOLVED</x:v>
      </x:c>
      <x:c r="U927" s="13" t="str"/>
      <x:c r="V927" s="13" t="str"/>
      <x:c r="W927" s="13" t="str"/>
      <x:c r="X927" s="13" t="str">
        <x:f>IF(L927&lt;&gt;"COVERED","HELD — COVERAGE",IF(N927="YES — SENSITIVE","C ACTIONABLE","CHAPTER 5 DEFAULT"))</x:f>
        <x:v>HELD — COVERAGE</x:v>
      </x:c>
      <x:c r="Y927" s="13" t="str">
        <x:f>IF(L927&lt;&gt;"COVERED","HELD — COVERAGE",IF(P927="YES — MANAGED ACCESS","D ACTIONABLE","NO D FIELD"))</x:f>
        <x:v>HELD — COVERAGE</x:v>
      </x:c>
      <x:c r="Z927" s="13" t="str">
        <x:f>IF(L927&lt;&gt;"COVERED","HELD — COVERAGE",IF(OR(R927="PAIRED SYNCHRONIZED",R927="TRILATERAL SYNCHRONIZED"),"E ACTIONABLE","INDEPENDENT"))</x:f>
        <x:v>HELD — COVERAGE</x:v>
      </x:c>
      <x:c r="AA927" s="13" t="str">
        <x:f>IF(L927&lt;&gt;"COVERED","HELD — COVERAGE","WAIT FOR UPSTREAM COMPLETION")</x:f>
        <x:v>HELD — COVERAGE</x:v>
      </x:c>
      <x:c r="AB927" s="13" t="str">
        <x:f>IF(L927&lt;&gt;"COVERED","HELD — COVERAGE",IF(T927="UNRESOLVED","G DECISION REQUIRED",IF(T927="NOT APPLICABLE","G N/A","G ACTIONABLE")))</x:f>
        <x:v>HELD — COVERAGE</x:v>
      </x:c>
      <x:c r="AC927" s="13" t="str">
        <x:f>IF(L927="UNRESOLVED","COVERAGE FIRST",IF(OR(L927="EXCLUDED",L927="OUT OF SCOPE"),"CLOSED BY COVERAGE",IF(AND(L927="COVERED",T927&lt;&gt;"UNRESOLVED"),"PARTIALLY ADOPTED","DECISIONS REMAIN")))</x:f>
        <x:v>COVERAGE FIRST</x:v>
      </x:c>
    </x:row>
    <x:row r="928">
      <x:c r="A928" s="13" t="str">
        <x:v>NAAFTC-HS6-230210</x:v>
      </x:c>
      <x:c r="B928" s="13" t="str">
        <x:v>230210</x:v>
      </x:c>
      <x:c r="C928" s="13" t="str">
        <x:v>23</x:v>
      </x:c>
      <x:c r="D928" s="13" t="str">
        <x:v>TRILATERAL_1_TO_1_TO_1</x:v>
      </x:c>
      <x:c r="E928" s="13" t="str">
        <x:v>Pending</x:v>
      </x:c>
      <x:c r="F928" s="13" t="n">
        <x:v>1</x:v>
      </x:c>
      <x:c r="G928" s="13" t="n">
        <x:v>1</x:v>
      </x:c>
      <x:c r="H928" s="13" t="n">
        <x:v>1</x:v>
      </x:c>
      <x:c r="I928" s="13" t="str">
        <x:v>2302100000</x:v>
      </x:c>
      <x:c r="J928" s="13" t="str">
        <x:v>2302100100</x:v>
      </x:c>
      <x:c r="K928" s="13" t="str">
        <x:v>2302100000</x:v>
      </x:c>
      <x:c r="L928" s="13" t="str">
        <x:v>UNRESOLVED</x:v>
      </x:c>
      <x:c r="M928" s="13" t="str"/>
      <x:c r="N928" s="13" t="str">
        <x:v>NO / DEFAULT</x:v>
      </x:c>
      <x:c r="O928" s="13" t="str"/>
      <x:c r="P928" s="13" t="str">
        <x:v>NO / DEFAULT</x:v>
      </x:c>
      <x:c r="Q928" s="13" t="str"/>
      <x:c r="R928" s="13" t="str">
        <x:v>INDEPENDENT / DEFAULT</x:v>
      </x:c>
      <x:c r="S928" s="13" t="str"/>
      <x:c r="T928" s="13" t="str">
        <x:v>UNRESOLVED</x:v>
      </x:c>
      <x:c r="U928" s="13" t="str"/>
      <x:c r="V928" s="13" t="str"/>
      <x:c r="W928" s="13" t="str"/>
      <x:c r="X928" s="13" t="str">
        <x:f>IF(L928&lt;&gt;"COVERED","HELD — COVERAGE",IF(N928="YES — SENSITIVE","C ACTIONABLE","CHAPTER 5 DEFAULT"))</x:f>
        <x:v>HELD — COVERAGE</x:v>
      </x:c>
      <x:c r="Y928" s="13" t="str">
        <x:f>IF(L928&lt;&gt;"COVERED","HELD — COVERAGE",IF(P928="YES — MANAGED ACCESS","D ACTIONABLE","NO D FIELD"))</x:f>
        <x:v>HELD — COVERAGE</x:v>
      </x:c>
      <x:c r="Z928" s="13" t="str">
        <x:f>IF(L928&lt;&gt;"COVERED","HELD — COVERAGE",IF(OR(R928="PAIRED SYNCHRONIZED",R928="TRILATERAL SYNCHRONIZED"),"E ACTIONABLE","INDEPENDENT"))</x:f>
        <x:v>HELD — COVERAGE</x:v>
      </x:c>
      <x:c r="AA928" s="13" t="str">
        <x:f>IF(L928&lt;&gt;"COVERED","HELD — COVERAGE","WAIT FOR UPSTREAM COMPLETION")</x:f>
        <x:v>HELD — COVERAGE</x:v>
      </x:c>
      <x:c r="AB928" s="13" t="str">
        <x:f>IF(L928&lt;&gt;"COVERED","HELD — COVERAGE",IF(T928="UNRESOLVED","G DECISION REQUIRED",IF(T928="NOT APPLICABLE","G N/A","G ACTIONABLE")))</x:f>
        <x:v>HELD — COVERAGE</x:v>
      </x:c>
      <x:c r="AC928" s="13" t="str">
        <x:f>IF(L928="UNRESOLVED","COVERAGE FIRST",IF(OR(L928="EXCLUDED",L928="OUT OF SCOPE"),"CLOSED BY COVERAGE",IF(AND(L928="COVERED",T928&lt;&gt;"UNRESOLVED"),"PARTIALLY ADOPTED","DECISIONS REMAIN")))</x:f>
        <x:v>COVERAGE FIRST</x:v>
      </x:c>
    </x:row>
    <x:row r="929">
      <x:c r="A929" s="13" t="str">
        <x:v>NAAFTC-HS6-230230</x:v>
      </x:c>
      <x:c r="B929" s="13" t="str">
        <x:v>230230</x:v>
      </x:c>
      <x:c r="C929" s="13" t="str">
        <x:v>23</x:v>
      </x:c>
      <x:c r="D929" s="13" t="str">
        <x:v>TRILATERAL_SPLIT_MERGE</x:v>
      </x:c>
      <x:c r="E929" s="13" t="str">
        <x:v>Pending</x:v>
      </x:c>
      <x:c r="F929" s="13" t="n">
        <x:v>2</x:v>
      </x:c>
      <x:c r="G929" s="13" t="n">
        <x:v>1</x:v>
      </x:c>
      <x:c r="H929" s="13" t="n">
        <x:v>2</x:v>
      </x:c>
      <x:c r="I929" s="13" t="str">
        <x:v>2302300010; 2302300090</x:v>
      </x:c>
      <x:c r="J929" s="13" t="str">
        <x:v>2302300100</x:v>
      </x:c>
      <x:c r="K929" s="13" t="str">
        <x:v>2302301000; 2302302000</x:v>
      </x:c>
      <x:c r="L929" s="13" t="str">
        <x:v>UNRESOLVED</x:v>
      </x:c>
      <x:c r="M929" s="13" t="str"/>
      <x:c r="N929" s="13" t="str">
        <x:v>NO / DEFAULT</x:v>
      </x:c>
      <x:c r="O929" s="13" t="str"/>
      <x:c r="P929" s="13" t="str">
        <x:v>NO / DEFAULT</x:v>
      </x:c>
      <x:c r="Q929" s="13" t="str"/>
      <x:c r="R929" s="13" t="str">
        <x:v>INDEPENDENT / DEFAULT</x:v>
      </x:c>
      <x:c r="S929" s="13" t="str"/>
      <x:c r="T929" s="13" t="str">
        <x:v>UNRESOLVED</x:v>
      </x:c>
      <x:c r="U929" s="13" t="str"/>
      <x:c r="V929" s="13" t="str"/>
      <x:c r="W929" s="13" t="str"/>
      <x:c r="X929" s="13" t="str">
        <x:f>IF(L929&lt;&gt;"COVERED","HELD — COVERAGE",IF(N929="YES — SENSITIVE","C ACTIONABLE","CHAPTER 5 DEFAULT"))</x:f>
        <x:v>HELD — COVERAGE</x:v>
      </x:c>
      <x:c r="Y929" s="13" t="str">
        <x:f>IF(L929&lt;&gt;"COVERED","HELD — COVERAGE",IF(P929="YES — MANAGED ACCESS","D ACTIONABLE","NO D FIELD"))</x:f>
        <x:v>HELD — COVERAGE</x:v>
      </x:c>
      <x:c r="Z929" s="13" t="str">
        <x:f>IF(L929&lt;&gt;"COVERED","HELD — COVERAGE",IF(OR(R929="PAIRED SYNCHRONIZED",R929="TRILATERAL SYNCHRONIZED"),"E ACTIONABLE","INDEPENDENT"))</x:f>
        <x:v>HELD — COVERAGE</x:v>
      </x:c>
      <x:c r="AA929" s="13" t="str">
        <x:f>IF(L929&lt;&gt;"COVERED","HELD — COVERAGE","WAIT FOR UPSTREAM COMPLETION")</x:f>
        <x:v>HELD — COVERAGE</x:v>
      </x:c>
      <x:c r="AB929" s="13" t="str">
        <x:f>IF(L929&lt;&gt;"COVERED","HELD — COVERAGE",IF(T929="UNRESOLVED","G DECISION REQUIRED",IF(T929="NOT APPLICABLE","G N/A","G ACTIONABLE")))</x:f>
        <x:v>HELD — COVERAGE</x:v>
      </x:c>
      <x:c r="AC929" s="13" t="str">
        <x:f>IF(L929="UNRESOLVED","COVERAGE FIRST",IF(OR(L929="EXCLUDED",L929="OUT OF SCOPE"),"CLOSED BY COVERAGE",IF(AND(L929="COVERED",T929&lt;&gt;"UNRESOLVED"),"PARTIALLY ADOPTED","DECISIONS REMAIN")))</x:f>
        <x:v>COVERAGE FIRST</x:v>
      </x:c>
    </x:row>
    <x:row r="930">
      <x:c r="A930" s="13" t="str">
        <x:v>NAAFTC-HS6-230240</x:v>
      </x:c>
      <x:c r="B930" s="13" t="str">
        <x:v>230240</x:v>
      </x:c>
      <x:c r="C930" s="13" t="str">
        <x:v>23</x:v>
      </x:c>
      <x:c r="D930" s="13" t="str">
        <x:v>TRILATERAL_SPLIT_MERGE</x:v>
      </x:c>
      <x:c r="E930" s="13" t="str">
        <x:v>Pending</x:v>
      </x:c>
      <x:c r="F930" s="13" t="n">
        <x:v>4</x:v>
      </x:c>
      <x:c r="G930" s="13" t="n">
        <x:v>2</x:v>
      </x:c>
      <x:c r="H930" s="13" t="n">
        <x:v>3</x:v>
      </x:c>
      <x:c r="I930" s="13" t="str">
        <x:v>2302400105; 2302400110; 2302400120; 2302400190</x:v>
      </x:c>
      <x:c r="J930" s="13" t="str">
        <x:v>2302409101; 2302409199</x:v>
      </x:c>
      <x:c r="K930" s="13" t="str">
        <x:v>2302401100; 2302401200; 2302409000</x:v>
      </x:c>
      <x:c r="L930" s="13" t="str">
        <x:v>UNRESOLVED</x:v>
      </x:c>
      <x:c r="M930" s="13" t="str"/>
      <x:c r="N930" s="13" t="str">
        <x:v>NO / DEFAULT</x:v>
      </x:c>
      <x:c r="O930" s="13" t="str"/>
      <x:c r="P930" s="13" t="str">
        <x:v>NO / DEFAULT</x:v>
      </x:c>
      <x:c r="Q930" s="13" t="str"/>
      <x:c r="R930" s="13" t="str">
        <x:v>INDEPENDENT / DEFAULT</x:v>
      </x:c>
      <x:c r="S930" s="13" t="str"/>
      <x:c r="T930" s="13" t="str">
        <x:v>UNRESOLVED</x:v>
      </x:c>
      <x:c r="U930" s="13" t="str"/>
      <x:c r="V930" s="13" t="str"/>
      <x:c r="W930" s="13" t="str"/>
      <x:c r="X930" s="13" t="str">
        <x:f>IF(L930&lt;&gt;"COVERED","HELD — COVERAGE",IF(N930="YES — SENSITIVE","C ACTIONABLE","CHAPTER 5 DEFAULT"))</x:f>
        <x:v>HELD — COVERAGE</x:v>
      </x:c>
      <x:c r="Y930" s="13" t="str">
        <x:f>IF(L930&lt;&gt;"COVERED","HELD — COVERAGE",IF(P930="YES — MANAGED ACCESS","D ACTIONABLE","NO D FIELD"))</x:f>
        <x:v>HELD — COVERAGE</x:v>
      </x:c>
      <x:c r="Z930" s="13" t="str">
        <x:f>IF(L930&lt;&gt;"COVERED","HELD — COVERAGE",IF(OR(R930="PAIRED SYNCHRONIZED",R930="TRILATERAL SYNCHRONIZED"),"E ACTIONABLE","INDEPENDENT"))</x:f>
        <x:v>HELD — COVERAGE</x:v>
      </x:c>
      <x:c r="AA930" s="13" t="str">
        <x:f>IF(L930&lt;&gt;"COVERED","HELD — COVERAGE","WAIT FOR UPSTREAM COMPLETION")</x:f>
        <x:v>HELD — COVERAGE</x:v>
      </x:c>
      <x:c r="AB930" s="13" t="str">
        <x:f>IF(L930&lt;&gt;"COVERED","HELD — COVERAGE",IF(T930="UNRESOLVED","G DECISION REQUIRED",IF(T930="NOT APPLICABLE","G N/A","G ACTIONABLE")))</x:f>
        <x:v>HELD — COVERAGE</x:v>
      </x:c>
      <x:c r="AC930" s="13" t="str">
        <x:f>IF(L930="UNRESOLVED","COVERAGE FIRST",IF(OR(L930="EXCLUDED",L930="OUT OF SCOPE"),"CLOSED BY COVERAGE",IF(AND(L930="COVERED",T930&lt;&gt;"UNRESOLVED"),"PARTIALLY ADOPTED","DECISIONS REMAIN")))</x:f>
        <x:v>COVERAGE FIRST</x:v>
      </x:c>
    </x:row>
    <x:row r="931">
      <x:c r="A931" s="13" t="str">
        <x:v>NAAFTC-HS6-230250</x:v>
      </x:c>
      <x:c r="B931" s="13" t="str">
        <x:v>230250</x:v>
      </x:c>
      <x:c r="C931" s="13" t="str">
        <x:v>23</x:v>
      </x:c>
      <x:c r="D931" s="13" t="str">
        <x:v>TRILATERAL_1_TO_1_TO_1</x:v>
      </x:c>
      <x:c r="E931" s="13" t="str">
        <x:v>Pending</x:v>
      </x:c>
      <x:c r="F931" s="13" t="n">
        <x:v>1</x:v>
      </x:c>
      <x:c r="G931" s="13" t="n">
        <x:v>1</x:v>
      </x:c>
      <x:c r="H931" s="13" t="n">
        <x:v>1</x:v>
      </x:c>
      <x:c r="I931" s="13" t="str">
        <x:v>2302500000</x:v>
      </x:c>
      <x:c r="J931" s="13" t="str">
        <x:v>2302500100</x:v>
      </x:c>
      <x:c r="K931" s="13" t="str">
        <x:v>2302500000</x:v>
      </x:c>
      <x:c r="L931" s="13" t="str">
        <x:v>UNRESOLVED</x:v>
      </x:c>
      <x:c r="M931" s="13" t="str"/>
      <x:c r="N931" s="13" t="str">
        <x:v>NO / DEFAULT</x:v>
      </x:c>
      <x:c r="O931" s="13" t="str"/>
      <x:c r="P931" s="13" t="str">
        <x:v>NO / DEFAULT</x:v>
      </x:c>
      <x:c r="Q931" s="13" t="str"/>
      <x:c r="R931" s="13" t="str">
        <x:v>INDEPENDENT / DEFAULT</x:v>
      </x:c>
      <x:c r="S931" s="13" t="str"/>
      <x:c r="T931" s="13" t="str">
        <x:v>UNRESOLVED</x:v>
      </x:c>
      <x:c r="U931" s="13" t="str"/>
      <x:c r="V931" s="13" t="str"/>
      <x:c r="W931" s="13" t="str"/>
      <x:c r="X931" s="13" t="str">
        <x:f>IF(L931&lt;&gt;"COVERED","HELD — COVERAGE",IF(N931="YES — SENSITIVE","C ACTIONABLE","CHAPTER 5 DEFAULT"))</x:f>
        <x:v>HELD — COVERAGE</x:v>
      </x:c>
      <x:c r="Y931" s="13" t="str">
        <x:f>IF(L931&lt;&gt;"COVERED","HELD — COVERAGE",IF(P931="YES — MANAGED ACCESS","D ACTIONABLE","NO D FIELD"))</x:f>
        <x:v>HELD — COVERAGE</x:v>
      </x:c>
      <x:c r="Z931" s="13" t="str">
        <x:f>IF(L931&lt;&gt;"COVERED","HELD — COVERAGE",IF(OR(R931="PAIRED SYNCHRONIZED",R931="TRILATERAL SYNCHRONIZED"),"E ACTIONABLE","INDEPENDENT"))</x:f>
        <x:v>HELD — COVERAGE</x:v>
      </x:c>
      <x:c r="AA931" s="13" t="str">
        <x:f>IF(L931&lt;&gt;"COVERED","HELD — COVERAGE","WAIT FOR UPSTREAM COMPLETION")</x:f>
        <x:v>HELD — COVERAGE</x:v>
      </x:c>
      <x:c r="AB931" s="13" t="str">
        <x:f>IF(L931&lt;&gt;"COVERED","HELD — COVERAGE",IF(T931="UNRESOLVED","G DECISION REQUIRED",IF(T931="NOT APPLICABLE","G N/A","G ACTIONABLE")))</x:f>
        <x:v>HELD — COVERAGE</x:v>
      </x:c>
      <x:c r="AC931" s="13" t="str">
        <x:f>IF(L931="UNRESOLVED","COVERAGE FIRST",IF(OR(L931="EXCLUDED",L931="OUT OF SCOPE"),"CLOSED BY COVERAGE",IF(AND(L931="COVERED",T931&lt;&gt;"UNRESOLVED"),"PARTIALLY ADOPTED","DECISIONS REMAIN")))</x:f>
        <x:v>COVERAGE FIRST</x:v>
      </x:c>
    </x:row>
    <x:row r="932">
      <x:c r="A932" s="13" t="str">
        <x:v>NAAFTC-HS6-230310</x:v>
      </x:c>
      <x:c r="B932" s="13" t="str">
        <x:v>230310</x:v>
      </x:c>
      <x:c r="C932" s="13" t="str">
        <x:v>23</x:v>
      </x:c>
      <x:c r="D932" s="13" t="str">
        <x:v>TRILATERAL_SPLIT_MERGE</x:v>
      </x:c>
      <x:c r="E932" s="13" t="str">
        <x:v>Pending</x:v>
      </x:c>
      <x:c r="F932" s="13" t="n">
        <x:v>3</x:v>
      </x:c>
      <x:c r="G932" s="13" t="n">
        <x:v>1</x:v>
      </x:c>
      <x:c r="H932" s="13" t="n">
        <x:v>1</x:v>
      </x:c>
      <x:c r="I932" s="13" t="str">
        <x:v>2303100010; 2303100020; 2303100040</x:v>
      </x:c>
      <x:c r="J932" s="13" t="str">
        <x:v>2303100100</x:v>
      </x:c>
      <x:c r="K932" s="13" t="str">
        <x:v>23031000</x:v>
      </x:c>
      <x:c r="L932" s="13" t="str">
        <x:v>UNRESOLVED</x:v>
      </x:c>
      <x:c r="M932" s="13" t="str"/>
      <x:c r="N932" s="13" t="str">
        <x:v>NO / DEFAULT</x:v>
      </x:c>
      <x:c r="O932" s="13" t="str"/>
      <x:c r="P932" s="13" t="str">
        <x:v>NO / DEFAULT</x:v>
      </x:c>
      <x:c r="Q932" s="13" t="str"/>
      <x:c r="R932" s="13" t="str">
        <x:v>INDEPENDENT / DEFAULT</x:v>
      </x:c>
      <x:c r="S932" s="13" t="str"/>
      <x:c r="T932" s="13" t="str">
        <x:v>UNRESOLVED</x:v>
      </x:c>
      <x:c r="U932" s="13" t="str"/>
      <x:c r="V932" s="13" t="str"/>
      <x:c r="W932" s="13" t="str"/>
      <x:c r="X932" s="13" t="str">
        <x:f>IF(L932&lt;&gt;"COVERED","HELD — COVERAGE",IF(N932="YES — SENSITIVE","C ACTIONABLE","CHAPTER 5 DEFAULT"))</x:f>
        <x:v>HELD — COVERAGE</x:v>
      </x:c>
      <x:c r="Y932" s="13" t="str">
        <x:f>IF(L932&lt;&gt;"COVERED","HELD — COVERAGE",IF(P932="YES — MANAGED ACCESS","D ACTIONABLE","NO D FIELD"))</x:f>
        <x:v>HELD — COVERAGE</x:v>
      </x:c>
      <x:c r="Z932" s="13" t="str">
        <x:f>IF(L932&lt;&gt;"COVERED","HELD — COVERAGE",IF(OR(R932="PAIRED SYNCHRONIZED",R932="TRILATERAL SYNCHRONIZED"),"E ACTIONABLE","INDEPENDENT"))</x:f>
        <x:v>HELD — COVERAGE</x:v>
      </x:c>
      <x:c r="AA932" s="13" t="str">
        <x:f>IF(L932&lt;&gt;"COVERED","HELD — COVERAGE","WAIT FOR UPSTREAM COMPLETION")</x:f>
        <x:v>HELD — COVERAGE</x:v>
      </x:c>
      <x:c r="AB932" s="13" t="str">
        <x:f>IF(L932&lt;&gt;"COVERED","HELD — COVERAGE",IF(T932="UNRESOLVED","G DECISION REQUIRED",IF(T932="NOT APPLICABLE","G N/A","G ACTIONABLE")))</x:f>
        <x:v>HELD — COVERAGE</x:v>
      </x:c>
      <x:c r="AC932" s="13" t="str">
        <x:f>IF(L932="UNRESOLVED","COVERAGE FIRST",IF(OR(L932="EXCLUDED",L932="OUT OF SCOPE"),"CLOSED BY COVERAGE",IF(AND(L932="COVERED",T932&lt;&gt;"UNRESOLVED"),"PARTIALLY ADOPTED","DECISIONS REMAIN")))</x:f>
        <x:v>COVERAGE FIRST</x:v>
      </x:c>
    </x:row>
    <x:row r="933">
      <x:c r="A933" s="13" t="str">
        <x:v>NAAFTC-HS6-230320</x:v>
      </x:c>
      <x:c r="B933" s="13" t="str">
        <x:v>230320</x:v>
      </x:c>
      <x:c r="C933" s="13" t="str">
        <x:v>23</x:v>
      </x:c>
      <x:c r="D933" s="13" t="str">
        <x:v>TRILATERAL_SPLIT_MERGE</x:v>
      </x:c>
      <x:c r="E933" s="13" t="str">
        <x:v>Pending</x:v>
      </x:c>
      <x:c r="F933" s="13" t="n">
        <x:v>2</x:v>
      </x:c>
      <x:c r="G933" s="13" t="n">
        <x:v>1</x:v>
      </x:c>
      <x:c r="H933" s="13" t="n">
        <x:v>2</x:v>
      </x:c>
      <x:c r="I933" s="13" t="str">
        <x:v>2303200020; 2303200040</x:v>
      </x:c>
      <x:c r="J933" s="13" t="str">
        <x:v>2303200100</x:v>
      </x:c>
      <x:c r="K933" s="13" t="str">
        <x:v>2303201000; 2303209000</x:v>
      </x:c>
      <x:c r="L933" s="13" t="str">
        <x:v>UNRESOLVED</x:v>
      </x:c>
      <x:c r="M933" s="13" t="str"/>
      <x:c r="N933" s="13" t="str">
        <x:v>NO / DEFAULT</x:v>
      </x:c>
      <x:c r="O933" s="13" t="str"/>
      <x:c r="P933" s="13" t="str">
        <x:v>NO / DEFAULT</x:v>
      </x:c>
      <x:c r="Q933" s="13" t="str"/>
      <x:c r="R933" s="13" t="str">
        <x:v>INDEPENDENT / DEFAULT</x:v>
      </x:c>
      <x:c r="S933" s="13" t="str"/>
      <x:c r="T933" s="13" t="str">
        <x:v>UNRESOLVED</x:v>
      </x:c>
      <x:c r="U933" s="13" t="str"/>
      <x:c r="V933" s="13" t="str"/>
      <x:c r="W933" s="13" t="str"/>
      <x:c r="X933" s="13" t="str">
        <x:f>IF(L933&lt;&gt;"COVERED","HELD — COVERAGE",IF(N933="YES — SENSITIVE","C ACTIONABLE","CHAPTER 5 DEFAULT"))</x:f>
        <x:v>HELD — COVERAGE</x:v>
      </x:c>
      <x:c r="Y933" s="13" t="str">
        <x:f>IF(L933&lt;&gt;"COVERED","HELD — COVERAGE",IF(P933="YES — MANAGED ACCESS","D ACTIONABLE","NO D FIELD"))</x:f>
        <x:v>HELD — COVERAGE</x:v>
      </x:c>
      <x:c r="Z933" s="13" t="str">
        <x:f>IF(L933&lt;&gt;"COVERED","HELD — COVERAGE",IF(OR(R933="PAIRED SYNCHRONIZED",R933="TRILATERAL SYNCHRONIZED"),"E ACTIONABLE","INDEPENDENT"))</x:f>
        <x:v>HELD — COVERAGE</x:v>
      </x:c>
      <x:c r="AA933" s="13" t="str">
        <x:f>IF(L933&lt;&gt;"COVERED","HELD — COVERAGE","WAIT FOR UPSTREAM COMPLETION")</x:f>
        <x:v>HELD — COVERAGE</x:v>
      </x:c>
      <x:c r="AB933" s="13" t="str">
        <x:f>IF(L933&lt;&gt;"COVERED","HELD — COVERAGE",IF(T933="UNRESOLVED","G DECISION REQUIRED",IF(T933="NOT APPLICABLE","G N/A","G ACTIONABLE")))</x:f>
        <x:v>HELD — COVERAGE</x:v>
      </x:c>
      <x:c r="AC933" s="13" t="str">
        <x:f>IF(L933="UNRESOLVED","COVERAGE FIRST",IF(OR(L933="EXCLUDED",L933="OUT OF SCOPE"),"CLOSED BY COVERAGE",IF(AND(L933="COVERED",T933&lt;&gt;"UNRESOLVED"),"PARTIALLY ADOPTED","DECISIONS REMAIN")))</x:f>
        <x:v>COVERAGE FIRST</x:v>
      </x:c>
    </x:row>
    <x:row r="934">
      <x:c r="A934" s="13" t="str">
        <x:v>NAAFTC-HS6-230330</x:v>
      </x:c>
      <x:c r="B934" s="13" t="str">
        <x:v>230330</x:v>
      </x:c>
      <x:c r="C934" s="13" t="str">
        <x:v>23</x:v>
      </x:c>
      <x:c r="D934" s="13" t="str">
        <x:v>TRILATERAL_SPLIT_MERGE</x:v>
      </x:c>
      <x:c r="E934" s="13" t="str">
        <x:v>Pending</x:v>
      </x:c>
      <x:c r="F934" s="13" t="n">
        <x:v>1</x:v>
      </x:c>
      <x:c r="G934" s="13" t="n">
        <x:v>2</x:v>
      </x:c>
      <x:c r="H934" s="13" t="n">
        <x:v>1</x:v>
      </x:c>
      <x:c r="I934" s="13" t="str">
        <x:v>2303300000</x:v>
      </x:c>
      <x:c r="J934" s="13" t="str">
        <x:v>2303300100; 2303309900</x:v>
      </x:c>
      <x:c r="K934" s="13" t="str">
        <x:v>2303300000</x:v>
      </x:c>
      <x:c r="L934" s="13" t="str">
        <x:v>UNRESOLVED</x:v>
      </x:c>
      <x:c r="M934" s="13" t="str"/>
      <x:c r="N934" s="13" t="str">
        <x:v>NO / DEFAULT</x:v>
      </x:c>
      <x:c r="O934" s="13" t="str"/>
      <x:c r="P934" s="13" t="str">
        <x:v>NO / DEFAULT</x:v>
      </x:c>
      <x:c r="Q934" s="13" t="str"/>
      <x:c r="R934" s="13" t="str">
        <x:v>INDEPENDENT / DEFAULT</x:v>
      </x:c>
      <x:c r="S934" s="13" t="str"/>
      <x:c r="T934" s="13" t="str">
        <x:v>UNRESOLVED</x:v>
      </x:c>
      <x:c r="U934" s="13" t="str"/>
      <x:c r="V934" s="13" t="str"/>
      <x:c r="W934" s="13" t="str"/>
      <x:c r="X934" s="13" t="str">
        <x:f>IF(L934&lt;&gt;"COVERED","HELD — COVERAGE",IF(N934="YES — SENSITIVE","C ACTIONABLE","CHAPTER 5 DEFAULT"))</x:f>
        <x:v>HELD — COVERAGE</x:v>
      </x:c>
      <x:c r="Y934" s="13" t="str">
        <x:f>IF(L934&lt;&gt;"COVERED","HELD — COVERAGE",IF(P934="YES — MANAGED ACCESS","D ACTIONABLE","NO D FIELD"))</x:f>
        <x:v>HELD — COVERAGE</x:v>
      </x:c>
      <x:c r="Z934" s="13" t="str">
        <x:f>IF(L934&lt;&gt;"COVERED","HELD — COVERAGE",IF(OR(R934="PAIRED SYNCHRONIZED",R934="TRILATERAL SYNCHRONIZED"),"E ACTIONABLE","INDEPENDENT"))</x:f>
        <x:v>HELD — COVERAGE</x:v>
      </x:c>
      <x:c r="AA934" s="13" t="str">
        <x:f>IF(L934&lt;&gt;"COVERED","HELD — COVERAGE","WAIT FOR UPSTREAM COMPLETION")</x:f>
        <x:v>HELD — COVERAGE</x:v>
      </x:c>
      <x:c r="AB934" s="13" t="str">
        <x:f>IF(L934&lt;&gt;"COVERED","HELD — COVERAGE",IF(T934="UNRESOLVED","G DECISION REQUIRED",IF(T934="NOT APPLICABLE","G N/A","G ACTIONABLE")))</x:f>
        <x:v>HELD — COVERAGE</x:v>
      </x:c>
      <x:c r="AC934" s="13" t="str">
        <x:f>IF(L934="UNRESOLVED","COVERAGE FIRST",IF(OR(L934="EXCLUDED",L934="OUT OF SCOPE"),"CLOSED BY COVERAGE",IF(AND(L934="COVERED",T934&lt;&gt;"UNRESOLVED"),"PARTIALLY ADOPTED","DECISIONS REMAIN")))</x:f>
        <x:v>COVERAGE FIRST</x:v>
      </x:c>
    </x:row>
    <x:row r="935">
      <x:c r="A935" s="13" t="str">
        <x:v>NAAFTC-HS6-230400</x:v>
      </x:c>
      <x:c r="B935" s="13" t="str">
        <x:v>230400</x:v>
      </x:c>
      <x:c r="C935" s="13" t="str">
        <x:v>23</x:v>
      </x:c>
      <x:c r="D935" s="13" t="str">
        <x:v>TRILATERAL_SPLIT_MERGE</x:v>
      </x:c>
      <x:c r="E935" s="13" t="str">
        <x:v>Pending</x:v>
      </x:c>
      <x:c r="F935" s="13" t="n">
        <x:v>2</x:v>
      </x:c>
      <x:c r="G935" s="13" t="n">
        <x:v>1</x:v>
      </x:c>
      <x:c r="H935" s="13" t="n">
        <x:v>1</x:v>
      </x:c>
      <x:c r="I935" s="13" t="str">
        <x:v>2304000010; 2304000090</x:v>
      </x:c>
      <x:c r="J935" s="13" t="str">
        <x:v>2304000100</x:v>
      </x:c>
      <x:c r="K935" s="13" t="str">
        <x:v>2304000000</x:v>
      </x:c>
      <x:c r="L935" s="13" t="str">
        <x:v>UNRESOLVED</x:v>
      </x:c>
      <x:c r="M935" s="13" t="str"/>
      <x:c r="N935" s="13" t="str">
        <x:v>NO / DEFAULT</x:v>
      </x:c>
      <x:c r="O935" s="13" t="str"/>
      <x:c r="P935" s="13" t="str">
        <x:v>NO / DEFAULT</x:v>
      </x:c>
      <x:c r="Q935" s="13" t="str"/>
      <x:c r="R935" s="13" t="str">
        <x:v>INDEPENDENT / DEFAULT</x:v>
      </x:c>
      <x:c r="S935" s="13" t="str"/>
      <x:c r="T935" s="13" t="str">
        <x:v>UNRESOLVED</x:v>
      </x:c>
      <x:c r="U935" s="13" t="str"/>
      <x:c r="V935" s="13" t="str"/>
      <x:c r="W935" s="13" t="str"/>
      <x:c r="X935" s="13" t="str">
        <x:f>IF(L935&lt;&gt;"COVERED","HELD — COVERAGE",IF(N935="YES — SENSITIVE","C ACTIONABLE","CHAPTER 5 DEFAULT"))</x:f>
        <x:v>HELD — COVERAGE</x:v>
      </x:c>
      <x:c r="Y935" s="13" t="str">
        <x:f>IF(L935&lt;&gt;"COVERED","HELD — COVERAGE",IF(P935="YES — MANAGED ACCESS","D ACTIONABLE","NO D FIELD"))</x:f>
        <x:v>HELD — COVERAGE</x:v>
      </x:c>
      <x:c r="Z935" s="13" t="str">
        <x:f>IF(L935&lt;&gt;"COVERED","HELD — COVERAGE",IF(OR(R935="PAIRED SYNCHRONIZED",R935="TRILATERAL SYNCHRONIZED"),"E ACTIONABLE","INDEPENDENT"))</x:f>
        <x:v>HELD — COVERAGE</x:v>
      </x:c>
      <x:c r="AA935" s="13" t="str">
        <x:f>IF(L935&lt;&gt;"COVERED","HELD — COVERAGE","WAIT FOR UPSTREAM COMPLETION")</x:f>
        <x:v>HELD — COVERAGE</x:v>
      </x:c>
      <x:c r="AB935" s="13" t="str">
        <x:f>IF(L935&lt;&gt;"COVERED","HELD — COVERAGE",IF(T935="UNRESOLVED","G DECISION REQUIRED",IF(T935="NOT APPLICABLE","G N/A","G ACTIONABLE")))</x:f>
        <x:v>HELD — COVERAGE</x:v>
      </x:c>
      <x:c r="AC935" s="13" t="str">
        <x:f>IF(L935="UNRESOLVED","COVERAGE FIRST",IF(OR(L935="EXCLUDED",L935="OUT OF SCOPE"),"CLOSED BY COVERAGE",IF(AND(L935="COVERED",T935&lt;&gt;"UNRESOLVED"),"PARTIALLY ADOPTED","DECISIONS REMAIN")))</x:f>
        <x:v>COVERAGE FIRST</x:v>
      </x:c>
    </x:row>
    <x:row r="936">
      <x:c r="A936" s="13" t="str">
        <x:v>NAAFTC-HS6-230500</x:v>
      </x:c>
      <x:c r="B936" s="13" t="str">
        <x:v>230500</x:v>
      </x:c>
      <x:c r="C936" s="13" t="str">
        <x:v>23</x:v>
      </x:c>
      <x:c r="D936" s="13" t="str">
        <x:v>TRILATERAL_1_TO_1_TO_1</x:v>
      </x:c>
      <x:c r="E936" s="13" t="str">
        <x:v>Pending</x:v>
      </x:c>
      <x:c r="F936" s="13" t="n">
        <x:v>1</x:v>
      </x:c>
      <x:c r="G936" s="13" t="n">
        <x:v>1</x:v>
      </x:c>
      <x:c r="H936" s="13" t="n">
        <x:v>1</x:v>
      </x:c>
      <x:c r="I936" s="13" t="str">
        <x:v>2305000000</x:v>
      </x:c>
      <x:c r="J936" s="13" t="str">
        <x:v>2305000100</x:v>
      </x:c>
      <x:c r="K936" s="13" t="str">
        <x:v>2305000000</x:v>
      </x:c>
      <x:c r="L936" s="13" t="str">
        <x:v>UNRESOLVED</x:v>
      </x:c>
      <x:c r="M936" s="13" t="str"/>
      <x:c r="N936" s="13" t="str">
        <x:v>NO / DEFAULT</x:v>
      </x:c>
      <x:c r="O936" s="13" t="str"/>
      <x:c r="P936" s="13" t="str">
        <x:v>NO / DEFAULT</x:v>
      </x:c>
      <x:c r="Q936" s="13" t="str"/>
      <x:c r="R936" s="13" t="str">
        <x:v>INDEPENDENT / DEFAULT</x:v>
      </x:c>
      <x:c r="S936" s="13" t="str"/>
      <x:c r="T936" s="13" t="str">
        <x:v>UNRESOLVED</x:v>
      </x:c>
      <x:c r="U936" s="13" t="str"/>
      <x:c r="V936" s="13" t="str"/>
      <x:c r="W936" s="13" t="str"/>
      <x:c r="X936" s="13" t="str">
        <x:f>IF(L936&lt;&gt;"COVERED","HELD — COVERAGE",IF(N936="YES — SENSITIVE","C ACTIONABLE","CHAPTER 5 DEFAULT"))</x:f>
        <x:v>HELD — COVERAGE</x:v>
      </x:c>
      <x:c r="Y936" s="13" t="str">
        <x:f>IF(L936&lt;&gt;"COVERED","HELD — COVERAGE",IF(P936="YES — MANAGED ACCESS","D ACTIONABLE","NO D FIELD"))</x:f>
        <x:v>HELD — COVERAGE</x:v>
      </x:c>
      <x:c r="Z936" s="13" t="str">
        <x:f>IF(L936&lt;&gt;"COVERED","HELD — COVERAGE",IF(OR(R936="PAIRED SYNCHRONIZED",R936="TRILATERAL SYNCHRONIZED"),"E ACTIONABLE","INDEPENDENT"))</x:f>
        <x:v>HELD — COVERAGE</x:v>
      </x:c>
      <x:c r="AA936" s="13" t="str">
        <x:f>IF(L936&lt;&gt;"COVERED","HELD — COVERAGE","WAIT FOR UPSTREAM COMPLETION")</x:f>
        <x:v>HELD — COVERAGE</x:v>
      </x:c>
      <x:c r="AB936" s="13" t="str">
        <x:f>IF(L936&lt;&gt;"COVERED","HELD — COVERAGE",IF(T936="UNRESOLVED","G DECISION REQUIRED",IF(T936="NOT APPLICABLE","G N/A","G ACTIONABLE")))</x:f>
        <x:v>HELD — COVERAGE</x:v>
      </x:c>
      <x:c r="AC936" s="13" t="str">
        <x:f>IF(L936="UNRESOLVED","COVERAGE FIRST",IF(OR(L936="EXCLUDED",L936="OUT OF SCOPE"),"CLOSED BY COVERAGE",IF(AND(L936="COVERED",T936&lt;&gt;"UNRESOLVED"),"PARTIALLY ADOPTED","DECISIONS REMAIN")))</x:f>
        <x:v>COVERAGE FIRST</x:v>
      </x:c>
    </x:row>
    <x:row r="937">
      <x:c r="A937" s="13" t="str">
        <x:v>NAAFTC-HS6-230610</x:v>
      </x:c>
      <x:c r="B937" s="13" t="str">
        <x:v>230610</x:v>
      </x:c>
      <x:c r="C937" s="13" t="str">
        <x:v>23</x:v>
      </x:c>
      <x:c r="D937" s="13" t="str">
        <x:v>TRILATERAL_1_TO_1_TO_1</x:v>
      </x:c>
      <x:c r="E937" s="13" t="str">
        <x:v>Pending</x:v>
      </x:c>
      <x:c r="F937" s="13" t="n">
        <x:v>1</x:v>
      </x:c>
      <x:c r="G937" s="13" t="n">
        <x:v>1</x:v>
      </x:c>
      <x:c r="H937" s="13" t="n">
        <x:v>1</x:v>
      </x:c>
      <x:c r="I937" s="13" t="str">
        <x:v>2306100000</x:v>
      </x:c>
      <x:c r="J937" s="13" t="str">
        <x:v>2306100100</x:v>
      </x:c>
      <x:c r="K937" s="13" t="str">
        <x:v>2306100000</x:v>
      </x:c>
      <x:c r="L937" s="13" t="str">
        <x:v>UNRESOLVED</x:v>
      </x:c>
      <x:c r="M937" s="13" t="str"/>
      <x:c r="N937" s="13" t="str">
        <x:v>NO / DEFAULT</x:v>
      </x:c>
      <x:c r="O937" s="13" t="str"/>
      <x:c r="P937" s="13" t="str">
        <x:v>NO / DEFAULT</x:v>
      </x:c>
      <x:c r="Q937" s="13" t="str"/>
      <x:c r="R937" s="13" t="str">
        <x:v>INDEPENDENT / DEFAULT</x:v>
      </x:c>
      <x:c r="S937" s="13" t="str"/>
      <x:c r="T937" s="13" t="str">
        <x:v>UNRESOLVED</x:v>
      </x:c>
      <x:c r="U937" s="13" t="str"/>
      <x:c r="V937" s="13" t="str"/>
      <x:c r="W937" s="13" t="str"/>
      <x:c r="X937" s="13" t="str">
        <x:f>IF(L937&lt;&gt;"COVERED","HELD — COVERAGE",IF(N937="YES — SENSITIVE","C ACTIONABLE","CHAPTER 5 DEFAULT"))</x:f>
        <x:v>HELD — COVERAGE</x:v>
      </x:c>
      <x:c r="Y937" s="13" t="str">
        <x:f>IF(L937&lt;&gt;"COVERED","HELD — COVERAGE",IF(P937="YES — MANAGED ACCESS","D ACTIONABLE","NO D FIELD"))</x:f>
        <x:v>HELD — COVERAGE</x:v>
      </x:c>
      <x:c r="Z937" s="13" t="str">
        <x:f>IF(L937&lt;&gt;"COVERED","HELD — COVERAGE",IF(OR(R937="PAIRED SYNCHRONIZED",R937="TRILATERAL SYNCHRONIZED"),"E ACTIONABLE","INDEPENDENT"))</x:f>
        <x:v>HELD — COVERAGE</x:v>
      </x:c>
      <x:c r="AA937" s="13" t="str">
        <x:f>IF(L937&lt;&gt;"COVERED","HELD — COVERAGE","WAIT FOR UPSTREAM COMPLETION")</x:f>
        <x:v>HELD — COVERAGE</x:v>
      </x:c>
      <x:c r="AB937" s="13" t="str">
        <x:f>IF(L937&lt;&gt;"COVERED","HELD — COVERAGE",IF(T937="UNRESOLVED","G DECISION REQUIRED",IF(T937="NOT APPLICABLE","G N/A","G ACTIONABLE")))</x:f>
        <x:v>HELD — COVERAGE</x:v>
      </x:c>
      <x:c r="AC937" s="13" t="str">
        <x:f>IF(L937="UNRESOLVED","COVERAGE FIRST",IF(OR(L937="EXCLUDED",L937="OUT OF SCOPE"),"CLOSED BY COVERAGE",IF(AND(L937="COVERED",T937&lt;&gt;"UNRESOLVED"),"PARTIALLY ADOPTED","DECISIONS REMAIN")))</x:f>
        <x:v>COVERAGE FIRST</x:v>
      </x:c>
    </x:row>
    <x:row r="938">
      <x:c r="A938" s="13" t="str">
        <x:v>NAAFTC-HS6-230620</x:v>
      </x:c>
      <x:c r="B938" s="13" t="str">
        <x:v>230620</x:v>
      </x:c>
      <x:c r="C938" s="13" t="str">
        <x:v>23</x:v>
      </x:c>
      <x:c r="D938" s="13" t="str">
        <x:v>TRILATERAL_1_TO_1_TO_1</x:v>
      </x:c>
      <x:c r="E938" s="13" t="str">
        <x:v>Pending</x:v>
      </x:c>
      <x:c r="F938" s="13" t="n">
        <x:v>1</x:v>
      </x:c>
      <x:c r="G938" s="13" t="n">
        <x:v>1</x:v>
      </x:c>
      <x:c r="H938" s="13" t="n">
        <x:v>1</x:v>
      </x:c>
      <x:c r="I938" s="13" t="str">
        <x:v>2306200000</x:v>
      </x:c>
      <x:c r="J938" s="13" t="str">
        <x:v>2306200100</x:v>
      </x:c>
      <x:c r="K938" s="13" t="str">
        <x:v>2306200000</x:v>
      </x:c>
      <x:c r="L938" s="13" t="str">
        <x:v>UNRESOLVED</x:v>
      </x:c>
      <x:c r="M938" s="13" t="str"/>
      <x:c r="N938" s="13" t="str">
        <x:v>NO / DEFAULT</x:v>
      </x:c>
      <x:c r="O938" s="13" t="str"/>
      <x:c r="P938" s="13" t="str">
        <x:v>NO / DEFAULT</x:v>
      </x:c>
      <x:c r="Q938" s="13" t="str"/>
      <x:c r="R938" s="13" t="str">
        <x:v>INDEPENDENT / DEFAULT</x:v>
      </x:c>
      <x:c r="S938" s="13" t="str"/>
      <x:c r="T938" s="13" t="str">
        <x:v>UNRESOLVED</x:v>
      </x:c>
      <x:c r="U938" s="13" t="str"/>
      <x:c r="V938" s="13" t="str"/>
      <x:c r="W938" s="13" t="str"/>
      <x:c r="X938" s="13" t="str">
        <x:f>IF(L938&lt;&gt;"COVERED","HELD — COVERAGE",IF(N938="YES — SENSITIVE","C ACTIONABLE","CHAPTER 5 DEFAULT"))</x:f>
        <x:v>HELD — COVERAGE</x:v>
      </x:c>
      <x:c r="Y938" s="13" t="str">
        <x:f>IF(L938&lt;&gt;"COVERED","HELD — COVERAGE",IF(P938="YES — MANAGED ACCESS","D ACTIONABLE","NO D FIELD"))</x:f>
        <x:v>HELD — COVERAGE</x:v>
      </x:c>
      <x:c r="Z938" s="13" t="str">
        <x:f>IF(L938&lt;&gt;"COVERED","HELD — COVERAGE",IF(OR(R938="PAIRED SYNCHRONIZED",R938="TRILATERAL SYNCHRONIZED"),"E ACTIONABLE","INDEPENDENT"))</x:f>
        <x:v>HELD — COVERAGE</x:v>
      </x:c>
      <x:c r="AA938" s="13" t="str">
        <x:f>IF(L938&lt;&gt;"COVERED","HELD — COVERAGE","WAIT FOR UPSTREAM COMPLETION")</x:f>
        <x:v>HELD — COVERAGE</x:v>
      </x:c>
      <x:c r="AB938" s="13" t="str">
        <x:f>IF(L938&lt;&gt;"COVERED","HELD — COVERAGE",IF(T938="UNRESOLVED","G DECISION REQUIRED",IF(T938="NOT APPLICABLE","G N/A","G ACTIONABLE")))</x:f>
        <x:v>HELD — COVERAGE</x:v>
      </x:c>
      <x:c r="AC938" s="13" t="str">
        <x:f>IF(L938="UNRESOLVED","COVERAGE FIRST",IF(OR(L938="EXCLUDED",L938="OUT OF SCOPE"),"CLOSED BY COVERAGE",IF(AND(L938="COVERED",T938&lt;&gt;"UNRESOLVED"),"PARTIALLY ADOPTED","DECISIONS REMAIN")))</x:f>
        <x:v>COVERAGE FIRST</x:v>
      </x:c>
    </x:row>
    <x:row r="939">
      <x:c r="A939" s="13" t="str">
        <x:v>NAAFTC-HS6-230630</x:v>
      </x:c>
      <x:c r="B939" s="13" t="str">
        <x:v>230630</x:v>
      </x:c>
      <x:c r="C939" s="13" t="str">
        <x:v>23</x:v>
      </x:c>
      <x:c r="D939" s="13" t="str">
        <x:v>TRILATERAL_1_TO_1_TO_1</x:v>
      </x:c>
      <x:c r="E939" s="13" t="str">
        <x:v>Pending</x:v>
      </x:c>
      <x:c r="F939" s="13" t="n">
        <x:v>1</x:v>
      </x:c>
      <x:c r="G939" s="13" t="n">
        <x:v>1</x:v>
      </x:c>
      <x:c r="H939" s="13" t="n">
        <x:v>1</x:v>
      </x:c>
      <x:c r="I939" s="13" t="str">
        <x:v>2306300000</x:v>
      </x:c>
      <x:c r="J939" s="13" t="str">
        <x:v>2306300100</x:v>
      </x:c>
      <x:c r="K939" s="13" t="str">
        <x:v>2306300000</x:v>
      </x:c>
      <x:c r="L939" s="13" t="str">
        <x:v>UNRESOLVED</x:v>
      </x:c>
      <x:c r="M939" s="13" t="str"/>
      <x:c r="N939" s="13" t="str">
        <x:v>NO / DEFAULT</x:v>
      </x:c>
      <x:c r="O939" s="13" t="str"/>
      <x:c r="P939" s="13" t="str">
        <x:v>NO / DEFAULT</x:v>
      </x:c>
      <x:c r="Q939" s="13" t="str"/>
      <x:c r="R939" s="13" t="str">
        <x:v>INDEPENDENT / DEFAULT</x:v>
      </x:c>
      <x:c r="S939" s="13" t="str"/>
      <x:c r="T939" s="13" t="str">
        <x:v>UNRESOLVED</x:v>
      </x:c>
      <x:c r="U939" s="13" t="str"/>
      <x:c r="V939" s="13" t="str"/>
      <x:c r="W939" s="13" t="str"/>
      <x:c r="X939" s="13" t="str">
        <x:f>IF(L939&lt;&gt;"COVERED","HELD — COVERAGE",IF(N939="YES — SENSITIVE","C ACTIONABLE","CHAPTER 5 DEFAULT"))</x:f>
        <x:v>HELD — COVERAGE</x:v>
      </x:c>
      <x:c r="Y939" s="13" t="str">
        <x:f>IF(L939&lt;&gt;"COVERED","HELD — COVERAGE",IF(P939="YES — MANAGED ACCESS","D ACTIONABLE","NO D FIELD"))</x:f>
        <x:v>HELD — COVERAGE</x:v>
      </x:c>
      <x:c r="Z939" s="13" t="str">
        <x:f>IF(L939&lt;&gt;"COVERED","HELD — COVERAGE",IF(OR(R939="PAIRED SYNCHRONIZED",R939="TRILATERAL SYNCHRONIZED"),"E ACTIONABLE","INDEPENDENT"))</x:f>
        <x:v>HELD — COVERAGE</x:v>
      </x:c>
      <x:c r="AA939" s="13" t="str">
        <x:f>IF(L939&lt;&gt;"COVERED","HELD — COVERAGE","WAIT FOR UPSTREAM COMPLETION")</x:f>
        <x:v>HELD — COVERAGE</x:v>
      </x:c>
      <x:c r="AB939" s="13" t="str">
        <x:f>IF(L939&lt;&gt;"COVERED","HELD — COVERAGE",IF(T939="UNRESOLVED","G DECISION REQUIRED",IF(T939="NOT APPLICABLE","G N/A","G ACTIONABLE")))</x:f>
        <x:v>HELD — COVERAGE</x:v>
      </x:c>
      <x:c r="AC939" s="13" t="str">
        <x:f>IF(L939="UNRESOLVED","COVERAGE FIRST",IF(OR(L939="EXCLUDED",L939="OUT OF SCOPE"),"CLOSED BY COVERAGE",IF(AND(L939="COVERED",T939&lt;&gt;"UNRESOLVED"),"PARTIALLY ADOPTED","DECISIONS REMAIN")))</x:f>
        <x:v>COVERAGE FIRST</x:v>
      </x:c>
    </x:row>
    <x:row r="940">
      <x:c r="A940" s="13" t="str">
        <x:v>NAAFTC-HS6-230641</x:v>
      </x:c>
      <x:c r="B940" s="13" t="str">
        <x:v>230641</x:v>
      </x:c>
      <x:c r="C940" s="13" t="str">
        <x:v>23</x:v>
      </x:c>
      <x:c r="D940" s="13" t="str">
        <x:v>TRILATERAL_1_TO_1_TO_1</x:v>
      </x:c>
      <x:c r="E940" s="13" t="str">
        <x:v>Pending</x:v>
      </x:c>
      <x:c r="F940" s="13" t="n">
        <x:v>1</x:v>
      </x:c>
      <x:c r="G940" s="13" t="n">
        <x:v>1</x:v>
      </x:c>
      <x:c r="H940" s="13" t="n">
        <x:v>1</x:v>
      </x:c>
      <x:c r="I940" s="13" t="str">
        <x:v>2306410000</x:v>
      </x:c>
      <x:c r="J940" s="13" t="str">
        <x:v>2306410100</x:v>
      </x:c>
      <x:c r="K940" s="13" t="str">
        <x:v>2306410000</x:v>
      </x:c>
      <x:c r="L940" s="13" t="str">
        <x:v>UNRESOLVED</x:v>
      </x:c>
      <x:c r="M940" s="13" t="str"/>
      <x:c r="N940" s="13" t="str">
        <x:v>NO / DEFAULT</x:v>
      </x:c>
      <x:c r="O940" s="13" t="str"/>
      <x:c r="P940" s="13" t="str">
        <x:v>NO / DEFAULT</x:v>
      </x:c>
      <x:c r="Q940" s="13" t="str"/>
      <x:c r="R940" s="13" t="str">
        <x:v>INDEPENDENT / DEFAULT</x:v>
      </x:c>
      <x:c r="S940" s="13" t="str"/>
      <x:c r="T940" s="13" t="str">
        <x:v>UNRESOLVED</x:v>
      </x:c>
      <x:c r="U940" s="13" t="str"/>
      <x:c r="V940" s="13" t="str"/>
      <x:c r="W940" s="13" t="str"/>
      <x:c r="X940" s="13" t="str">
        <x:f>IF(L940&lt;&gt;"COVERED","HELD — COVERAGE",IF(N940="YES — SENSITIVE","C ACTIONABLE","CHAPTER 5 DEFAULT"))</x:f>
        <x:v>HELD — COVERAGE</x:v>
      </x:c>
      <x:c r="Y940" s="13" t="str">
        <x:f>IF(L940&lt;&gt;"COVERED","HELD — COVERAGE",IF(P940="YES — MANAGED ACCESS","D ACTIONABLE","NO D FIELD"))</x:f>
        <x:v>HELD — COVERAGE</x:v>
      </x:c>
      <x:c r="Z940" s="13" t="str">
        <x:f>IF(L940&lt;&gt;"COVERED","HELD — COVERAGE",IF(OR(R940="PAIRED SYNCHRONIZED",R940="TRILATERAL SYNCHRONIZED"),"E ACTIONABLE","INDEPENDENT"))</x:f>
        <x:v>HELD — COVERAGE</x:v>
      </x:c>
      <x:c r="AA940" s="13" t="str">
        <x:f>IF(L940&lt;&gt;"COVERED","HELD — COVERAGE","WAIT FOR UPSTREAM COMPLETION")</x:f>
        <x:v>HELD — COVERAGE</x:v>
      </x:c>
      <x:c r="AB940" s="13" t="str">
        <x:f>IF(L940&lt;&gt;"COVERED","HELD — COVERAGE",IF(T940="UNRESOLVED","G DECISION REQUIRED",IF(T940="NOT APPLICABLE","G N/A","G ACTIONABLE")))</x:f>
        <x:v>HELD — COVERAGE</x:v>
      </x:c>
      <x:c r="AC940" s="13" t="str">
        <x:f>IF(L940="UNRESOLVED","COVERAGE FIRST",IF(OR(L940="EXCLUDED",L940="OUT OF SCOPE"),"CLOSED BY COVERAGE",IF(AND(L940="COVERED",T940&lt;&gt;"UNRESOLVED"),"PARTIALLY ADOPTED","DECISIONS REMAIN")))</x:f>
        <x:v>COVERAGE FIRST</x:v>
      </x:c>
    </x:row>
    <x:row r="941">
      <x:c r="A941" s="13" t="str">
        <x:v>NAAFTC-HS6-230649</x:v>
      </x:c>
      <x:c r="B941" s="13" t="str">
        <x:v>230649</x:v>
      </x:c>
      <x:c r="C941" s="13" t="str">
        <x:v>23</x:v>
      </x:c>
      <x:c r="D941" s="13" t="str">
        <x:v>TRILATERAL_1_TO_1_TO_1</x:v>
      </x:c>
      <x:c r="E941" s="13" t="str">
        <x:v>Pending</x:v>
      </x:c>
      <x:c r="F941" s="13" t="n">
        <x:v>1</x:v>
      </x:c>
      <x:c r="G941" s="13" t="n">
        <x:v>1</x:v>
      </x:c>
      <x:c r="H941" s="13" t="n">
        <x:v>1</x:v>
      </x:c>
      <x:c r="I941" s="13" t="str">
        <x:v>2306490000</x:v>
      </x:c>
      <x:c r="J941" s="13" t="str">
        <x:v>2306499900</x:v>
      </x:c>
      <x:c r="K941" s="13" t="str">
        <x:v>2306490000</x:v>
      </x:c>
      <x:c r="L941" s="13" t="str">
        <x:v>UNRESOLVED</x:v>
      </x:c>
      <x:c r="M941" s="13" t="str"/>
      <x:c r="N941" s="13" t="str">
        <x:v>NO / DEFAULT</x:v>
      </x:c>
      <x:c r="O941" s="13" t="str"/>
      <x:c r="P941" s="13" t="str">
        <x:v>NO / DEFAULT</x:v>
      </x:c>
      <x:c r="Q941" s="13" t="str"/>
      <x:c r="R941" s="13" t="str">
        <x:v>INDEPENDENT / DEFAULT</x:v>
      </x:c>
      <x:c r="S941" s="13" t="str"/>
      <x:c r="T941" s="13" t="str">
        <x:v>UNRESOLVED</x:v>
      </x:c>
      <x:c r="U941" s="13" t="str"/>
      <x:c r="V941" s="13" t="str"/>
      <x:c r="W941" s="13" t="str"/>
      <x:c r="X941" s="13" t="str">
        <x:f>IF(L941&lt;&gt;"COVERED","HELD — COVERAGE",IF(N941="YES — SENSITIVE","C ACTIONABLE","CHAPTER 5 DEFAULT"))</x:f>
        <x:v>HELD — COVERAGE</x:v>
      </x:c>
      <x:c r="Y941" s="13" t="str">
        <x:f>IF(L941&lt;&gt;"COVERED","HELD — COVERAGE",IF(P941="YES — MANAGED ACCESS","D ACTIONABLE","NO D FIELD"))</x:f>
        <x:v>HELD — COVERAGE</x:v>
      </x:c>
      <x:c r="Z941" s="13" t="str">
        <x:f>IF(L941&lt;&gt;"COVERED","HELD — COVERAGE",IF(OR(R941="PAIRED SYNCHRONIZED",R941="TRILATERAL SYNCHRONIZED"),"E ACTIONABLE","INDEPENDENT"))</x:f>
        <x:v>HELD — COVERAGE</x:v>
      </x:c>
      <x:c r="AA941" s="13" t="str">
        <x:f>IF(L941&lt;&gt;"COVERED","HELD — COVERAGE","WAIT FOR UPSTREAM COMPLETION")</x:f>
        <x:v>HELD — COVERAGE</x:v>
      </x:c>
      <x:c r="AB941" s="13" t="str">
        <x:f>IF(L941&lt;&gt;"COVERED","HELD — COVERAGE",IF(T941="UNRESOLVED","G DECISION REQUIRED",IF(T941="NOT APPLICABLE","G N/A","G ACTIONABLE")))</x:f>
        <x:v>HELD — COVERAGE</x:v>
      </x:c>
      <x:c r="AC941" s="13" t="str">
        <x:f>IF(L941="UNRESOLVED","COVERAGE FIRST",IF(OR(L941="EXCLUDED",L941="OUT OF SCOPE"),"CLOSED BY COVERAGE",IF(AND(L941="COVERED",T941&lt;&gt;"UNRESOLVED"),"PARTIALLY ADOPTED","DECISIONS REMAIN")))</x:f>
        <x:v>COVERAGE FIRST</x:v>
      </x:c>
    </x:row>
    <x:row r="942">
      <x:c r="A942" s="13" t="str">
        <x:v>NAAFTC-HS6-230650</x:v>
      </x:c>
      <x:c r="B942" s="13" t="str">
        <x:v>230650</x:v>
      </x:c>
      <x:c r="C942" s="13" t="str">
        <x:v>23</x:v>
      </x:c>
      <x:c r="D942" s="13" t="str">
        <x:v>TRILATERAL_1_TO_1_TO_1</x:v>
      </x:c>
      <x:c r="E942" s="13" t="str">
        <x:v>Pending</x:v>
      </x:c>
      <x:c r="F942" s="13" t="n">
        <x:v>1</x:v>
      </x:c>
      <x:c r="G942" s="13" t="n">
        <x:v>1</x:v>
      </x:c>
      <x:c r="H942" s="13" t="n">
        <x:v>1</x:v>
      </x:c>
      <x:c r="I942" s="13" t="str">
        <x:v>2306500000</x:v>
      </x:c>
      <x:c r="J942" s="13" t="str">
        <x:v>2306500100</x:v>
      </x:c>
      <x:c r="K942" s="13" t="str">
        <x:v>2306500000</x:v>
      </x:c>
      <x:c r="L942" s="13" t="str">
        <x:v>UNRESOLVED</x:v>
      </x:c>
      <x:c r="M942" s="13" t="str"/>
      <x:c r="N942" s="13" t="str">
        <x:v>NO / DEFAULT</x:v>
      </x:c>
      <x:c r="O942" s="13" t="str"/>
      <x:c r="P942" s="13" t="str">
        <x:v>NO / DEFAULT</x:v>
      </x:c>
      <x:c r="Q942" s="13" t="str"/>
      <x:c r="R942" s="13" t="str">
        <x:v>INDEPENDENT / DEFAULT</x:v>
      </x:c>
      <x:c r="S942" s="13" t="str"/>
      <x:c r="T942" s="13" t="str">
        <x:v>UNRESOLVED</x:v>
      </x:c>
      <x:c r="U942" s="13" t="str"/>
      <x:c r="V942" s="13" t="str"/>
      <x:c r="W942" s="13" t="str"/>
      <x:c r="X942" s="13" t="str">
        <x:f>IF(L942&lt;&gt;"COVERED","HELD — COVERAGE",IF(N942="YES — SENSITIVE","C ACTIONABLE","CHAPTER 5 DEFAULT"))</x:f>
        <x:v>HELD — COVERAGE</x:v>
      </x:c>
      <x:c r="Y942" s="13" t="str">
        <x:f>IF(L942&lt;&gt;"COVERED","HELD — COVERAGE",IF(P942="YES — MANAGED ACCESS","D ACTIONABLE","NO D FIELD"))</x:f>
        <x:v>HELD — COVERAGE</x:v>
      </x:c>
      <x:c r="Z942" s="13" t="str">
        <x:f>IF(L942&lt;&gt;"COVERED","HELD — COVERAGE",IF(OR(R942="PAIRED SYNCHRONIZED",R942="TRILATERAL SYNCHRONIZED"),"E ACTIONABLE","INDEPENDENT"))</x:f>
        <x:v>HELD — COVERAGE</x:v>
      </x:c>
      <x:c r="AA942" s="13" t="str">
        <x:f>IF(L942&lt;&gt;"COVERED","HELD — COVERAGE","WAIT FOR UPSTREAM COMPLETION")</x:f>
        <x:v>HELD — COVERAGE</x:v>
      </x:c>
      <x:c r="AB942" s="13" t="str">
        <x:f>IF(L942&lt;&gt;"COVERED","HELD — COVERAGE",IF(T942="UNRESOLVED","G DECISION REQUIRED",IF(T942="NOT APPLICABLE","G N/A","G ACTIONABLE")))</x:f>
        <x:v>HELD — COVERAGE</x:v>
      </x:c>
      <x:c r="AC942" s="13" t="str">
        <x:f>IF(L942="UNRESOLVED","COVERAGE FIRST",IF(OR(L942="EXCLUDED",L942="OUT OF SCOPE"),"CLOSED BY COVERAGE",IF(AND(L942="COVERED",T942&lt;&gt;"UNRESOLVED"),"PARTIALLY ADOPTED","DECISIONS REMAIN")))</x:f>
        <x:v>COVERAGE FIRST</x:v>
      </x:c>
    </x:row>
    <x:row r="943">
      <x:c r="A943" s="13" t="str">
        <x:v>NAAFTC-HS6-230660</x:v>
      </x:c>
      <x:c r="B943" s="13" t="str">
        <x:v>230660</x:v>
      </x:c>
      <x:c r="C943" s="13" t="str">
        <x:v>23</x:v>
      </x:c>
      <x:c r="D943" s="13" t="str">
        <x:v>TRILATERAL_1_TO_1_TO_1</x:v>
      </x:c>
      <x:c r="E943" s="13" t="str">
        <x:v>Pending</x:v>
      </x:c>
      <x:c r="F943" s="13" t="n">
        <x:v>1</x:v>
      </x:c>
      <x:c r="G943" s="13" t="n">
        <x:v>1</x:v>
      </x:c>
      <x:c r="H943" s="13" t="n">
        <x:v>1</x:v>
      </x:c>
      <x:c r="I943" s="13" t="str">
        <x:v>2306600000</x:v>
      </x:c>
      <x:c r="J943" s="13" t="str">
        <x:v>2306600100</x:v>
      </x:c>
      <x:c r="K943" s="13" t="str">
        <x:v>2306600000</x:v>
      </x:c>
      <x:c r="L943" s="13" t="str">
        <x:v>UNRESOLVED</x:v>
      </x:c>
      <x:c r="M943" s="13" t="str"/>
      <x:c r="N943" s="13" t="str">
        <x:v>NO / DEFAULT</x:v>
      </x:c>
      <x:c r="O943" s="13" t="str"/>
      <x:c r="P943" s="13" t="str">
        <x:v>NO / DEFAULT</x:v>
      </x:c>
      <x:c r="Q943" s="13" t="str"/>
      <x:c r="R943" s="13" t="str">
        <x:v>INDEPENDENT / DEFAULT</x:v>
      </x:c>
      <x:c r="S943" s="13" t="str"/>
      <x:c r="T943" s="13" t="str">
        <x:v>UNRESOLVED</x:v>
      </x:c>
      <x:c r="U943" s="13" t="str"/>
      <x:c r="V943" s="13" t="str"/>
      <x:c r="W943" s="13" t="str"/>
      <x:c r="X943" s="13" t="str">
        <x:f>IF(L943&lt;&gt;"COVERED","HELD — COVERAGE",IF(N943="YES — SENSITIVE","C ACTIONABLE","CHAPTER 5 DEFAULT"))</x:f>
        <x:v>HELD — COVERAGE</x:v>
      </x:c>
      <x:c r="Y943" s="13" t="str">
        <x:f>IF(L943&lt;&gt;"COVERED","HELD — COVERAGE",IF(P943="YES — MANAGED ACCESS","D ACTIONABLE","NO D FIELD"))</x:f>
        <x:v>HELD — COVERAGE</x:v>
      </x:c>
      <x:c r="Z943" s="13" t="str">
        <x:f>IF(L943&lt;&gt;"COVERED","HELD — COVERAGE",IF(OR(R943="PAIRED SYNCHRONIZED",R943="TRILATERAL SYNCHRONIZED"),"E ACTIONABLE","INDEPENDENT"))</x:f>
        <x:v>HELD — COVERAGE</x:v>
      </x:c>
      <x:c r="AA943" s="13" t="str">
        <x:f>IF(L943&lt;&gt;"COVERED","HELD — COVERAGE","WAIT FOR UPSTREAM COMPLETION")</x:f>
        <x:v>HELD — COVERAGE</x:v>
      </x:c>
      <x:c r="AB943" s="13" t="str">
        <x:f>IF(L943&lt;&gt;"COVERED","HELD — COVERAGE",IF(T943="UNRESOLVED","G DECISION REQUIRED",IF(T943="NOT APPLICABLE","G N/A","G ACTIONABLE")))</x:f>
        <x:v>HELD — COVERAGE</x:v>
      </x:c>
      <x:c r="AC943" s="13" t="str">
        <x:f>IF(L943="UNRESOLVED","COVERAGE FIRST",IF(OR(L943="EXCLUDED",L943="OUT OF SCOPE"),"CLOSED BY COVERAGE",IF(AND(L943="COVERED",T943&lt;&gt;"UNRESOLVED"),"PARTIALLY ADOPTED","DECISIONS REMAIN")))</x:f>
        <x:v>COVERAGE FIRST</x:v>
      </x:c>
    </x:row>
    <x:row r="944">
      <x:c r="A944" s="13" t="str">
        <x:v>NAAFTC-HS6-230690</x:v>
      </x:c>
      <x:c r="B944" s="13" t="str">
        <x:v>230690</x:v>
      </x:c>
      <x:c r="C944" s="13" t="str">
        <x:v>23</x:v>
      </x:c>
      <x:c r="D944" s="13" t="str">
        <x:v>TRILATERAL_SPLIT_MERGE</x:v>
      </x:c>
      <x:c r="E944" s="13" t="str">
        <x:v>Pending</x:v>
      </x:c>
      <x:c r="F944" s="13" t="n">
        <x:v>3</x:v>
      </x:c>
      <x:c r="G944" s="13" t="n">
        <x:v>2</x:v>
      </x:c>
      <x:c r="H944" s="13" t="n">
        <x:v>1</x:v>
      </x:c>
      <x:c r="I944" s="13" t="str">
        <x:v>2306900120; 2306900130; 2306900150</x:v>
      </x:c>
      <x:c r="J944" s="13" t="str">
        <x:v>2306909901; 2306909999</x:v>
      </x:c>
      <x:c r="K944" s="13" t="str">
        <x:v>2306900000</x:v>
      </x:c>
      <x:c r="L944" s="13" t="str">
        <x:v>UNRESOLVED</x:v>
      </x:c>
      <x:c r="M944" s="13" t="str"/>
      <x:c r="N944" s="13" t="str">
        <x:v>NO / DEFAULT</x:v>
      </x:c>
      <x:c r="O944" s="13" t="str"/>
      <x:c r="P944" s="13" t="str">
        <x:v>NO / DEFAULT</x:v>
      </x:c>
      <x:c r="Q944" s="13" t="str"/>
      <x:c r="R944" s="13" t="str">
        <x:v>INDEPENDENT / DEFAULT</x:v>
      </x:c>
      <x:c r="S944" s="13" t="str"/>
      <x:c r="T944" s="13" t="str">
        <x:v>UNRESOLVED</x:v>
      </x:c>
      <x:c r="U944" s="13" t="str"/>
      <x:c r="V944" s="13" t="str"/>
      <x:c r="W944" s="13" t="str"/>
      <x:c r="X944" s="13" t="str">
        <x:f>IF(L944&lt;&gt;"COVERED","HELD — COVERAGE",IF(N944="YES — SENSITIVE","C ACTIONABLE","CHAPTER 5 DEFAULT"))</x:f>
        <x:v>HELD — COVERAGE</x:v>
      </x:c>
      <x:c r="Y944" s="13" t="str">
        <x:f>IF(L944&lt;&gt;"COVERED","HELD — COVERAGE",IF(P944="YES — MANAGED ACCESS","D ACTIONABLE","NO D FIELD"))</x:f>
        <x:v>HELD — COVERAGE</x:v>
      </x:c>
      <x:c r="Z944" s="13" t="str">
        <x:f>IF(L944&lt;&gt;"COVERED","HELD — COVERAGE",IF(OR(R944="PAIRED SYNCHRONIZED",R944="TRILATERAL SYNCHRONIZED"),"E ACTIONABLE","INDEPENDENT"))</x:f>
        <x:v>HELD — COVERAGE</x:v>
      </x:c>
      <x:c r="AA944" s="13" t="str">
        <x:f>IF(L944&lt;&gt;"COVERED","HELD — COVERAGE","WAIT FOR UPSTREAM COMPLETION")</x:f>
        <x:v>HELD — COVERAGE</x:v>
      </x:c>
      <x:c r="AB944" s="13" t="str">
        <x:f>IF(L944&lt;&gt;"COVERED","HELD — COVERAGE",IF(T944="UNRESOLVED","G DECISION REQUIRED",IF(T944="NOT APPLICABLE","G N/A","G ACTIONABLE")))</x:f>
        <x:v>HELD — COVERAGE</x:v>
      </x:c>
      <x:c r="AC944" s="13" t="str">
        <x:f>IF(L944="UNRESOLVED","COVERAGE FIRST",IF(OR(L944="EXCLUDED",L944="OUT OF SCOPE"),"CLOSED BY COVERAGE",IF(AND(L944="COVERED",T944&lt;&gt;"UNRESOLVED"),"PARTIALLY ADOPTED","DECISIONS REMAIN")))</x:f>
        <x:v>COVERAGE FIRST</x:v>
      </x:c>
    </x:row>
    <x:row r="945">
      <x:c r="A945" s="13" t="str">
        <x:v>NAAFTC-HS6-230700</x:v>
      </x:c>
      <x:c r="B945" s="13" t="str">
        <x:v>230700</x:v>
      </x:c>
      <x:c r="C945" s="13" t="str">
        <x:v>23</x:v>
      </x:c>
      <x:c r="D945" s="13" t="str">
        <x:v>TRILATERAL_1_TO_1_TO_1</x:v>
      </x:c>
      <x:c r="E945" s="13" t="str">
        <x:v>Pending</x:v>
      </x:c>
      <x:c r="F945" s="13" t="n">
        <x:v>1</x:v>
      </x:c>
      <x:c r="G945" s="13" t="n">
        <x:v>1</x:v>
      </x:c>
      <x:c r="H945" s="13" t="n">
        <x:v>1</x:v>
      </x:c>
      <x:c r="I945" s="13" t="str">
        <x:v>2307000000</x:v>
      </x:c>
      <x:c r="J945" s="13" t="str">
        <x:v>2307000100</x:v>
      </x:c>
      <x:c r="K945" s="13" t="str">
        <x:v>2307000000</x:v>
      </x:c>
      <x:c r="L945" s="13" t="str">
        <x:v>UNRESOLVED</x:v>
      </x:c>
      <x:c r="M945" s="13" t="str"/>
      <x:c r="N945" s="13" t="str">
        <x:v>NO / DEFAULT</x:v>
      </x:c>
      <x:c r="O945" s="13" t="str"/>
      <x:c r="P945" s="13" t="str">
        <x:v>NO / DEFAULT</x:v>
      </x:c>
      <x:c r="Q945" s="13" t="str"/>
      <x:c r="R945" s="13" t="str">
        <x:v>INDEPENDENT / DEFAULT</x:v>
      </x:c>
      <x:c r="S945" s="13" t="str"/>
      <x:c r="T945" s="13" t="str">
        <x:v>UNRESOLVED</x:v>
      </x:c>
      <x:c r="U945" s="13" t="str"/>
      <x:c r="V945" s="13" t="str"/>
      <x:c r="W945" s="13" t="str"/>
      <x:c r="X945" s="13" t="str">
        <x:f>IF(L945&lt;&gt;"COVERED","HELD — COVERAGE",IF(N945="YES — SENSITIVE","C ACTIONABLE","CHAPTER 5 DEFAULT"))</x:f>
        <x:v>HELD — COVERAGE</x:v>
      </x:c>
      <x:c r="Y945" s="13" t="str">
        <x:f>IF(L945&lt;&gt;"COVERED","HELD — COVERAGE",IF(P945="YES — MANAGED ACCESS","D ACTIONABLE","NO D FIELD"))</x:f>
        <x:v>HELD — COVERAGE</x:v>
      </x:c>
      <x:c r="Z945" s="13" t="str">
        <x:f>IF(L945&lt;&gt;"COVERED","HELD — COVERAGE",IF(OR(R945="PAIRED SYNCHRONIZED",R945="TRILATERAL SYNCHRONIZED"),"E ACTIONABLE","INDEPENDENT"))</x:f>
        <x:v>HELD — COVERAGE</x:v>
      </x:c>
      <x:c r="AA945" s="13" t="str">
        <x:f>IF(L945&lt;&gt;"COVERED","HELD — COVERAGE","WAIT FOR UPSTREAM COMPLETION")</x:f>
        <x:v>HELD — COVERAGE</x:v>
      </x:c>
      <x:c r="AB945" s="13" t="str">
        <x:f>IF(L945&lt;&gt;"COVERED","HELD — COVERAGE",IF(T945="UNRESOLVED","G DECISION REQUIRED",IF(T945="NOT APPLICABLE","G N/A","G ACTIONABLE")))</x:f>
        <x:v>HELD — COVERAGE</x:v>
      </x:c>
      <x:c r="AC945" s="13" t="str">
        <x:f>IF(L945="UNRESOLVED","COVERAGE FIRST",IF(OR(L945="EXCLUDED",L945="OUT OF SCOPE"),"CLOSED BY COVERAGE",IF(AND(L945="COVERED",T945&lt;&gt;"UNRESOLVED"),"PARTIALLY ADOPTED","DECISIONS REMAIN")))</x:f>
        <x:v>COVERAGE FIRST</x:v>
      </x:c>
    </x:row>
    <x:row r="946">
      <x:c r="A946" s="13" t="str">
        <x:v>NAAFTC-HS6-230800</x:v>
      </x:c>
      <x:c r="B946" s="13" t="str">
        <x:v>230800</x:v>
      </x:c>
      <x:c r="C946" s="13" t="str">
        <x:v>23</x:v>
      </x:c>
      <x:c r="D946" s="13" t="str">
        <x:v>TRILATERAL_SPLIT_MERGE</x:v>
      </x:c>
      <x:c r="E946" s="13" t="str">
        <x:v>Pending</x:v>
      </x:c>
      <x:c r="F946" s="13" t="n">
        <x:v>5</x:v>
      </x:c>
      <x:c r="G946" s="13" t="n">
        <x:v>2</x:v>
      </x:c>
      <x:c r="H946" s="13" t="n">
        <x:v>1</x:v>
      </x:c>
      <x:c r="I946" s="13" t="str">
        <x:v>2308001000; 2308009300; 2308009500; 2308009820; 2308009890</x:v>
      </x:c>
      <x:c r="J946" s="13" t="str">
        <x:v>2308000201; 2308000299</x:v>
      </x:c>
      <x:c r="K946" s="13" t="str">
        <x:v>2308000000</x:v>
      </x:c>
      <x:c r="L946" s="13" t="str">
        <x:v>UNRESOLVED</x:v>
      </x:c>
      <x:c r="M946" s="13" t="str"/>
      <x:c r="N946" s="13" t="str">
        <x:v>NO / DEFAULT</x:v>
      </x:c>
      <x:c r="O946" s="13" t="str"/>
      <x:c r="P946" s="13" t="str">
        <x:v>NO / DEFAULT</x:v>
      </x:c>
      <x:c r="Q946" s="13" t="str"/>
      <x:c r="R946" s="13" t="str">
        <x:v>INDEPENDENT / DEFAULT</x:v>
      </x:c>
      <x:c r="S946" s="13" t="str"/>
      <x:c r="T946" s="13" t="str">
        <x:v>UNRESOLVED</x:v>
      </x:c>
      <x:c r="U946" s="13" t="str"/>
      <x:c r="V946" s="13" t="str"/>
      <x:c r="W946" s="13" t="str"/>
      <x:c r="X946" s="13" t="str">
        <x:f>IF(L946&lt;&gt;"COVERED","HELD — COVERAGE",IF(N946="YES — SENSITIVE","C ACTIONABLE","CHAPTER 5 DEFAULT"))</x:f>
        <x:v>HELD — COVERAGE</x:v>
      </x:c>
      <x:c r="Y946" s="13" t="str">
        <x:f>IF(L946&lt;&gt;"COVERED","HELD — COVERAGE",IF(P946="YES — MANAGED ACCESS","D ACTIONABLE","NO D FIELD"))</x:f>
        <x:v>HELD — COVERAGE</x:v>
      </x:c>
      <x:c r="Z946" s="13" t="str">
        <x:f>IF(L946&lt;&gt;"COVERED","HELD — COVERAGE",IF(OR(R946="PAIRED SYNCHRONIZED",R946="TRILATERAL SYNCHRONIZED"),"E ACTIONABLE","INDEPENDENT"))</x:f>
        <x:v>HELD — COVERAGE</x:v>
      </x:c>
      <x:c r="AA946" s="13" t="str">
        <x:f>IF(L946&lt;&gt;"COVERED","HELD — COVERAGE","WAIT FOR UPSTREAM COMPLETION")</x:f>
        <x:v>HELD — COVERAGE</x:v>
      </x:c>
      <x:c r="AB946" s="13" t="str">
        <x:f>IF(L946&lt;&gt;"COVERED","HELD — COVERAGE",IF(T946="UNRESOLVED","G DECISION REQUIRED",IF(T946="NOT APPLICABLE","G N/A","G ACTIONABLE")))</x:f>
        <x:v>HELD — COVERAGE</x:v>
      </x:c>
      <x:c r="AC946" s="13" t="str">
        <x:f>IF(L946="UNRESOLVED","COVERAGE FIRST",IF(OR(L946="EXCLUDED",L946="OUT OF SCOPE"),"CLOSED BY COVERAGE",IF(AND(L946="COVERED",T946&lt;&gt;"UNRESOLVED"),"PARTIALLY ADOPTED","DECISIONS REMAIN")))</x:f>
        <x:v>COVERAGE FIRST</x:v>
      </x:c>
    </x:row>
    <x:row r="947">
      <x:c r="A947" s="13" t="str">
        <x:v>NAAFTC-HS6-230910</x:v>
      </x:c>
      <x:c r="B947" s="13" t="str">
        <x:v>230910</x:v>
      </x:c>
      <x:c r="C947" s="13" t="str">
        <x:v>23</x:v>
      </x:c>
      <x:c r="D947" s="13" t="str">
        <x:v>TRILATERAL_SPLIT_MERGE</x:v>
      </x:c>
      <x:c r="E947" s="13" t="str">
        <x:v>Pending</x:v>
      </x:c>
      <x:c r="F947" s="13" t="n">
        <x:v>2</x:v>
      </x:c>
      <x:c r="G947" s="13" t="n">
        <x:v>1</x:v>
      </x:c>
      <x:c r="H947" s="13" t="n">
        <x:v>1</x:v>
      </x:c>
      <x:c r="I947" s="13" t="str">
        <x:v>2309100010; 2309100090</x:v>
      </x:c>
      <x:c r="J947" s="13" t="str">
        <x:v>2309100100</x:v>
      </x:c>
      <x:c r="K947" s="13" t="str">
        <x:v>23091000</x:v>
      </x:c>
      <x:c r="L947" s="13" t="str">
        <x:v>UNRESOLVED</x:v>
      </x:c>
      <x:c r="M947" s="13" t="str"/>
      <x:c r="N947" s="13" t="str">
        <x:v>NO / DEFAULT</x:v>
      </x:c>
      <x:c r="O947" s="13" t="str"/>
      <x:c r="P947" s="13" t="str">
        <x:v>NO / DEFAULT</x:v>
      </x:c>
      <x:c r="Q947" s="13" t="str"/>
      <x:c r="R947" s="13" t="str">
        <x:v>INDEPENDENT / DEFAULT</x:v>
      </x:c>
      <x:c r="S947" s="13" t="str"/>
      <x:c r="T947" s="13" t="str">
        <x:v>UNRESOLVED</x:v>
      </x:c>
      <x:c r="U947" s="13" t="str"/>
      <x:c r="V947" s="13" t="str"/>
      <x:c r="W947" s="13" t="str"/>
      <x:c r="X947" s="13" t="str">
        <x:f>IF(L947&lt;&gt;"COVERED","HELD — COVERAGE",IF(N947="YES — SENSITIVE","C ACTIONABLE","CHAPTER 5 DEFAULT"))</x:f>
        <x:v>HELD — COVERAGE</x:v>
      </x:c>
      <x:c r="Y947" s="13" t="str">
        <x:f>IF(L947&lt;&gt;"COVERED","HELD — COVERAGE",IF(P947="YES — MANAGED ACCESS","D ACTIONABLE","NO D FIELD"))</x:f>
        <x:v>HELD — COVERAGE</x:v>
      </x:c>
      <x:c r="Z947" s="13" t="str">
        <x:f>IF(L947&lt;&gt;"COVERED","HELD — COVERAGE",IF(OR(R947="PAIRED SYNCHRONIZED",R947="TRILATERAL SYNCHRONIZED"),"E ACTIONABLE","INDEPENDENT"))</x:f>
        <x:v>HELD — COVERAGE</x:v>
      </x:c>
      <x:c r="AA947" s="13" t="str">
        <x:f>IF(L947&lt;&gt;"COVERED","HELD — COVERAGE","WAIT FOR UPSTREAM COMPLETION")</x:f>
        <x:v>HELD — COVERAGE</x:v>
      </x:c>
      <x:c r="AB947" s="13" t="str">
        <x:f>IF(L947&lt;&gt;"COVERED","HELD — COVERAGE",IF(T947="UNRESOLVED","G DECISION REQUIRED",IF(T947="NOT APPLICABLE","G N/A","G ACTIONABLE")))</x:f>
        <x:v>HELD — COVERAGE</x:v>
      </x:c>
      <x:c r="AC947" s="13" t="str">
        <x:f>IF(L947="UNRESOLVED","COVERAGE FIRST",IF(OR(L947="EXCLUDED",L947="OUT OF SCOPE"),"CLOSED BY COVERAGE",IF(AND(L947="COVERED",T947&lt;&gt;"UNRESOLVED"),"PARTIALLY ADOPTED","DECISIONS REMAIN")))</x:f>
        <x:v>COVERAGE FIRST</x:v>
      </x:c>
    </x:row>
    <x:row r="948">
      <x:c r="A948" s="13" t="str">
        <x:v>NAAFTC-HS6-230990</x:v>
      </x:c>
      <x:c r="B948" s="13" t="str">
        <x:v>230990</x:v>
      </x:c>
      <x:c r="C948" s="13" t="str">
        <x:v>23</x:v>
      </x:c>
      <x:c r="D948" s="13" t="str">
        <x:v>TRILATERAL_SPLIT_MERGE</x:v>
      </x:c>
      <x:c r="E948" s="13" t="str">
        <x:v>Pending</x:v>
      </x:c>
      <x:c r="F948" s="13" t="n">
        <x:v>23</x:v>
      </x:c>
      <x:c r="G948" s="13" t="n">
        <x:v>4</x:v>
      </x:c>
      <x:c r="H948" s="13" t="n">
        <x:v>5</x:v>
      </x:c>
      <x:c r="I948" s="13" t="str">
        <x:v>2309901005; 2309901015; 2309901020; 2309901030; 2309901032; 2309901035; +17 more</x:v>
      </x:c>
      <x:c r="J948" s="13" t="str">
        <x:v>2309900400; 2309909901; 2309909902; 2309909999</x:v>
      </x:c>
      <x:c r="K948" s="13" t="str">
        <x:v>23099031; 2309903200; 2309903300; 23099034; 2309903500</x:v>
      </x:c>
      <x:c r="L948" s="13" t="str">
        <x:v>UNRESOLVED</x:v>
      </x:c>
      <x:c r="M948" s="13" t="str"/>
      <x:c r="N948" s="13" t="str">
        <x:v>NO / DEFAULT</x:v>
      </x:c>
      <x:c r="O948" s="13" t="str"/>
      <x:c r="P948" s="13" t="str">
        <x:v>NO / DEFAULT</x:v>
      </x:c>
      <x:c r="Q948" s="13" t="str"/>
      <x:c r="R948" s="13" t="str">
        <x:v>INDEPENDENT / DEFAULT</x:v>
      </x:c>
      <x:c r="S948" s="13" t="str"/>
      <x:c r="T948" s="13" t="str">
        <x:v>UNRESOLVED</x:v>
      </x:c>
      <x:c r="U948" s="13" t="str"/>
      <x:c r="V948" s="13" t="str"/>
      <x:c r="W948" s="13" t="str"/>
      <x:c r="X948" s="13" t="str">
        <x:f>IF(L948&lt;&gt;"COVERED","HELD — COVERAGE",IF(N948="YES — SENSITIVE","C ACTIONABLE","CHAPTER 5 DEFAULT"))</x:f>
        <x:v>HELD — COVERAGE</x:v>
      </x:c>
      <x:c r="Y948" s="13" t="str">
        <x:f>IF(L948&lt;&gt;"COVERED","HELD — COVERAGE",IF(P948="YES — MANAGED ACCESS","D ACTIONABLE","NO D FIELD"))</x:f>
        <x:v>HELD — COVERAGE</x:v>
      </x:c>
      <x:c r="Z948" s="13" t="str">
        <x:f>IF(L948&lt;&gt;"COVERED","HELD — COVERAGE",IF(OR(R948="PAIRED SYNCHRONIZED",R948="TRILATERAL SYNCHRONIZED"),"E ACTIONABLE","INDEPENDENT"))</x:f>
        <x:v>HELD — COVERAGE</x:v>
      </x:c>
      <x:c r="AA948" s="13" t="str">
        <x:f>IF(L948&lt;&gt;"COVERED","HELD — COVERAGE","WAIT FOR UPSTREAM COMPLETION")</x:f>
        <x:v>HELD — COVERAGE</x:v>
      </x:c>
      <x:c r="AB948" s="13" t="str">
        <x:f>IF(L948&lt;&gt;"COVERED","HELD — COVERAGE",IF(T948="UNRESOLVED","G DECISION REQUIRED",IF(T948="NOT APPLICABLE","G N/A","G ACTIONABLE")))</x:f>
        <x:v>HELD — COVERAGE</x:v>
      </x:c>
      <x:c r="AC948" s="13" t="str">
        <x:f>IF(L948="UNRESOLVED","COVERAGE FIRST",IF(OR(L948="EXCLUDED",L948="OUT OF SCOPE"),"CLOSED BY COVERAGE",IF(AND(L948="COVERED",T948&lt;&gt;"UNRESOLVED"),"PARTIALLY ADOPTED","DECISIONS REMAIN")))</x:f>
        <x:v>COVERAGE FIRST</x:v>
      </x:c>
    </x:row>
    <x:row r="949">
      <x:c r="A949" s="13" t="str">
        <x:v>NAAFTC-HS6-240110</x:v>
      </x:c>
      <x:c r="B949" s="13" t="str">
        <x:v>240110</x:v>
      </x:c>
      <x:c r="C949" s="13" t="str">
        <x:v>24</x:v>
      </x:c>
      <x:c r="D949" s="13" t="str">
        <x:v>TRILATERAL_SPLIT_MERGE</x:v>
      </x:c>
      <x:c r="E949" s="13" t="str">
        <x:v>Pending</x:v>
      </x:c>
      <x:c r="F949" s="13" t="n">
        <x:v>26</x:v>
      </x:c>
      <x:c r="G949" s="13" t="n">
        <x:v>2</x:v>
      </x:c>
      <x:c r="H949" s="13" t="n">
        <x:v>3</x:v>
      </x:c>
      <x:c r="I949" s="13" t="str">
        <x:v>2401102120; 2401102140; 2401102920; 2401102940; 2401104400; 2401104800; +20 more</x:v>
      </x:c>
      <x:c r="J949" s="13" t="str">
        <x:v>2401100201; 2401100299</x:v>
      </x:c>
      <x:c r="K949" s="13" t="str">
        <x:v>2401101000; 2401109100; 2401109900</x:v>
      </x:c>
      <x:c r="L949" s="13" t="str">
        <x:v>UNRESOLVED</x:v>
      </x:c>
      <x:c r="M949" s="13" t="str"/>
      <x:c r="N949" s="13" t="str">
        <x:v>NO / DEFAULT</x:v>
      </x:c>
      <x:c r="O949" s="13" t="str"/>
      <x:c r="P949" s="13" t="str">
        <x:v>NO / DEFAULT</x:v>
      </x:c>
      <x:c r="Q949" s="13" t="str"/>
      <x:c r="R949" s="13" t="str">
        <x:v>INDEPENDENT / DEFAULT</x:v>
      </x:c>
      <x:c r="S949" s="13" t="str"/>
      <x:c r="T949" s="13" t="str">
        <x:v>UNRESOLVED</x:v>
      </x:c>
      <x:c r="U949" s="13" t="str"/>
      <x:c r="V949" s="13" t="str"/>
      <x:c r="W949" s="13" t="str"/>
      <x:c r="X949" s="13" t="str">
        <x:f>IF(L949&lt;&gt;"COVERED","HELD — COVERAGE",IF(N949="YES — SENSITIVE","C ACTIONABLE","CHAPTER 5 DEFAULT"))</x:f>
        <x:v>HELD — COVERAGE</x:v>
      </x:c>
      <x:c r="Y949" s="13" t="str">
        <x:f>IF(L949&lt;&gt;"COVERED","HELD — COVERAGE",IF(P949="YES — MANAGED ACCESS","D ACTIONABLE","NO D FIELD"))</x:f>
        <x:v>HELD — COVERAGE</x:v>
      </x:c>
      <x:c r="Z949" s="13" t="str">
        <x:f>IF(L949&lt;&gt;"COVERED","HELD — COVERAGE",IF(OR(R949="PAIRED SYNCHRONIZED",R949="TRILATERAL SYNCHRONIZED"),"E ACTIONABLE","INDEPENDENT"))</x:f>
        <x:v>HELD — COVERAGE</x:v>
      </x:c>
      <x:c r="AA949" s="13" t="str">
        <x:f>IF(L949&lt;&gt;"COVERED","HELD — COVERAGE","WAIT FOR UPSTREAM COMPLETION")</x:f>
        <x:v>HELD — COVERAGE</x:v>
      </x:c>
      <x:c r="AB949" s="13" t="str">
        <x:f>IF(L949&lt;&gt;"COVERED","HELD — COVERAGE",IF(T949="UNRESOLVED","G DECISION REQUIRED",IF(T949="NOT APPLICABLE","G N/A","G ACTIONABLE")))</x:f>
        <x:v>HELD — COVERAGE</x:v>
      </x:c>
      <x:c r="AC949" s="13" t="str">
        <x:f>IF(L949="UNRESOLVED","COVERAGE FIRST",IF(OR(L949="EXCLUDED",L949="OUT OF SCOPE"),"CLOSED BY COVERAGE",IF(AND(L949="COVERED",T949&lt;&gt;"UNRESOLVED"),"PARTIALLY ADOPTED","DECISIONS REMAIN")))</x:f>
        <x:v>COVERAGE FIRST</x:v>
      </x:c>
    </x:row>
    <x:row r="950">
      <x:c r="A950" s="13" t="str">
        <x:v>NAAFTC-HS6-240120</x:v>
      </x:c>
      <x:c r="B950" s="13" t="str">
        <x:v>240120</x:v>
      </x:c>
      <x:c r="C950" s="13" t="str">
        <x:v>24</x:v>
      </x:c>
      <x:c r="D950" s="13" t="str">
        <x:v>TRILATERAL_SPLIT_MERGE</x:v>
      </x:c>
      <x:c r="E950" s="13" t="str">
        <x:v>Pending</x:v>
      </x:c>
      <x:c r="F950" s="13" t="n">
        <x:v>56</x:v>
      </x:c>
      <x:c r="G950" s="13" t="n">
        <x:v>2</x:v>
      </x:c>
      <x:c r="H950" s="13" t="n">
        <x:v>2</x:v>
      </x:c>
      <x:c r="I950" s="13" t="str">
        <x:v>2401200500; 2401201420; 2401201440; 2401201800; 2401202300; 2401202600; +50 more</x:v>
      </x:c>
      <x:c r="J950" s="13" t="str">
        <x:v>2401200301; 2401200399</x:v>
      </x:c>
      <x:c r="K950" s="13" t="str">
        <x:v>2401201000; 24012090</x:v>
      </x:c>
      <x:c r="L950" s="13" t="str">
        <x:v>UNRESOLVED</x:v>
      </x:c>
      <x:c r="M950" s="13" t="str"/>
      <x:c r="N950" s="13" t="str">
        <x:v>NO / DEFAULT</x:v>
      </x:c>
      <x:c r="O950" s="13" t="str"/>
      <x:c r="P950" s="13" t="str">
        <x:v>NO / DEFAULT</x:v>
      </x:c>
      <x:c r="Q950" s="13" t="str"/>
      <x:c r="R950" s="13" t="str">
        <x:v>INDEPENDENT / DEFAULT</x:v>
      </x:c>
      <x:c r="S950" s="13" t="str"/>
      <x:c r="T950" s="13" t="str">
        <x:v>UNRESOLVED</x:v>
      </x:c>
      <x:c r="U950" s="13" t="str"/>
      <x:c r="V950" s="13" t="str"/>
      <x:c r="W950" s="13" t="str"/>
      <x:c r="X950" s="13" t="str">
        <x:f>IF(L950&lt;&gt;"COVERED","HELD — COVERAGE",IF(N950="YES — SENSITIVE","C ACTIONABLE","CHAPTER 5 DEFAULT"))</x:f>
        <x:v>HELD — COVERAGE</x:v>
      </x:c>
      <x:c r="Y950" s="13" t="str">
        <x:f>IF(L950&lt;&gt;"COVERED","HELD — COVERAGE",IF(P950="YES — MANAGED ACCESS","D ACTIONABLE","NO D FIELD"))</x:f>
        <x:v>HELD — COVERAGE</x:v>
      </x:c>
      <x:c r="Z950" s="13" t="str">
        <x:f>IF(L950&lt;&gt;"COVERED","HELD — COVERAGE",IF(OR(R950="PAIRED SYNCHRONIZED",R950="TRILATERAL SYNCHRONIZED"),"E ACTIONABLE","INDEPENDENT"))</x:f>
        <x:v>HELD — COVERAGE</x:v>
      </x:c>
      <x:c r="AA950" s="13" t="str">
        <x:f>IF(L950&lt;&gt;"COVERED","HELD — COVERAGE","WAIT FOR UPSTREAM COMPLETION")</x:f>
        <x:v>HELD — COVERAGE</x:v>
      </x:c>
      <x:c r="AB950" s="13" t="str">
        <x:f>IF(L950&lt;&gt;"COVERED","HELD — COVERAGE",IF(T950="UNRESOLVED","G DECISION REQUIRED",IF(T950="NOT APPLICABLE","G N/A","G ACTIONABLE")))</x:f>
        <x:v>HELD — COVERAGE</x:v>
      </x:c>
      <x:c r="AC950" s="13" t="str">
        <x:f>IF(L950="UNRESOLVED","COVERAGE FIRST",IF(OR(L950="EXCLUDED",L950="OUT OF SCOPE"),"CLOSED BY COVERAGE",IF(AND(L950="COVERED",T950&lt;&gt;"UNRESOLVED"),"PARTIALLY ADOPTED","DECISIONS REMAIN")))</x:f>
        <x:v>COVERAGE FIRST</x:v>
      </x:c>
    </x:row>
    <x:row r="951">
      <x:c r="A951" s="13" t="str">
        <x:v>NAAFTC-HS6-240130</x:v>
      </x:c>
      <x:c r="B951" s="13" t="str">
        <x:v>240130</x:v>
      </x:c>
      <x:c r="C951" s="13" t="str">
        <x:v>24</x:v>
      </x:c>
      <x:c r="D951" s="13" t="str">
        <x:v>TRILATERAL_SPLIT_MERGE</x:v>
      </x:c>
      <x:c r="E951" s="13" t="str">
        <x:v>Pending</x:v>
      </x:c>
      <x:c r="F951" s="13" t="n">
        <x:v>55</x:v>
      </x:c>
      <x:c r="G951" s="13" t="n">
        <x:v>1</x:v>
      </x:c>
      <x:c r="H951" s="13" t="n">
        <x:v>1</x:v>
      </x:c>
      <x:c r="I951" s="13" t="str">
        <x:v>2401300300; 2401300600; 2401300900; 2401301300; 2401301600; 2401301900; +49 more</x:v>
      </x:c>
      <x:c r="J951" s="13" t="str">
        <x:v>2401300100</x:v>
      </x:c>
      <x:c r="K951" s="13" t="str">
        <x:v>2401300000</x:v>
      </x:c>
      <x:c r="L951" s="13" t="str">
        <x:v>UNRESOLVED</x:v>
      </x:c>
      <x:c r="M951" s="13" t="str"/>
      <x:c r="N951" s="13" t="str">
        <x:v>NO / DEFAULT</x:v>
      </x:c>
      <x:c r="O951" s="13" t="str"/>
      <x:c r="P951" s="13" t="str">
        <x:v>NO / DEFAULT</x:v>
      </x:c>
      <x:c r="Q951" s="13" t="str"/>
      <x:c r="R951" s="13" t="str">
        <x:v>INDEPENDENT / DEFAULT</x:v>
      </x:c>
      <x:c r="S951" s="13" t="str"/>
      <x:c r="T951" s="13" t="str">
        <x:v>UNRESOLVED</x:v>
      </x:c>
      <x:c r="U951" s="13" t="str"/>
      <x:c r="V951" s="13" t="str"/>
      <x:c r="W951" s="13" t="str"/>
      <x:c r="X951" s="13" t="str">
        <x:f>IF(L951&lt;&gt;"COVERED","HELD — COVERAGE",IF(N951="YES — SENSITIVE","C ACTIONABLE","CHAPTER 5 DEFAULT"))</x:f>
        <x:v>HELD — COVERAGE</x:v>
      </x:c>
      <x:c r="Y951" s="13" t="str">
        <x:f>IF(L951&lt;&gt;"COVERED","HELD — COVERAGE",IF(P951="YES — MANAGED ACCESS","D ACTIONABLE","NO D FIELD"))</x:f>
        <x:v>HELD — COVERAGE</x:v>
      </x:c>
      <x:c r="Z951" s="13" t="str">
        <x:f>IF(L951&lt;&gt;"COVERED","HELD — COVERAGE",IF(OR(R951="PAIRED SYNCHRONIZED",R951="TRILATERAL SYNCHRONIZED"),"E ACTIONABLE","INDEPENDENT"))</x:f>
        <x:v>HELD — COVERAGE</x:v>
      </x:c>
      <x:c r="AA951" s="13" t="str">
        <x:f>IF(L951&lt;&gt;"COVERED","HELD — COVERAGE","WAIT FOR UPSTREAM COMPLETION")</x:f>
        <x:v>HELD — COVERAGE</x:v>
      </x:c>
      <x:c r="AB951" s="13" t="str">
        <x:f>IF(L951&lt;&gt;"COVERED","HELD — COVERAGE",IF(T951="UNRESOLVED","G DECISION REQUIRED",IF(T951="NOT APPLICABLE","G N/A","G ACTIONABLE")))</x:f>
        <x:v>HELD — COVERAGE</x:v>
      </x:c>
      <x:c r="AC951" s="13" t="str">
        <x:f>IF(L951="UNRESOLVED","COVERAGE FIRST",IF(OR(L951="EXCLUDED",L951="OUT OF SCOPE"),"CLOSED BY COVERAGE",IF(AND(L951="COVERED",T951&lt;&gt;"UNRESOLVED"),"PARTIALLY ADOPTED","DECISIONS REMAIN")))</x:f>
        <x:v>COVERAGE FIRST</x:v>
      </x:c>
    </x:row>
    <x:row r="952">
      <x:c r="A952" s="13" t="str">
        <x:v>NAAFTC-HS6-240210</x:v>
      </x:c>
      <x:c r="B952" s="13" t="str">
        <x:v>240210</x:v>
      </x:c>
      <x:c r="C952" s="13" t="str">
        <x:v>24</x:v>
      </x:c>
      <x:c r="D952" s="13" t="str">
        <x:v>TRILATERAL_SPLIT_MERGE</x:v>
      </x:c>
      <x:c r="E952" s="13" t="str">
        <x:v>Pending</x:v>
      </x:c>
      <x:c r="F952" s="13" t="n">
        <x:v>6</x:v>
      </x:c>
      <x:c r="G952" s="13" t="n">
        <x:v>1</x:v>
      </x:c>
      <x:c r="H952" s="13" t="n">
        <x:v>1</x:v>
      </x:c>
      <x:c r="I952" s="13" t="str">
        <x:v>2402103030; 2402103070; 2402106000; 2402108030; 2402108050; 2402108080</x:v>
      </x:c>
      <x:c r="J952" s="13" t="str">
        <x:v>2402100100</x:v>
      </x:c>
      <x:c r="K952" s="13" t="str">
        <x:v>24021000</x:v>
      </x:c>
      <x:c r="L952" s="13" t="str">
        <x:v>UNRESOLVED</x:v>
      </x:c>
      <x:c r="M952" s="13" t="str"/>
      <x:c r="N952" s="13" t="str">
        <x:v>NO / DEFAULT</x:v>
      </x:c>
      <x:c r="O952" s="13" t="str"/>
      <x:c r="P952" s="13" t="str">
        <x:v>NO / DEFAULT</x:v>
      </x:c>
      <x:c r="Q952" s="13" t="str"/>
      <x:c r="R952" s="13" t="str">
        <x:v>INDEPENDENT / DEFAULT</x:v>
      </x:c>
      <x:c r="S952" s="13" t="str"/>
      <x:c r="T952" s="13" t="str">
        <x:v>UNRESOLVED</x:v>
      </x:c>
      <x:c r="U952" s="13" t="str"/>
      <x:c r="V952" s="13" t="str"/>
      <x:c r="W952" s="13" t="str"/>
      <x:c r="X952" s="13" t="str">
        <x:f>IF(L952&lt;&gt;"COVERED","HELD — COVERAGE",IF(N952="YES — SENSITIVE","C ACTIONABLE","CHAPTER 5 DEFAULT"))</x:f>
        <x:v>HELD — COVERAGE</x:v>
      </x:c>
      <x:c r="Y952" s="13" t="str">
        <x:f>IF(L952&lt;&gt;"COVERED","HELD — COVERAGE",IF(P952="YES — MANAGED ACCESS","D ACTIONABLE","NO D FIELD"))</x:f>
        <x:v>HELD — COVERAGE</x:v>
      </x:c>
      <x:c r="Z952" s="13" t="str">
        <x:f>IF(L952&lt;&gt;"COVERED","HELD — COVERAGE",IF(OR(R952="PAIRED SYNCHRONIZED",R952="TRILATERAL SYNCHRONIZED"),"E ACTIONABLE","INDEPENDENT"))</x:f>
        <x:v>HELD — COVERAGE</x:v>
      </x:c>
      <x:c r="AA952" s="13" t="str">
        <x:f>IF(L952&lt;&gt;"COVERED","HELD — COVERAGE","WAIT FOR UPSTREAM COMPLETION")</x:f>
        <x:v>HELD — COVERAGE</x:v>
      </x:c>
      <x:c r="AB952" s="13" t="str">
        <x:f>IF(L952&lt;&gt;"COVERED","HELD — COVERAGE",IF(T952="UNRESOLVED","G DECISION REQUIRED",IF(T952="NOT APPLICABLE","G N/A","G ACTIONABLE")))</x:f>
        <x:v>HELD — COVERAGE</x:v>
      </x:c>
      <x:c r="AC952" s="13" t="str">
        <x:f>IF(L952="UNRESOLVED","COVERAGE FIRST",IF(OR(L952="EXCLUDED",L952="OUT OF SCOPE"),"CLOSED BY COVERAGE",IF(AND(L952="COVERED",T952&lt;&gt;"UNRESOLVED"),"PARTIALLY ADOPTED","DECISIONS REMAIN")))</x:f>
        <x:v>COVERAGE FIRST</x:v>
      </x:c>
    </x:row>
    <x:row r="953">
      <x:c r="A953" s="13" t="str">
        <x:v>NAAFTC-HS6-240220</x:v>
      </x:c>
      <x:c r="B953" s="13" t="str">
        <x:v>240220</x:v>
      </x:c>
      <x:c r="C953" s="13" t="str">
        <x:v>24</x:v>
      </x:c>
      <x:c r="D953" s="13" t="str">
        <x:v>TRILATERAL_SPLIT_MERGE</x:v>
      </x:c>
      <x:c r="E953" s="13" t="str">
        <x:v>Pending</x:v>
      </x:c>
      <x:c r="F953" s="13" t="n">
        <x:v>3</x:v>
      </x:c>
      <x:c r="G953" s="13" t="n">
        <x:v>1</x:v>
      </x:c>
      <x:c r="H953" s="13" t="n">
        <x:v>1</x:v>
      </x:c>
      <x:c r="I953" s="13" t="str">
        <x:v>2402201000; 2402208000; 2402209000</x:v>
      </x:c>
      <x:c r="J953" s="13" t="str">
        <x:v>2402200100</x:v>
      </x:c>
      <x:c r="K953" s="13" t="str">
        <x:v>2402200000</x:v>
      </x:c>
      <x:c r="L953" s="13" t="str">
        <x:v>UNRESOLVED</x:v>
      </x:c>
      <x:c r="M953" s="13" t="str"/>
      <x:c r="N953" s="13" t="str">
        <x:v>NO / DEFAULT</x:v>
      </x:c>
      <x:c r="O953" s="13" t="str"/>
      <x:c r="P953" s="13" t="str">
        <x:v>NO / DEFAULT</x:v>
      </x:c>
      <x:c r="Q953" s="13" t="str"/>
      <x:c r="R953" s="13" t="str">
        <x:v>INDEPENDENT / DEFAULT</x:v>
      </x:c>
      <x:c r="S953" s="13" t="str"/>
      <x:c r="T953" s="13" t="str">
        <x:v>UNRESOLVED</x:v>
      </x:c>
      <x:c r="U953" s="13" t="str"/>
      <x:c r="V953" s="13" t="str"/>
      <x:c r="W953" s="13" t="str"/>
      <x:c r="X953" s="13" t="str">
        <x:f>IF(L953&lt;&gt;"COVERED","HELD — COVERAGE",IF(N953="YES — SENSITIVE","C ACTIONABLE","CHAPTER 5 DEFAULT"))</x:f>
        <x:v>HELD — COVERAGE</x:v>
      </x:c>
      <x:c r="Y953" s="13" t="str">
        <x:f>IF(L953&lt;&gt;"COVERED","HELD — COVERAGE",IF(P953="YES — MANAGED ACCESS","D ACTIONABLE","NO D FIELD"))</x:f>
        <x:v>HELD — COVERAGE</x:v>
      </x:c>
      <x:c r="Z953" s="13" t="str">
        <x:f>IF(L953&lt;&gt;"COVERED","HELD — COVERAGE",IF(OR(R953="PAIRED SYNCHRONIZED",R953="TRILATERAL SYNCHRONIZED"),"E ACTIONABLE","INDEPENDENT"))</x:f>
        <x:v>HELD — COVERAGE</x:v>
      </x:c>
      <x:c r="AA953" s="13" t="str">
        <x:f>IF(L953&lt;&gt;"COVERED","HELD — COVERAGE","WAIT FOR UPSTREAM COMPLETION")</x:f>
        <x:v>HELD — COVERAGE</x:v>
      </x:c>
      <x:c r="AB953" s="13" t="str">
        <x:f>IF(L953&lt;&gt;"COVERED","HELD — COVERAGE",IF(T953="UNRESOLVED","G DECISION REQUIRED",IF(T953="NOT APPLICABLE","G N/A","G ACTIONABLE")))</x:f>
        <x:v>HELD — COVERAGE</x:v>
      </x:c>
      <x:c r="AC953" s="13" t="str">
        <x:f>IF(L953="UNRESOLVED","COVERAGE FIRST",IF(OR(L953="EXCLUDED",L953="OUT OF SCOPE"),"CLOSED BY COVERAGE",IF(AND(L953="COVERED",T953&lt;&gt;"UNRESOLVED"),"PARTIALLY ADOPTED","DECISIONS REMAIN")))</x:f>
        <x:v>COVERAGE FIRST</x:v>
      </x:c>
    </x:row>
    <x:row r="954">
      <x:c r="A954" s="13" t="str">
        <x:v>NAAFTC-HS6-240290</x:v>
      </x:c>
      <x:c r="B954" s="13" t="str">
        <x:v>240290</x:v>
      </x:c>
      <x:c r="C954" s="13" t="str">
        <x:v>24</x:v>
      </x:c>
      <x:c r="D954" s="13" t="str">
        <x:v>TRILATERAL_1_TO_1_TO_1</x:v>
      </x:c>
      <x:c r="E954" s="13" t="str">
        <x:v>Pending</x:v>
      </x:c>
      <x:c r="F954" s="13" t="n">
        <x:v>1</x:v>
      </x:c>
      <x:c r="G954" s="13" t="n">
        <x:v>1</x:v>
      </x:c>
      <x:c r="H954" s="13" t="n">
        <x:v>1</x:v>
      </x:c>
      <x:c r="I954" s="13" t="str">
        <x:v>2402900000</x:v>
      </x:c>
      <x:c r="J954" s="13" t="str">
        <x:v>2402909900</x:v>
      </x:c>
      <x:c r="K954" s="13" t="str">
        <x:v>2402900000</x:v>
      </x:c>
      <x:c r="L954" s="13" t="str">
        <x:v>UNRESOLVED</x:v>
      </x:c>
      <x:c r="M954" s="13" t="str"/>
      <x:c r="N954" s="13" t="str">
        <x:v>NO / DEFAULT</x:v>
      </x:c>
      <x:c r="O954" s="13" t="str"/>
      <x:c r="P954" s="13" t="str">
        <x:v>NO / DEFAULT</x:v>
      </x:c>
      <x:c r="Q954" s="13" t="str"/>
      <x:c r="R954" s="13" t="str">
        <x:v>INDEPENDENT / DEFAULT</x:v>
      </x:c>
      <x:c r="S954" s="13" t="str"/>
      <x:c r="T954" s="13" t="str">
        <x:v>UNRESOLVED</x:v>
      </x:c>
      <x:c r="U954" s="13" t="str"/>
      <x:c r="V954" s="13" t="str"/>
      <x:c r="W954" s="13" t="str"/>
      <x:c r="X954" s="13" t="str">
        <x:f>IF(L954&lt;&gt;"COVERED","HELD — COVERAGE",IF(N954="YES — SENSITIVE","C ACTIONABLE","CHAPTER 5 DEFAULT"))</x:f>
        <x:v>HELD — COVERAGE</x:v>
      </x:c>
      <x:c r="Y954" s="13" t="str">
        <x:f>IF(L954&lt;&gt;"COVERED","HELD — COVERAGE",IF(P954="YES — MANAGED ACCESS","D ACTIONABLE","NO D FIELD"))</x:f>
        <x:v>HELD — COVERAGE</x:v>
      </x:c>
      <x:c r="Z954" s="13" t="str">
        <x:f>IF(L954&lt;&gt;"COVERED","HELD — COVERAGE",IF(OR(R954="PAIRED SYNCHRONIZED",R954="TRILATERAL SYNCHRONIZED"),"E ACTIONABLE","INDEPENDENT"))</x:f>
        <x:v>HELD — COVERAGE</x:v>
      </x:c>
      <x:c r="AA954" s="13" t="str">
        <x:f>IF(L954&lt;&gt;"COVERED","HELD — COVERAGE","WAIT FOR UPSTREAM COMPLETION")</x:f>
        <x:v>HELD — COVERAGE</x:v>
      </x:c>
      <x:c r="AB954" s="13" t="str">
        <x:f>IF(L954&lt;&gt;"COVERED","HELD — COVERAGE",IF(T954="UNRESOLVED","G DECISION REQUIRED",IF(T954="NOT APPLICABLE","G N/A","G ACTIONABLE")))</x:f>
        <x:v>HELD — COVERAGE</x:v>
      </x:c>
      <x:c r="AC954" s="13" t="str">
        <x:f>IF(L954="UNRESOLVED","COVERAGE FIRST",IF(OR(L954="EXCLUDED",L954="OUT OF SCOPE"),"CLOSED BY COVERAGE",IF(AND(L954="COVERED",T954&lt;&gt;"UNRESOLVED"),"PARTIALLY ADOPTED","DECISIONS REMAIN")))</x:f>
        <x:v>COVERAGE FIRST</x:v>
      </x:c>
    </x:row>
    <x:row r="955">
      <x:c r="A955" s="13" t="str">
        <x:v>NAAFTC-HS6-240311</x:v>
      </x:c>
      <x:c r="B955" s="13" t="str">
        <x:v>240311</x:v>
      </x:c>
      <x:c r="C955" s="13" t="str">
        <x:v>24</x:v>
      </x:c>
      <x:c r="D955" s="13" t="str">
        <x:v>TRILATERAL_1_TO_1_TO_1</x:v>
      </x:c>
      <x:c r="E955" s="13" t="str">
        <x:v>Pending</x:v>
      </x:c>
      <x:c r="F955" s="13" t="n">
        <x:v>1</x:v>
      </x:c>
      <x:c r="G955" s="13" t="n">
        <x:v>1</x:v>
      </x:c>
      <x:c r="H955" s="13" t="n">
        <x:v>1</x:v>
      </x:c>
      <x:c r="I955" s="13" t="str">
        <x:v>2403110000</x:v>
      </x:c>
      <x:c r="J955" s="13" t="str">
        <x:v>2403110100</x:v>
      </x:c>
      <x:c r="K955" s="13" t="str">
        <x:v>2403110000</x:v>
      </x:c>
      <x:c r="L955" s="13" t="str">
        <x:v>UNRESOLVED</x:v>
      </x:c>
      <x:c r="M955" s="13" t="str"/>
      <x:c r="N955" s="13" t="str">
        <x:v>NO / DEFAULT</x:v>
      </x:c>
      <x:c r="O955" s="13" t="str"/>
      <x:c r="P955" s="13" t="str">
        <x:v>NO / DEFAULT</x:v>
      </x:c>
      <x:c r="Q955" s="13" t="str"/>
      <x:c r="R955" s="13" t="str">
        <x:v>INDEPENDENT / DEFAULT</x:v>
      </x:c>
      <x:c r="S955" s="13" t="str"/>
      <x:c r="T955" s="13" t="str">
        <x:v>UNRESOLVED</x:v>
      </x:c>
      <x:c r="U955" s="13" t="str"/>
      <x:c r="V955" s="13" t="str"/>
      <x:c r="W955" s="13" t="str"/>
      <x:c r="X955" s="13" t="str">
        <x:f>IF(L955&lt;&gt;"COVERED","HELD — COVERAGE",IF(N955="YES — SENSITIVE","C ACTIONABLE","CHAPTER 5 DEFAULT"))</x:f>
        <x:v>HELD — COVERAGE</x:v>
      </x:c>
      <x:c r="Y955" s="13" t="str">
        <x:f>IF(L955&lt;&gt;"COVERED","HELD — COVERAGE",IF(P955="YES — MANAGED ACCESS","D ACTIONABLE","NO D FIELD"))</x:f>
        <x:v>HELD — COVERAGE</x:v>
      </x:c>
      <x:c r="Z955" s="13" t="str">
        <x:f>IF(L955&lt;&gt;"COVERED","HELD — COVERAGE",IF(OR(R955="PAIRED SYNCHRONIZED",R955="TRILATERAL SYNCHRONIZED"),"E ACTIONABLE","INDEPENDENT"))</x:f>
        <x:v>HELD — COVERAGE</x:v>
      </x:c>
      <x:c r="AA955" s="13" t="str">
        <x:f>IF(L955&lt;&gt;"COVERED","HELD — COVERAGE","WAIT FOR UPSTREAM COMPLETION")</x:f>
        <x:v>HELD — COVERAGE</x:v>
      </x:c>
      <x:c r="AB955" s="13" t="str">
        <x:f>IF(L955&lt;&gt;"COVERED","HELD — COVERAGE",IF(T955="UNRESOLVED","G DECISION REQUIRED",IF(T955="NOT APPLICABLE","G N/A","G ACTIONABLE")))</x:f>
        <x:v>HELD — COVERAGE</x:v>
      </x:c>
      <x:c r="AC955" s="13" t="str">
        <x:f>IF(L955="UNRESOLVED","COVERAGE FIRST",IF(OR(L955="EXCLUDED",L955="OUT OF SCOPE"),"CLOSED BY COVERAGE",IF(AND(L955="COVERED",T955&lt;&gt;"UNRESOLVED"),"PARTIALLY ADOPTED","DECISIONS REMAIN")))</x:f>
        <x:v>COVERAGE FIRST</x:v>
      </x:c>
    </x:row>
    <x:row r="956">
      <x:c r="A956" s="13" t="str">
        <x:v>NAAFTC-HS6-240319</x:v>
      </x:c>
      <x:c r="B956" s="13" t="str">
        <x:v>240319</x:v>
      </x:c>
      <x:c r="C956" s="13" t="str">
        <x:v>24</x:v>
      </x:c>
      <x:c r="D956" s="13" t="str">
        <x:v>TRILATERAL_SPLIT_MERGE</x:v>
      </x:c>
      <x:c r="E956" s="13" t="str">
        <x:v>Pending</x:v>
      </x:c>
      <x:c r="F956" s="13" t="n">
        <x:v>15</x:v>
      </x:c>
      <x:c r="G956" s="13" t="n">
        <x:v>1</x:v>
      </x:c>
      <x:c r="H956" s="13" t="n">
        <x:v>1</x:v>
      </x:c>
      <x:c r="I956" s="13" t="str">
        <x:v>2403192020; 2403192050; 2403192080; 2403193050; 2403193060; 2403193080; +9 more</x:v>
      </x:c>
      <x:c r="J956" s="13" t="str">
        <x:v>2403199900</x:v>
      </x:c>
      <x:c r="K956" s="13" t="str">
        <x:v>24031900</x:v>
      </x:c>
      <x:c r="L956" s="13" t="str">
        <x:v>UNRESOLVED</x:v>
      </x:c>
      <x:c r="M956" s="13" t="str"/>
      <x:c r="N956" s="13" t="str">
        <x:v>NO / DEFAULT</x:v>
      </x:c>
      <x:c r="O956" s="13" t="str"/>
      <x:c r="P956" s="13" t="str">
        <x:v>NO / DEFAULT</x:v>
      </x:c>
      <x:c r="Q956" s="13" t="str"/>
      <x:c r="R956" s="13" t="str">
        <x:v>INDEPENDENT / DEFAULT</x:v>
      </x:c>
      <x:c r="S956" s="13" t="str"/>
      <x:c r="T956" s="13" t="str">
        <x:v>UNRESOLVED</x:v>
      </x:c>
      <x:c r="U956" s="13" t="str"/>
      <x:c r="V956" s="13" t="str"/>
      <x:c r="W956" s="13" t="str"/>
      <x:c r="X956" s="13" t="str">
        <x:f>IF(L956&lt;&gt;"COVERED","HELD — COVERAGE",IF(N956="YES — SENSITIVE","C ACTIONABLE","CHAPTER 5 DEFAULT"))</x:f>
        <x:v>HELD — COVERAGE</x:v>
      </x:c>
      <x:c r="Y956" s="13" t="str">
        <x:f>IF(L956&lt;&gt;"COVERED","HELD — COVERAGE",IF(P956="YES — MANAGED ACCESS","D ACTIONABLE","NO D FIELD"))</x:f>
        <x:v>HELD — COVERAGE</x:v>
      </x:c>
      <x:c r="Z956" s="13" t="str">
        <x:f>IF(L956&lt;&gt;"COVERED","HELD — COVERAGE",IF(OR(R956="PAIRED SYNCHRONIZED",R956="TRILATERAL SYNCHRONIZED"),"E ACTIONABLE","INDEPENDENT"))</x:f>
        <x:v>HELD — COVERAGE</x:v>
      </x:c>
      <x:c r="AA956" s="13" t="str">
        <x:f>IF(L956&lt;&gt;"COVERED","HELD — COVERAGE","WAIT FOR UPSTREAM COMPLETION")</x:f>
        <x:v>HELD — COVERAGE</x:v>
      </x:c>
      <x:c r="AB956" s="13" t="str">
        <x:f>IF(L956&lt;&gt;"COVERED","HELD — COVERAGE",IF(T956="UNRESOLVED","G DECISION REQUIRED",IF(T956="NOT APPLICABLE","G N/A","G ACTIONABLE")))</x:f>
        <x:v>HELD — COVERAGE</x:v>
      </x:c>
      <x:c r="AC956" s="13" t="str">
        <x:f>IF(L956="UNRESOLVED","COVERAGE FIRST",IF(OR(L956="EXCLUDED",L956="OUT OF SCOPE"),"CLOSED BY COVERAGE",IF(AND(L956="COVERED",T956&lt;&gt;"UNRESOLVED"),"PARTIALLY ADOPTED","DECISIONS REMAIN")))</x:f>
        <x:v>COVERAGE FIRST</x:v>
      </x:c>
    </x:row>
    <x:row r="957">
      <x:c r="A957" s="13" t="str">
        <x:v>NAAFTC-HS6-240391</x:v>
      </x:c>
      <x:c r="B957" s="13" t="str">
        <x:v>240391</x:v>
      </x:c>
      <x:c r="C957" s="13" t="str">
        <x:v>24</x:v>
      </x:c>
      <x:c r="D957" s="13" t="str">
        <x:v>TRILATERAL_SPLIT_MERGE</x:v>
      </x:c>
      <x:c r="E957" s="13" t="str">
        <x:v>Pending</x:v>
      </x:c>
      <x:c r="F957" s="13" t="n">
        <x:v>13</x:v>
      </x:c>
      <x:c r="G957" s="13" t="n">
        <x:v>2</x:v>
      </x:c>
      <x:c r="H957" s="13" t="n">
        <x:v>3</x:v>
      </x:c>
      <x:c r="I957" s="13" t="str">
        <x:v>2403912000; 2403914350; 2403914360; 2403914380; 2403914390; 2403914550; +7 more</x:v>
      </x:c>
      <x:c r="J957" s="13" t="str">
        <x:v>2403910201; 2403910299</x:v>
      </x:c>
      <x:c r="K957" s="13" t="str">
        <x:v>24039110; 24039120; 24039190</x:v>
      </x:c>
      <x:c r="L957" s="13" t="str">
        <x:v>UNRESOLVED</x:v>
      </x:c>
      <x:c r="M957" s="13" t="str"/>
      <x:c r="N957" s="13" t="str">
        <x:v>NO / DEFAULT</x:v>
      </x:c>
      <x:c r="O957" s="13" t="str"/>
      <x:c r="P957" s="13" t="str">
        <x:v>NO / DEFAULT</x:v>
      </x:c>
      <x:c r="Q957" s="13" t="str"/>
      <x:c r="R957" s="13" t="str">
        <x:v>INDEPENDENT / DEFAULT</x:v>
      </x:c>
      <x:c r="S957" s="13" t="str"/>
      <x:c r="T957" s="13" t="str">
        <x:v>UNRESOLVED</x:v>
      </x:c>
      <x:c r="U957" s="13" t="str"/>
      <x:c r="V957" s="13" t="str"/>
      <x:c r="W957" s="13" t="str"/>
      <x:c r="X957" s="13" t="str">
        <x:f>IF(L957&lt;&gt;"COVERED","HELD — COVERAGE",IF(N957="YES — SENSITIVE","C ACTIONABLE","CHAPTER 5 DEFAULT"))</x:f>
        <x:v>HELD — COVERAGE</x:v>
      </x:c>
      <x:c r="Y957" s="13" t="str">
        <x:f>IF(L957&lt;&gt;"COVERED","HELD — COVERAGE",IF(P957="YES — MANAGED ACCESS","D ACTIONABLE","NO D FIELD"))</x:f>
        <x:v>HELD — COVERAGE</x:v>
      </x:c>
      <x:c r="Z957" s="13" t="str">
        <x:f>IF(L957&lt;&gt;"COVERED","HELD — COVERAGE",IF(OR(R957="PAIRED SYNCHRONIZED",R957="TRILATERAL SYNCHRONIZED"),"E ACTIONABLE","INDEPENDENT"))</x:f>
        <x:v>HELD — COVERAGE</x:v>
      </x:c>
      <x:c r="AA957" s="13" t="str">
        <x:f>IF(L957&lt;&gt;"COVERED","HELD — COVERAGE","WAIT FOR UPSTREAM COMPLETION")</x:f>
        <x:v>HELD — COVERAGE</x:v>
      </x:c>
      <x:c r="AB957" s="13" t="str">
        <x:f>IF(L957&lt;&gt;"COVERED","HELD — COVERAGE",IF(T957="UNRESOLVED","G DECISION REQUIRED",IF(T957="NOT APPLICABLE","G N/A","G ACTIONABLE")))</x:f>
        <x:v>HELD — COVERAGE</x:v>
      </x:c>
      <x:c r="AC957" s="13" t="str">
        <x:f>IF(L957="UNRESOLVED","COVERAGE FIRST",IF(OR(L957="EXCLUDED",L957="OUT OF SCOPE"),"CLOSED BY COVERAGE",IF(AND(L957="COVERED",T957&lt;&gt;"UNRESOLVED"),"PARTIALLY ADOPTED","DECISIONS REMAIN")))</x:f>
        <x:v>COVERAGE FIRST</x:v>
      </x:c>
    </x:row>
    <x:row r="958">
      <x:c r="A958" s="13" t="str">
        <x:v>NAAFTC-HS6-240399</x:v>
      </x:c>
      <x:c r="B958" s="13" t="str">
        <x:v>240399</x:v>
      </x:c>
      <x:c r="C958" s="13" t="str">
        <x:v>24</x:v>
      </x:c>
      <x:c r="D958" s="13" t="str">
        <x:v>TRILATERAL_SPLIT_MERGE</x:v>
      </x:c>
      <x:c r="E958" s="13" t="str">
        <x:v>Pending</x:v>
      </x:c>
      <x:c r="F958" s="13" t="n">
        <x:v>15</x:v>
      </x:c>
      <x:c r="G958" s="13" t="n">
        <x:v>2</x:v>
      </x:c>
      <x:c r="H958" s="13" t="n">
        <x:v>3</x:v>
      </x:c>
      <x:c r="I958" s="13" t="str">
        <x:v>2403992130; 2403992140; 2403992190; 2403993150; 2403993160; 2403993165; +9 more</x:v>
      </x:c>
      <x:c r="J958" s="13" t="str">
        <x:v>2403990100; 2403999900</x:v>
      </x:c>
      <x:c r="K958" s="13" t="str">
        <x:v>24039910; 2403992000; 24039990</x:v>
      </x:c>
      <x:c r="L958" s="13" t="str">
        <x:v>UNRESOLVED</x:v>
      </x:c>
      <x:c r="M958" s="13" t="str"/>
      <x:c r="N958" s="13" t="str">
        <x:v>NO / DEFAULT</x:v>
      </x:c>
      <x:c r="O958" s="13" t="str"/>
      <x:c r="P958" s="13" t="str">
        <x:v>NO / DEFAULT</x:v>
      </x:c>
      <x:c r="Q958" s="13" t="str"/>
      <x:c r="R958" s="13" t="str">
        <x:v>INDEPENDENT / DEFAULT</x:v>
      </x:c>
      <x:c r="S958" s="13" t="str"/>
      <x:c r="T958" s="13" t="str">
        <x:v>UNRESOLVED</x:v>
      </x:c>
      <x:c r="U958" s="13" t="str"/>
      <x:c r="V958" s="13" t="str"/>
      <x:c r="W958" s="13" t="str"/>
      <x:c r="X958" s="13" t="str">
        <x:f>IF(L958&lt;&gt;"COVERED","HELD — COVERAGE",IF(N958="YES — SENSITIVE","C ACTIONABLE","CHAPTER 5 DEFAULT"))</x:f>
        <x:v>HELD — COVERAGE</x:v>
      </x:c>
      <x:c r="Y958" s="13" t="str">
        <x:f>IF(L958&lt;&gt;"COVERED","HELD — COVERAGE",IF(P958="YES — MANAGED ACCESS","D ACTIONABLE","NO D FIELD"))</x:f>
        <x:v>HELD — COVERAGE</x:v>
      </x:c>
      <x:c r="Z958" s="13" t="str">
        <x:f>IF(L958&lt;&gt;"COVERED","HELD — COVERAGE",IF(OR(R958="PAIRED SYNCHRONIZED",R958="TRILATERAL SYNCHRONIZED"),"E ACTIONABLE","INDEPENDENT"))</x:f>
        <x:v>HELD — COVERAGE</x:v>
      </x:c>
      <x:c r="AA958" s="13" t="str">
        <x:f>IF(L958&lt;&gt;"COVERED","HELD — COVERAGE","WAIT FOR UPSTREAM COMPLETION")</x:f>
        <x:v>HELD — COVERAGE</x:v>
      </x:c>
      <x:c r="AB958" s="13" t="str">
        <x:f>IF(L958&lt;&gt;"COVERED","HELD — COVERAGE",IF(T958="UNRESOLVED","G DECISION REQUIRED",IF(T958="NOT APPLICABLE","G N/A","G ACTIONABLE")))</x:f>
        <x:v>HELD — COVERAGE</x:v>
      </x:c>
      <x:c r="AC958" s="13" t="str">
        <x:f>IF(L958="UNRESOLVED","COVERAGE FIRST",IF(OR(L958="EXCLUDED",L958="OUT OF SCOPE"),"CLOSED BY COVERAGE",IF(AND(L958="COVERED",T958&lt;&gt;"UNRESOLVED"),"PARTIALLY ADOPTED","DECISIONS REMAIN")))</x:f>
        <x:v>COVERAGE FIRST</x:v>
      </x:c>
    </x:row>
    <x:row r="959">
      <x:c r="A959" s="13" t="str">
        <x:v>NAAFTC-HS6-240411</x:v>
      </x:c>
      <x:c r="B959" s="13" t="str">
        <x:v>240411</x:v>
      </x:c>
      <x:c r="C959" s="13" t="str">
        <x:v>24</x:v>
      </x:c>
      <x:c r="D959" s="13" t="str">
        <x:v>TRILATERAL_SPLIT_MERGE</x:v>
      </x:c>
      <x:c r="E959" s="13" t="str">
        <x:v>Pending</x:v>
      </x:c>
      <x:c r="F959" s="13" t="n">
        <x:v>1</x:v>
      </x:c>
      <x:c r="G959" s="13" t="n">
        <x:v>1</x:v>
      </x:c>
      <x:c r="H959" s="13" t="n">
        <x:v>2</x:v>
      </x:c>
      <x:c r="I959" s="13" t="str">
        <x:v>2404110000</x:v>
      </x:c>
      <x:c r="J959" s="13" t="str">
        <x:v>2404110100</x:v>
      </x:c>
      <x:c r="K959" s="13" t="str">
        <x:v>2404111000; 2404119000</x:v>
      </x:c>
      <x:c r="L959" s="13" t="str">
        <x:v>UNRESOLVED</x:v>
      </x:c>
      <x:c r="M959" s="13" t="str"/>
      <x:c r="N959" s="13" t="str">
        <x:v>NO / DEFAULT</x:v>
      </x:c>
      <x:c r="O959" s="13" t="str"/>
      <x:c r="P959" s="13" t="str">
        <x:v>NO / DEFAULT</x:v>
      </x:c>
      <x:c r="Q959" s="13" t="str"/>
      <x:c r="R959" s="13" t="str">
        <x:v>INDEPENDENT / DEFAULT</x:v>
      </x:c>
      <x:c r="S959" s="13" t="str"/>
      <x:c r="T959" s="13" t="str">
        <x:v>UNRESOLVED</x:v>
      </x:c>
      <x:c r="U959" s="13" t="str"/>
      <x:c r="V959" s="13" t="str"/>
      <x:c r="W959" s="13" t="str"/>
      <x:c r="X959" s="13" t="str">
        <x:f>IF(L959&lt;&gt;"COVERED","HELD — COVERAGE",IF(N959="YES — SENSITIVE","C ACTIONABLE","CHAPTER 5 DEFAULT"))</x:f>
        <x:v>HELD — COVERAGE</x:v>
      </x:c>
      <x:c r="Y959" s="13" t="str">
        <x:f>IF(L959&lt;&gt;"COVERED","HELD — COVERAGE",IF(P959="YES — MANAGED ACCESS","D ACTIONABLE","NO D FIELD"))</x:f>
        <x:v>HELD — COVERAGE</x:v>
      </x:c>
      <x:c r="Z959" s="13" t="str">
        <x:f>IF(L959&lt;&gt;"COVERED","HELD — COVERAGE",IF(OR(R959="PAIRED SYNCHRONIZED",R959="TRILATERAL SYNCHRONIZED"),"E ACTIONABLE","INDEPENDENT"))</x:f>
        <x:v>HELD — COVERAGE</x:v>
      </x:c>
      <x:c r="AA959" s="13" t="str">
        <x:f>IF(L959&lt;&gt;"COVERED","HELD — COVERAGE","WAIT FOR UPSTREAM COMPLETION")</x:f>
        <x:v>HELD — COVERAGE</x:v>
      </x:c>
      <x:c r="AB959" s="13" t="str">
        <x:f>IF(L959&lt;&gt;"COVERED","HELD — COVERAGE",IF(T959="UNRESOLVED","G DECISION REQUIRED",IF(T959="NOT APPLICABLE","G N/A","G ACTIONABLE")))</x:f>
        <x:v>HELD — COVERAGE</x:v>
      </x:c>
      <x:c r="AC959" s="13" t="str">
        <x:f>IF(L959="UNRESOLVED","COVERAGE FIRST",IF(OR(L959="EXCLUDED",L959="OUT OF SCOPE"),"CLOSED BY COVERAGE",IF(AND(L959="COVERED",T959&lt;&gt;"UNRESOLVED"),"PARTIALLY ADOPTED","DECISIONS REMAIN")))</x:f>
        <x:v>COVERAGE FIRST</x:v>
      </x:c>
    </x:row>
    <x:row r="960">
      <x:c r="A960" s="13" t="str">
        <x:v>NAAFTC-HS6-240412</x:v>
      </x:c>
      <x:c r="B960" s="13" t="str">
        <x:v>240412</x:v>
      </x:c>
      <x:c r="C960" s="13" t="str">
        <x:v>24</x:v>
      </x:c>
      <x:c r="D960" s="13" t="str">
        <x:v>TRILATERAL_SPLIT_MERGE</x:v>
      </x:c>
      <x:c r="E960" s="13" t="str">
        <x:v>Pending</x:v>
      </x:c>
      <x:c r="F960" s="13" t="n">
        <x:v>5</x:v>
      </x:c>
      <x:c r="G960" s="13" t="n">
        <x:v>1</x:v>
      </x:c>
      <x:c r="H960" s="13" t="n">
        <x:v>1</x:v>
      </x:c>
      <x:c r="I960" s="13" t="str">
        <x:v>2404120510; 2404120590; 2404121010; 2404121090; 2404129000</x:v>
      </x:c>
      <x:c r="J960" s="13" t="str">
        <x:v>2404120100</x:v>
      </x:c>
      <x:c r="K960" s="13" t="str">
        <x:v>2404120000</x:v>
      </x:c>
      <x:c r="L960" s="13" t="str">
        <x:v>UNRESOLVED</x:v>
      </x:c>
      <x:c r="M960" s="13" t="str"/>
      <x:c r="N960" s="13" t="str">
        <x:v>NO / DEFAULT</x:v>
      </x:c>
      <x:c r="O960" s="13" t="str"/>
      <x:c r="P960" s="13" t="str">
        <x:v>NO / DEFAULT</x:v>
      </x:c>
      <x:c r="Q960" s="13" t="str"/>
      <x:c r="R960" s="13" t="str">
        <x:v>INDEPENDENT / DEFAULT</x:v>
      </x:c>
      <x:c r="S960" s="13" t="str"/>
      <x:c r="T960" s="13" t="str">
        <x:v>UNRESOLVED</x:v>
      </x:c>
      <x:c r="U960" s="13" t="str"/>
      <x:c r="V960" s="13" t="str"/>
      <x:c r="W960" s="13" t="str"/>
      <x:c r="X960" s="13" t="str">
        <x:f>IF(L960&lt;&gt;"COVERED","HELD — COVERAGE",IF(N960="YES — SENSITIVE","C ACTIONABLE","CHAPTER 5 DEFAULT"))</x:f>
        <x:v>HELD — COVERAGE</x:v>
      </x:c>
      <x:c r="Y960" s="13" t="str">
        <x:f>IF(L960&lt;&gt;"COVERED","HELD — COVERAGE",IF(P960="YES — MANAGED ACCESS","D ACTIONABLE","NO D FIELD"))</x:f>
        <x:v>HELD — COVERAGE</x:v>
      </x:c>
      <x:c r="Z960" s="13" t="str">
        <x:f>IF(L960&lt;&gt;"COVERED","HELD — COVERAGE",IF(OR(R960="PAIRED SYNCHRONIZED",R960="TRILATERAL SYNCHRONIZED"),"E ACTIONABLE","INDEPENDENT"))</x:f>
        <x:v>HELD — COVERAGE</x:v>
      </x:c>
      <x:c r="AA960" s="13" t="str">
        <x:f>IF(L960&lt;&gt;"COVERED","HELD — COVERAGE","WAIT FOR UPSTREAM COMPLETION")</x:f>
        <x:v>HELD — COVERAGE</x:v>
      </x:c>
      <x:c r="AB960" s="13" t="str">
        <x:f>IF(L960&lt;&gt;"COVERED","HELD — COVERAGE",IF(T960="UNRESOLVED","G DECISION REQUIRED",IF(T960="NOT APPLICABLE","G N/A","G ACTIONABLE")))</x:f>
        <x:v>HELD — COVERAGE</x:v>
      </x:c>
      <x:c r="AC960" s="13" t="str">
        <x:f>IF(L960="UNRESOLVED","COVERAGE FIRST",IF(OR(L960="EXCLUDED",L960="OUT OF SCOPE"),"CLOSED BY COVERAGE",IF(AND(L960="COVERED",T960&lt;&gt;"UNRESOLVED"),"PARTIALLY ADOPTED","DECISIONS REMAIN")))</x:f>
        <x:v>COVERAGE FIRST</x:v>
      </x:c>
    </x:row>
    <x:row r="961">
      <x:c r="A961" s="13" t="str">
        <x:v>NAAFTC-HS6-240419</x:v>
      </x:c>
      <x:c r="B961" s="13" t="str">
        <x:v>240419</x:v>
      </x:c>
      <x:c r="C961" s="13" t="str">
        <x:v>24</x:v>
      </x:c>
      <x:c r="D961" s="13" t="str">
        <x:v>TRILATERAL_SPLIT_MERGE</x:v>
      </x:c>
      <x:c r="E961" s="13" t="str">
        <x:v>Pending</x:v>
      </x:c>
      <x:c r="F961" s="13" t="n">
        <x:v>5</x:v>
      </x:c>
      <x:c r="G961" s="13" t="n">
        <x:v>1</x:v>
      </x:c>
      <x:c r="H961" s="13" t="n">
        <x:v>1</x:v>
      </x:c>
      <x:c r="I961" s="13" t="str">
        <x:v>2404190510; 2404190590; 2404191010; 2404191090; 2404199000</x:v>
      </x:c>
      <x:c r="J961" s="13" t="str">
        <x:v>2404199900</x:v>
      </x:c>
      <x:c r="K961" s="13" t="str">
        <x:v>2404190000</x:v>
      </x:c>
      <x:c r="L961" s="13" t="str">
        <x:v>UNRESOLVED</x:v>
      </x:c>
      <x:c r="M961" s="13" t="str"/>
      <x:c r="N961" s="13" t="str">
        <x:v>NO / DEFAULT</x:v>
      </x:c>
      <x:c r="O961" s="13" t="str"/>
      <x:c r="P961" s="13" t="str">
        <x:v>NO / DEFAULT</x:v>
      </x:c>
      <x:c r="Q961" s="13" t="str"/>
      <x:c r="R961" s="13" t="str">
        <x:v>INDEPENDENT / DEFAULT</x:v>
      </x:c>
      <x:c r="S961" s="13" t="str"/>
      <x:c r="T961" s="13" t="str">
        <x:v>UNRESOLVED</x:v>
      </x:c>
      <x:c r="U961" s="13" t="str"/>
      <x:c r="V961" s="13" t="str"/>
      <x:c r="W961" s="13" t="str"/>
      <x:c r="X961" s="13" t="str">
        <x:f>IF(L961&lt;&gt;"COVERED","HELD — COVERAGE",IF(N961="YES — SENSITIVE","C ACTIONABLE","CHAPTER 5 DEFAULT"))</x:f>
        <x:v>HELD — COVERAGE</x:v>
      </x:c>
      <x:c r="Y961" s="13" t="str">
        <x:f>IF(L961&lt;&gt;"COVERED","HELD — COVERAGE",IF(P961="YES — MANAGED ACCESS","D ACTIONABLE","NO D FIELD"))</x:f>
        <x:v>HELD — COVERAGE</x:v>
      </x:c>
      <x:c r="Z961" s="13" t="str">
        <x:f>IF(L961&lt;&gt;"COVERED","HELD — COVERAGE",IF(OR(R961="PAIRED SYNCHRONIZED",R961="TRILATERAL SYNCHRONIZED"),"E ACTIONABLE","INDEPENDENT"))</x:f>
        <x:v>HELD — COVERAGE</x:v>
      </x:c>
      <x:c r="AA961" s="13" t="str">
        <x:f>IF(L961&lt;&gt;"COVERED","HELD — COVERAGE","WAIT FOR UPSTREAM COMPLETION")</x:f>
        <x:v>HELD — COVERAGE</x:v>
      </x:c>
      <x:c r="AB961" s="13" t="str">
        <x:f>IF(L961&lt;&gt;"COVERED","HELD — COVERAGE",IF(T961="UNRESOLVED","G DECISION REQUIRED",IF(T961="NOT APPLICABLE","G N/A","G ACTIONABLE")))</x:f>
        <x:v>HELD — COVERAGE</x:v>
      </x:c>
      <x:c r="AC961" s="13" t="str">
        <x:f>IF(L961="UNRESOLVED","COVERAGE FIRST",IF(OR(L961="EXCLUDED",L961="OUT OF SCOPE"),"CLOSED BY COVERAGE",IF(AND(L961="COVERED",T961&lt;&gt;"UNRESOLVED"),"PARTIALLY ADOPTED","DECISIONS REMAIN")))</x:f>
        <x:v>COVERAGE FIRST</x:v>
      </x:c>
    </x:row>
    <x:row r="962">
      <x:c r="A962" s="13" t="str">
        <x:v>NAAFTC-HS6-240491</x:v>
      </x:c>
      <x:c r="B962" s="13" t="str">
        <x:v>240491</x:v>
      </x:c>
      <x:c r="C962" s="13" t="str">
        <x:v>24</x:v>
      </x:c>
      <x:c r="D962" s="13" t="str">
        <x:v>TRILATERAL_1_TO_1_TO_1</x:v>
      </x:c>
      <x:c r="E962" s="13" t="str">
        <x:v>Pending</x:v>
      </x:c>
      <x:c r="F962" s="13" t="n">
        <x:v>1</x:v>
      </x:c>
      <x:c r="G962" s="13" t="n">
        <x:v>1</x:v>
      </x:c>
      <x:c r="H962" s="13" t="n">
        <x:v>1</x:v>
      </x:c>
      <x:c r="I962" s="13" t="str">
        <x:v>2404910000</x:v>
      </x:c>
      <x:c r="J962" s="13" t="str">
        <x:v>2404910100</x:v>
      </x:c>
      <x:c r="K962" s="13" t="str">
        <x:v>24049100</x:v>
      </x:c>
      <x:c r="L962" s="13" t="str">
        <x:v>UNRESOLVED</x:v>
      </x:c>
      <x:c r="M962" s="13" t="str"/>
      <x:c r="N962" s="13" t="str">
        <x:v>NO / DEFAULT</x:v>
      </x:c>
      <x:c r="O962" s="13" t="str"/>
      <x:c r="P962" s="13" t="str">
        <x:v>NO / DEFAULT</x:v>
      </x:c>
      <x:c r="Q962" s="13" t="str"/>
      <x:c r="R962" s="13" t="str">
        <x:v>INDEPENDENT / DEFAULT</x:v>
      </x:c>
      <x:c r="S962" s="13" t="str"/>
      <x:c r="T962" s="13" t="str">
        <x:v>UNRESOLVED</x:v>
      </x:c>
      <x:c r="U962" s="13" t="str"/>
      <x:c r="V962" s="13" t="str"/>
      <x:c r="W962" s="13" t="str"/>
      <x:c r="X962" s="13" t="str">
        <x:f>IF(L962&lt;&gt;"COVERED","HELD — COVERAGE",IF(N962="YES — SENSITIVE","C ACTIONABLE","CHAPTER 5 DEFAULT"))</x:f>
        <x:v>HELD — COVERAGE</x:v>
      </x:c>
      <x:c r="Y962" s="13" t="str">
        <x:f>IF(L962&lt;&gt;"COVERED","HELD — COVERAGE",IF(P962="YES — MANAGED ACCESS","D ACTIONABLE","NO D FIELD"))</x:f>
        <x:v>HELD — COVERAGE</x:v>
      </x:c>
      <x:c r="Z962" s="13" t="str">
        <x:f>IF(L962&lt;&gt;"COVERED","HELD — COVERAGE",IF(OR(R962="PAIRED SYNCHRONIZED",R962="TRILATERAL SYNCHRONIZED"),"E ACTIONABLE","INDEPENDENT"))</x:f>
        <x:v>HELD — COVERAGE</x:v>
      </x:c>
      <x:c r="AA962" s="13" t="str">
        <x:f>IF(L962&lt;&gt;"COVERED","HELD — COVERAGE","WAIT FOR UPSTREAM COMPLETION")</x:f>
        <x:v>HELD — COVERAGE</x:v>
      </x:c>
      <x:c r="AB962" s="13" t="str">
        <x:f>IF(L962&lt;&gt;"COVERED","HELD — COVERAGE",IF(T962="UNRESOLVED","G DECISION REQUIRED",IF(T962="NOT APPLICABLE","G N/A","G ACTIONABLE")))</x:f>
        <x:v>HELD — COVERAGE</x:v>
      </x:c>
      <x:c r="AC962" s="13" t="str">
        <x:f>IF(L962="UNRESOLVED","COVERAGE FIRST",IF(OR(L962="EXCLUDED",L962="OUT OF SCOPE"),"CLOSED BY COVERAGE",IF(AND(L962="COVERED",T962&lt;&gt;"UNRESOLVED"),"PARTIALLY ADOPTED","DECISIONS REMAIN")))</x:f>
        <x:v>COVERAGE FIRST</x:v>
      </x:c>
    </x:row>
    <x:row r="963">
      <x:c r="A963" s="13" t="str">
        <x:v>NAAFTC-HS6-240492</x:v>
      </x:c>
      <x:c r="B963" s="13" t="str">
        <x:v>240492</x:v>
      </x:c>
      <x:c r="C963" s="13" t="str">
        <x:v>24</x:v>
      </x:c>
      <x:c r="D963" s="13" t="str">
        <x:v>TRILATERAL_1_TO_1_TO_1</x:v>
      </x:c>
      <x:c r="E963" s="13" t="str">
        <x:v>Pending</x:v>
      </x:c>
      <x:c r="F963" s="13" t="n">
        <x:v>1</x:v>
      </x:c>
      <x:c r="G963" s="13" t="n">
        <x:v>1</x:v>
      </x:c>
      <x:c r="H963" s="13" t="n">
        <x:v>1</x:v>
      </x:c>
      <x:c r="I963" s="13" t="str">
        <x:v>2404920000</x:v>
      </x:c>
      <x:c r="J963" s="13" t="str">
        <x:v>2404920100</x:v>
      </x:c>
      <x:c r="K963" s="13" t="str">
        <x:v>2404920000</x:v>
      </x:c>
      <x:c r="L963" s="13" t="str">
        <x:v>UNRESOLVED</x:v>
      </x:c>
      <x:c r="M963" s="13" t="str"/>
      <x:c r="N963" s="13" t="str">
        <x:v>NO / DEFAULT</x:v>
      </x:c>
      <x:c r="O963" s="13" t="str"/>
      <x:c r="P963" s="13" t="str">
        <x:v>NO / DEFAULT</x:v>
      </x:c>
      <x:c r="Q963" s="13" t="str"/>
      <x:c r="R963" s="13" t="str">
        <x:v>INDEPENDENT / DEFAULT</x:v>
      </x:c>
      <x:c r="S963" s="13" t="str"/>
      <x:c r="T963" s="13" t="str">
        <x:v>UNRESOLVED</x:v>
      </x:c>
      <x:c r="U963" s="13" t="str"/>
      <x:c r="V963" s="13" t="str"/>
      <x:c r="W963" s="13" t="str"/>
      <x:c r="X963" s="13" t="str">
        <x:f>IF(L963&lt;&gt;"COVERED","HELD — COVERAGE",IF(N963="YES — SENSITIVE","C ACTIONABLE","CHAPTER 5 DEFAULT"))</x:f>
        <x:v>HELD — COVERAGE</x:v>
      </x:c>
      <x:c r="Y963" s="13" t="str">
        <x:f>IF(L963&lt;&gt;"COVERED","HELD — COVERAGE",IF(P963="YES — MANAGED ACCESS","D ACTIONABLE","NO D FIELD"))</x:f>
        <x:v>HELD — COVERAGE</x:v>
      </x:c>
      <x:c r="Z963" s="13" t="str">
        <x:f>IF(L963&lt;&gt;"COVERED","HELD — COVERAGE",IF(OR(R963="PAIRED SYNCHRONIZED",R963="TRILATERAL SYNCHRONIZED"),"E ACTIONABLE","INDEPENDENT"))</x:f>
        <x:v>HELD — COVERAGE</x:v>
      </x:c>
      <x:c r="AA963" s="13" t="str">
        <x:f>IF(L963&lt;&gt;"COVERED","HELD — COVERAGE","WAIT FOR UPSTREAM COMPLETION")</x:f>
        <x:v>HELD — COVERAGE</x:v>
      </x:c>
      <x:c r="AB963" s="13" t="str">
        <x:f>IF(L963&lt;&gt;"COVERED","HELD — COVERAGE",IF(T963="UNRESOLVED","G DECISION REQUIRED",IF(T963="NOT APPLICABLE","G N/A","G ACTIONABLE")))</x:f>
        <x:v>HELD — COVERAGE</x:v>
      </x:c>
      <x:c r="AC963" s="13" t="str">
        <x:f>IF(L963="UNRESOLVED","COVERAGE FIRST",IF(OR(L963="EXCLUDED",L963="OUT OF SCOPE"),"CLOSED BY COVERAGE",IF(AND(L963="COVERED",T963&lt;&gt;"UNRESOLVED"),"PARTIALLY ADOPTED","DECISIONS REMAIN")))</x:f>
        <x:v>COVERAGE FIRST</x:v>
      </x:c>
    </x:row>
    <x:row r="964">
      <x:c r="A964" s="13" t="str">
        <x:v>NAAFTC-HS6-240499</x:v>
      </x:c>
      <x:c r="B964" s="13" t="str">
        <x:v>240499</x:v>
      </x:c>
      <x:c r="C964" s="13" t="str">
        <x:v>24</x:v>
      </x:c>
      <x:c r="D964" s="13" t="str">
        <x:v>TRILATERAL_1_TO_1_TO_1</x:v>
      </x:c>
      <x:c r="E964" s="13" t="str">
        <x:v>Pending</x:v>
      </x:c>
      <x:c r="F964" s="13" t="n">
        <x:v>1</x:v>
      </x:c>
      <x:c r="G964" s="13" t="n">
        <x:v>1</x:v>
      </x:c>
      <x:c r="H964" s="13" t="n">
        <x:v>1</x:v>
      </x:c>
      <x:c r="I964" s="13" t="str">
        <x:v>2404990000</x:v>
      </x:c>
      <x:c r="J964" s="13" t="str">
        <x:v>2404999900</x:v>
      </x:c>
      <x:c r="K964" s="13" t="str">
        <x:v>2404990000</x:v>
      </x:c>
      <x:c r="L964" s="13" t="str">
        <x:v>UNRESOLVED</x:v>
      </x:c>
      <x:c r="M964" s="13" t="str"/>
      <x:c r="N964" s="13" t="str">
        <x:v>NO / DEFAULT</x:v>
      </x:c>
      <x:c r="O964" s="13" t="str"/>
      <x:c r="P964" s="13" t="str">
        <x:v>NO / DEFAULT</x:v>
      </x:c>
      <x:c r="Q964" s="13" t="str"/>
      <x:c r="R964" s="13" t="str">
        <x:v>INDEPENDENT / DEFAULT</x:v>
      </x:c>
      <x:c r="S964" s="13" t="str"/>
      <x:c r="T964" s="13" t="str">
        <x:v>UNRESOLVED</x:v>
      </x:c>
      <x:c r="U964" s="13" t="str"/>
      <x:c r="V964" s="13" t="str"/>
      <x:c r="W964" s="13" t="str"/>
      <x:c r="X964" s="13" t="str">
        <x:f>IF(L964&lt;&gt;"COVERED","HELD — COVERAGE",IF(N964="YES — SENSITIVE","C ACTIONABLE","CHAPTER 5 DEFAULT"))</x:f>
        <x:v>HELD — COVERAGE</x:v>
      </x:c>
      <x:c r="Y964" s="13" t="str">
        <x:f>IF(L964&lt;&gt;"COVERED","HELD — COVERAGE",IF(P964="YES — MANAGED ACCESS","D ACTIONABLE","NO D FIELD"))</x:f>
        <x:v>HELD — COVERAGE</x:v>
      </x:c>
      <x:c r="Z964" s="13" t="str">
        <x:f>IF(L964&lt;&gt;"COVERED","HELD — COVERAGE",IF(OR(R964="PAIRED SYNCHRONIZED",R964="TRILATERAL SYNCHRONIZED"),"E ACTIONABLE","INDEPENDENT"))</x:f>
        <x:v>HELD — COVERAGE</x:v>
      </x:c>
      <x:c r="AA964" s="13" t="str">
        <x:f>IF(L964&lt;&gt;"COVERED","HELD — COVERAGE","WAIT FOR UPSTREAM COMPLETION")</x:f>
        <x:v>HELD — COVERAGE</x:v>
      </x:c>
      <x:c r="AB964" s="13" t="str">
        <x:f>IF(L964&lt;&gt;"COVERED","HELD — COVERAGE",IF(T964="UNRESOLVED","G DECISION REQUIRED",IF(T964="NOT APPLICABLE","G N/A","G ACTIONABLE")))</x:f>
        <x:v>HELD — COVERAGE</x:v>
      </x:c>
      <x:c r="AC964" s="13" t="str">
        <x:f>IF(L964="UNRESOLVED","COVERAGE FIRST",IF(OR(L964="EXCLUDED",L964="OUT OF SCOPE"),"CLOSED BY COVERAGE",IF(AND(L964="COVERED",T964&lt;&gt;"UNRESOLVED"),"PARTIALLY ADOPTED","DECISIONS REMAIN")))</x:f>
        <x:v>COVERAGE FIRST</x:v>
      </x:c>
    </x:row>
  </x:sheetData>
  <x:dataValidations count="5">
    <x:dataValidation type="list" sqref="L2:L964">
      <x:formula1>"UNRESOLVED,COVERED,EXCLUDED,OUT OF SCOPE,PENDING TECHNICAL VERIFICATION,PENDING NEGOTIATION"</x:formula1>
    </x:dataValidation>
    <x:dataValidation type="list" sqref="N2:N964">
      <x:formula1>"NO / DEFAULT,YES — SENSITIVE,NOT APPLICABLE"</x:formula1>
    </x:dataValidation>
    <x:dataValidation type="list" sqref="P2:P964">
      <x:formula1>"NO / DEFAULT,YES — MANAGED ACCESS,NOT APPLICABLE"</x:formula1>
    </x:dataValidation>
    <x:dataValidation type="list" sqref="R2:R964">
      <x:formula1>"INDEPENDENT / DEFAULT,PAIRED SYNCHRONIZED,TRILATERAL SYNCHRONIZED,NOT APPLICABLE"</x:formula1>
    </x:dataValidation>
    <x:dataValidation type="list" sqref="T2:T964">
      <x:formula1>"UNRESOLVED,WHOLLY OBTAINED,SPECIFIC PROCESS,CTC,RVC,MAX NON-ORIGINATING CONTENT,STRUCTURED HYBRID,NOT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9724e4038e47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72" hidden="0" customWidth="1"/>
    <x:col min="5" max="5" width="28" hidden="0" customWidth="1"/>
    <x:col min="6" max="6" width="36" hidden="0" customWidth="1"/>
    <x:col min="7" max="7" width="22" hidden="0" customWidth="1"/>
    <x:col min="8" max="8" width="72" hidden="0" customWidth="1"/>
    <x:col min="9" max="9" width="38" hidden="0" customWidth="1"/>
    <x:col min="10" max="10" width="12" hidden="0" customWidth="1"/>
    <x:col min="11" max="11" width="18" hidden="0" customWidth="1"/>
    <x:col min="12" max="12" width="56" hidden="0" customWidth="1"/>
    <x:col min="13" max="13" width="54" hidden="0" customWidth="1"/>
    <x:col min="14" max="14" width="28" hidden="0" customWidth="1"/>
    <x:col min="15" max="15" width="60" hidden="0" customWidth="1"/>
  </x:cols>
  <x:sheetData>
    <x:row r="1">
      <x:c r="A1" s="17" t="str">
        <x:v>Annex</x:v>
      </x:c>
      <x:c r="B1" s="17" t="str">
        <x:v>Decision ID</x:v>
      </x:c>
      <x:c r="C1" s="17" t="str">
        <x:v>Decision Field</x:v>
      </x:c>
      <x:c r="D1" s="17" t="str">
        <x:v>Question to Resolve</x:v>
      </x:c>
      <x:c r="E1" s="17" t="str">
        <x:v>Decision Type</x:v>
      </x:c>
      <x:c r="F1" s="17" t="str">
        <x:v>Decision Grain</x:v>
      </x:c>
      <x:c r="G1" s="17" t="str">
        <x:v>Derivable After Decision?</x:v>
      </x:c>
      <x:c r="H1" s="17" t="str">
        <x:v>Default / Consequence if Unresolved</x:v>
      </x:c>
      <x:c r="I1" s="17" t="str">
        <x:v>Controlling Legal Source</x:v>
      </x:c>
      <x:c r="J1" s="17" t="str">
        <x:v>Priority</x:v>
      </x:c>
      <x:c r="K1" s="17" t="str">
        <x:v>Decision Status</x:v>
      </x:c>
      <x:c r="L1" s="17" t="str">
        <x:v>Adopted Value / Rule</x:v>
      </x:c>
      <x:c r="M1" s="17" t="str">
        <x:v>Adoption Authority / Instrument</x:v>
      </x:c>
      <x:c r="N1" s="17" t="str">
        <x:v>Effective Event / Date</x:v>
      </x:c>
      <x:c r="O1" s="17" t="str">
        <x:v>Negotiator Notes</x:v>
      </x:c>
    </x:row>
    <x:row r="2">
      <x:c r="A2" s="13" t="str">
        <x:v>C</x:v>
      </x:c>
      <x:c r="B2" s="13" t="str">
        <x:v>C-01</x:v>
      </x:c>
      <x:c r="C2" s="13" t="str">
        <x:v>Sensitive designation</x:v>
      </x:c>
      <x:c r="D2" s="13" t="str">
        <x:v>Does this ProductRecordID receive Chapter 6 sensitive treatment?</x:v>
      </x:c>
      <x:c r="E2" s="13" t="str">
        <x:v>NEGOTIATED / ADOPTED</x:v>
      </x:c>
      <x:c r="F2" s="13" t="str">
        <x:v>Per ProductRecordID or objectively defined tranche</x:v>
      </x:c>
      <x:c r="G2" s="13" t="str">
        <x:v>No</x:v>
      </x:c>
      <x:c r="H2" s="13" t="str">
        <x:v>If No, Chapter 5 default remains controlling</x:v>
      </x:c>
      <x:c r="I2" s="13" t="str">
        <x:v>Annex C operative designation</x:v>
      </x:c>
      <x:c r="J2" s="13" t="str">
        <x:v>Highest</x:v>
      </x:c>
      <x:c r="K2" s="13" t="str">
        <x:v>UNRESOLVED</x:v>
      </x:c>
      <x:c r="L2" s="13" t="str"/>
      <x:c r="M2" s="13" t="str"/>
      <x:c r="N2" s="13" t="str"/>
      <x:c r="O2" s="13" t="str"/>
    </x:row>
    <x:row r="3">
      <x:c r="A3" s="13" t="str">
        <x:v>C</x:v>
      </x:c>
      <x:c r="B3" s="13" t="str">
        <x:v>C-02</x:v>
      </x:c>
      <x:c r="C3" s="13" t="str">
        <x:v>Transition track</x:v>
      </x:c>
      <x:c r="D3" s="13" t="str">
        <x:v>If sensitive, which track governs: 36-month ordinary, 28-month accelerated, 12-month exceptional, immediate zero, or approved 42-month extension?</x:v>
      </x:c>
      <x:c r="E3" s="13" t="str">
        <x:v>NEGOTIATED / ADOPTED</x:v>
      </x:c>
      <x:c r="F3" s="13" t="str">
        <x:v>Per transition tranche</x:v>
      </x:c>
      <x:c r="G3" s="13" t="str">
        <x:v>Yes</x:v>
      </x:c>
      <x:c r="H3" s="13" t="str">
        <x:v>Track determines staging envelope; stages can then be generated</x:v>
      </x:c>
      <x:c r="I3" s="13" t="str">
        <x:v>Chapter 6 / Annex C</x:v>
      </x:c>
      <x:c r="J3" s="13" t="str">
        <x:v>Highest</x:v>
      </x:c>
      <x:c r="K3" s="13" t="str">
        <x:v>UNRESOLVED</x:v>
      </x:c>
      <x:c r="L3" s="13" t="str"/>
      <x:c r="M3" s="13" t="str"/>
      <x:c r="N3" s="13" t="str"/>
      <x:c r="O3" s="13" t="str"/>
    </x:row>
    <x:row r="4">
      <x:c r="A4" s="13" t="str">
        <x:v>C</x:v>
      </x:c>
      <x:c r="B4" s="13" t="str">
        <x:v>C-03</x:v>
      </x:c>
      <x:c r="C4" s="13" t="str">
        <x:v>Commencement / activation event</x:v>
      </x:c>
      <x:c r="D4" s="13" t="str">
        <x:v>What objective event starts the selected transition?</x:v>
      </x:c>
      <x:c r="E4" s="13" t="str">
        <x:v>NEGOTIATED / ADOPTED</x:v>
      </x:c>
      <x:c r="F4" s="13" t="str">
        <x:v>Per transition tranche</x:v>
      </x:c>
      <x:c r="G4" s="13" t="str">
        <x:v>Yes</x:v>
      </x:c>
      <x:c r="H4" s="13" t="str">
        <x:v>Dates derive after event/date is chosen</x:v>
      </x:c>
      <x:c r="I4" s="13" t="str">
        <x:v>Chapter 6 / Annex C</x:v>
      </x:c>
      <x:c r="J4" s="13" t="str">
        <x:v>High</x:v>
      </x:c>
      <x:c r="K4" s="13" t="str">
        <x:v>UNRESOLVED</x:v>
      </x:c>
      <x:c r="L4" s="13" t="str"/>
      <x:c r="M4" s="13" t="str"/>
      <x:c r="N4" s="13" t="str"/>
      <x:c r="O4" s="13" t="str"/>
    </x:row>
    <x:row r="5">
      <x:c r="A5" s="13" t="str">
        <x:v>C</x:v>
      </x:c>
      <x:c r="B5" s="13" t="str">
        <x:v>C-04</x:v>
      </x:c>
      <x:c r="C5" s="13" t="str">
        <x:v>Stage geometry</x:v>
      </x:c>
      <x:c r="D5" s="13" t="str">
        <x:v>What reductions occur at each legally operative stage?</x:v>
      </x:c>
      <x:c r="E5" s="13" t="str">
        <x:v>NEGOTIATED</x:v>
      </x:c>
      <x:c r="F5" s="13" t="str">
        <x:v>Per transition tranche</x:v>
      </x:c>
      <x:c r="G5" s="13" t="str">
        <x:v>Yes</x:v>
      </x:c>
      <x:c r="H5" s="13" t="str">
        <x:v>May be formula-derived after track and starting treatment are fixed, but the bargain must approve the geometry</x:v>
      </x:c>
      <x:c r="I5" s="13" t="str">
        <x:v>Chapter 6 / Annex C</x:v>
      </x:c>
      <x:c r="J5" s="13" t="str">
        <x:v>High</x:v>
      </x:c>
      <x:c r="K5" s="13" t="str">
        <x:v>UNRESOLVED</x:v>
      </x:c>
      <x:c r="L5" s="13" t="str"/>
      <x:c r="M5" s="13" t="str"/>
      <x:c r="N5" s="13" t="str"/>
      <x:c r="O5" s="13" t="str"/>
    </x:row>
    <x:row r="6">
      <x:c r="A6" s="13" t="str">
        <x:v>C</x:v>
      </x:c>
      <x:c r="B6" s="13" t="str">
        <x:v>C-05</x:v>
      </x:c>
      <x:c r="C6" s="13" t="str">
        <x:v>Ex-out / product boundary</x:v>
      </x:c>
      <x:c r="D6" s="13" t="str">
        <x:v>Is a tariff line only partly sensitive, and if so what objective ex-out defines it?</x:v>
      </x:c>
      <x:c r="E6" s="13" t="str">
        <x:v>NEGOTIATED / TECHNICAL ADOPTION</x:v>
      </x:c>
      <x:c r="F6" s="13" t="str">
        <x:v>Only where line is mixed</x:v>
      </x:c>
      <x:c r="G6" s="13" t="str">
        <x:v>No</x:v>
      </x:c>
      <x:c r="H6" s="13" t="str">
        <x:v>Cannot infer sensitivity from sector reputation or ingredient content</x:v>
      </x:c>
      <x:c r="I6" s="13" t="str">
        <x:v>Chapter 6 / Annex C</x:v>
      </x:c>
      <x:c r="J6" s="13" t="str">
        <x:v>High</x:v>
      </x:c>
      <x:c r="K6" s="13" t="str">
        <x:v>UNRESOLVED</x:v>
      </x:c>
      <x:c r="L6" s="13" t="str"/>
      <x:c r="M6" s="13" t="str"/>
      <x:c r="N6" s="13" t="str"/>
      <x:c r="O6" s="13" t="str"/>
    </x:row>
    <x:row r="7">
      <x:c r="A7" s="13" t="str">
        <x:v>D</x:v>
      </x:c>
      <x:c r="B7" s="13" t="str">
        <x:v>D-01</x:v>
      </x:c>
      <x:c r="C7" s="13" t="str">
        <x:v>Managed-access applicability</x:v>
      </x:c>
      <x:c r="D7" s="13" t="str">
        <x:v>Does an operative managed-access field exist for this ProductRecordID/Party relationship?</x:v>
      </x:c>
      <x:c r="E7" s="13" t="str">
        <x:v>NEGOTIATED / ADOPTED</x:v>
      </x:c>
      <x:c r="F7" s="13" t="str">
        <x:v>Per ProductRecordID/Party relationship</x:v>
      </x:c>
      <x:c r="G7" s="13" t="str">
        <x:v>No</x:v>
      </x:c>
      <x:c r="H7" s="13" t="str">
        <x:v>No TRQ or field is created merely by Annex D population</x:v>
      </x:c>
      <x:c r="I7" s="13" t="str">
        <x:v>Chapter 7 / Annex D</x:v>
      </x:c>
      <x:c r="J7" s="13" t="str">
        <x:v>Highest</x:v>
      </x:c>
      <x:c r="K7" s="13" t="str">
        <x:v>UNRESOLVED</x:v>
      </x:c>
      <x:c r="L7" s="13" t="str"/>
      <x:c r="M7" s="13" t="str"/>
      <x:c r="N7" s="13" t="str"/>
      <x:c r="O7" s="13" t="str"/>
    </x:row>
    <x:row r="8">
      <x:c r="A8" s="13" t="str">
        <x:v>D</x:v>
      </x:c>
      <x:c r="B8" s="13" t="str">
        <x:v>D-02</x:v>
      </x:c>
      <x:c r="C8" s="13" t="str">
        <x:v>Managed-access field geometry</x:v>
      </x:c>
      <x:c r="D8" s="13" t="str">
        <x:v>What quantity/share/season/allocation category or other objective unit defines the field?</x:v>
      </x:c>
      <x:c r="E8" s="13" t="str">
        <x:v>NEGOTIATED / SOURCE-ADOPTED</x:v>
      </x:c>
      <x:c r="F8" s="13" t="str">
        <x:v>Per managed-access record</x:v>
      </x:c>
      <x:c r="G8" s="13" t="str">
        <x:v>Yes</x:v>
      </x:c>
      <x:c r="H8" s="13" t="str">
        <x:v>Residual-field mathematics derive only after this geometry exists</x:v>
      </x:c>
      <x:c r="I8" s="13" t="str">
        <x:v>Chapter 7 / Annex D</x:v>
      </x:c>
      <x:c r="J8" s="13" t="str">
        <x:v>Highest</x:v>
      </x:c>
      <x:c r="K8" s="13" t="str">
        <x:v>UNRESOLVED</x:v>
      </x:c>
      <x:c r="L8" s="13" t="str"/>
      <x:c r="M8" s="13" t="str"/>
      <x:c r="N8" s="13" t="str"/>
      <x:c r="O8" s="13" t="str"/>
    </x:row>
    <x:row r="9">
      <x:c r="A9" s="13" t="str">
        <x:v>D</x:v>
      </x:c>
      <x:c r="B9" s="13" t="str">
        <x:v>D-03</x:v>
      </x:c>
      <x:c r="C9" s="13" t="str">
        <x:v>Vesting track</x:v>
      </x:c>
      <x:c r="D9" s="13" t="str">
        <x:v>Which 36/28/12/immediate/42-month trajectory governs displacement?</x:v>
      </x:c>
      <x:c r="E9" s="13" t="str">
        <x:v>NEGOTIATED / ADOPTED</x:v>
      </x:c>
      <x:c r="F9" s="13" t="str">
        <x:v>Per vesting tranche</x:v>
      </x:c>
      <x:c r="G9" s="13" t="str">
        <x:v>Yes</x:v>
      </x:c>
      <x:c r="H9" s="13" t="str">
        <x:v>Can mirror C only where expressly chosen; no automatic merger</x:v>
      </x:c>
      <x:c r="I9" s="13" t="str">
        <x:v>Chapter 7 / Annex D</x:v>
      </x:c>
      <x:c r="J9" s="13" t="str">
        <x:v>High</x:v>
      </x:c>
      <x:c r="K9" s="13" t="str">
        <x:v>UNRESOLVED</x:v>
      </x:c>
      <x:c r="L9" s="13" t="str"/>
      <x:c r="M9" s="13" t="str"/>
      <x:c r="N9" s="13" t="str"/>
      <x:c r="O9" s="13" t="str"/>
    </x:row>
    <x:row r="10">
      <x:c r="A10" s="13" t="str">
        <x:v>D</x:v>
      </x:c>
      <x:c r="B10" s="13" t="str">
        <x:v>D-04</x:v>
      </x:c>
      <x:c r="C10" s="13" t="str">
        <x:v>Vesting stages</x:v>
      </x:c>
      <x:c r="D10" s="13" t="str">
        <x:v>What cumulative unrestricted-access amount/share vests at each event?</x:v>
      </x:c>
      <x:c r="E10" s="13" t="str">
        <x:v>NEGOTIATED</x:v>
      </x:c>
      <x:c r="F10" s="13" t="str">
        <x:v>Per vesting tranche</x:v>
      </x:c>
      <x:c r="G10" s="13" t="str">
        <x:v>Yes</x:v>
      </x:c>
      <x:c r="H10" s="13" t="str">
        <x:v>Residual managed-access field then derives mechanically</x:v>
      </x:c>
      <x:c r="I10" s="13" t="str">
        <x:v>Chapter 7 / Annex D</x:v>
      </x:c>
      <x:c r="J10" s="13" t="str">
        <x:v>High</x:v>
      </x:c>
      <x:c r="K10" s="13" t="str">
        <x:v>UNRESOLVED</x:v>
      </x:c>
      <x:c r="L10" s="13" t="str"/>
      <x:c r="M10" s="13" t="str"/>
      <x:c r="N10" s="13" t="str"/>
      <x:c r="O10" s="13" t="str"/>
    </x:row>
    <x:row r="11">
      <x:c r="A11" s="13" t="str">
        <x:v>D</x:v>
      </x:c>
      <x:c r="B11" s="13" t="str">
        <x:v>D-05</x:v>
      </x:c>
      <x:c r="C11" s="13" t="str">
        <x:v>Allocation / utilization rules retained during transition</x:v>
      </x:c>
      <x:c r="D11" s="13" t="str">
        <x:v>Which allocation, return, reallocation, utilization, or seasonal rules remain legally operative while field remains?</x:v>
      </x:c>
      <x:c r="E11" s="13" t="str">
        <x:v>NEGOTIATED / SOURCE-ADOPTED</x:v>
      </x:c>
      <x:c r="F11" s="13" t="str">
        <x:v>Per managed-access record</x:v>
      </x:c>
      <x:c r="G11" s="13" t="str">
        <x:v>No</x:v>
      </x:c>
      <x:c r="H11" s="13" t="str">
        <x:v>Administrative history alone cannot recreate displaced authority</x:v>
      </x:c>
      <x:c r="I11" s="13" t="str">
        <x:v>Chapter 7 / Annex D</x:v>
      </x:c>
      <x:c r="J11" s="13" t="str">
        <x:v>Medium</x:v>
      </x:c>
      <x:c r="K11" s="13" t="str">
        <x:v>UNRESOLVED</x:v>
      </x:c>
      <x:c r="L11" s="13" t="str"/>
      <x:c r="M11" s="13" t="str"/>
      <x:c r="N11" s="13" t="str"/>
      <x:c r="O11" s="13" t="str"/>
    </x:row>
    <x:row r="12">
      <x:c r="A12" s="13" t="str">
        <x:v>E</x:v>
      </x:c>
      <x:c r="B12" s="13" t="str">
        <x:v>E-01</x:v>
      </x:c>
      <x:c r="C12" s="13" t="str">
        <x:v>Synchronization election</x:v>
      </x:c>
      <x:c r="D12" s="13" t="str">
        <x:v>Is this treatment independent, paired, or trilaterally synchronized?</x:v>
      </x:c>
      <x:c r="E12" s="13" t="str">
        <x:v>NEGOTIATED / ADOPTED</x:v>
      </x:c>
      <x:c r="F12" s="13" t="str">
        <x:v>Per synchronized set</x:v>
      </x:c>
      <x:c r="G12" s="13" t="str">
        <x:v>No</x:v>
      </x:c>
      <x:c r="H12" s="13" t="str">
        <x:v>Default remains independent absent express synchronization</x:v>
      </x:c>
      <x:c r="I12" s="13" t="str">
        <x:v>Chapter 8 / Annex E</x:v>
      </x:c>
      <x:c r="J12" s="13" t="str">
        <x:v>Highest</x:v>
      </x:c>
      <x:c r="K12" s="13" t="str">
        <x:v>UNRESOLVED</x:v>
      </x:c>
      <x:c r="L12" s="13" t="str"/>
      <x:c r="M12" s="13" t="str"/>
      <x:c r="N12" s="13" t="str"/>
      <x:c r="O12" s="13" t="str"/>
    </x:row>
    <x:row r="13">
      <x:c r="A13" s="13" t="str">
        <x:v>E</x:v>
      </x:c>
      <x:c r="B13" s="13" t="str">
        <x:v>E-02</x:v>
      </x:c>
      <x:c r="C13" s="13" t="str">
        <x:v>Legal perimeter</x:v>
      </x:c>
      <x:c r="D13" s="13" t="str">
        <x:v>Which Parties, ProductRecordIDs, treatments and tranches belong to the synchronized set?</x:v>
      </x:c>
      <x:c r="E13" s="13" t="str">
        <x:v>NEGOTIATED / ADOPTED</x:v>
      </x:c>
      <x:c r="F13" s="13" t="str">
        <x:v>Per synchronized set</x:v>
      </x:c>
      <x:c r="G13" s="13" t="str">
        <x:v>No</x:v>
      </x:c>
      <x:c r="H13" s="13" t="str">
        <x:v>Prevents unrelated products from becoming hostage to another set</x:v>
      </x:c>
      <x:c r="I13" s="13" t="str">
        <x:v>Chapter 8 / Annex E</x:v>
      </x:c>
      <x:c r="J13" s="13" t="str">
        <x:v>Highest</x:v>
      </x:c>
      <x:c r="K13" s="13" t="str">
        <x:v>UNRESOLVED</x:v>
      </x:c>
      <x:c r="L13" s="13" t="str"/>
      <x:c r="M13" s="13" t="str"/>
      <x:c r="N13" s="13" t="str"/>
      <x:c r="O13" s="13" t="str"/>
    </x:row>
    <x:row r="14">
      <x:c r="A14" s="13" t="str">
        <x:v>E</x:v>
      </x:c>
      <x:c r="B14" s="13" t="str">
        <x:v>E-03</x:v>
      </x:c>
      <x:c r="C14" s="13" t="str">
        <x:v>Material-performance measure</x:v>
      </x:c>
      <x:c r="D14" s="13" t="str">
        <x:v>What objective weighting/measurement method tests performance?</x:v>
      </x:c>
      <x:c r="E14" s="13" t="str">
        <x:v>NEGOTIATED / ADOPTED</x:v>
      </x:c>
      <x:c r="F14" s="13" t="str">
        <x:v>Per synchronized set</x:v>
      </x:c>
      <x:c r="G14" s="13" t="str">
        <x:v>No</x:v>
      </x:c>
      <x:c r="H14" s="13" t="str">
        <x:v>Examples may include trade value, utilization, quantity or market significance, but choice cannot be inferred</x:v>
      </x:c>
      <x:c r="I14" s="13" t="str">
        <x:v>Chapter 8 / Annex E</x:v>
      </x:c>
      <x:c r="J14" s="13" t="str">
        <x:v>High</x:v>
      </x:c>
      <x:c r="K14" s="13" t="str">
        <x:v>UNRESOLVED</x:v>
      </x:c>
      <x:c r="L14" s="13" t="str"/>
      <x:c r="M14" s="13" t="str"/>
      <x:c r="N14" s="13" t="str"/>
      <x:c r="O14" s="13" t="str"/>
    </x:row>
    <x:row r="15">
      <x:c r="A15" s="13" t="str">
        <x:v>E</x:v>
      </x:c>
      <x:c r="B15" s="13" t="str">
        <x:v>E-04</x:v>
      </x:c>
      <x:c r="C15" s="13" t="str">
        <x:v>Activation threshold/event</x:v>
      </x:c>
      <x:c r="D15" s="13" t="str">
        <x:v>What conditions constitute sufficient reciprocal performance to activate the next treatment?</x:v>
      </x:c>
      <x:c r="E15" s="13" t="str">
        <x:v>NEGOTIATED / ADOPTED</x:v>
      </x:c>
      <x:c r="F15" s="13" t="str">
        <x:v>Per synchronized set</x:v>
      </x:c>
      <x:c r="G15" s="13" t="str">
        <x:v>Yes</x:v>
      </x:c>
      <x:c r="H15" s="13" t="str">
        <x:v>Activation state derives after conditions are fixed and evidence is verified</x:v>
      </x:c>
      <x:c r="I15" s="13" t="str">
        <x:v>Chapter 8 / Annex E</x:v>
      </x:c>
      <x:c r="J15" s="13" t="str">
        <x:v>Highest</x:v>
      </x:c>
      <x:c r="K15" s="13" t="str">
        <x:v>UNRESOLVED</x:v>
      </x:c>
      <x:c r="L15" s="13" t="str"/>
      <x:c r="M15" s="13" t="str"/>
      <x:c r="N15" s="13" t="str"/>
      <x:c r="O15" s="13" t="str"/>
    </x:row>
    <x:row r="16">
      <x:c r="A16" s="13" t="str">
        <x:v>E</x:v>
      </x:c>
      <x:c r="B16" s="13" t="str">
        <x:v>E-05</x:v>
      </x:c>
      <x:c r="C16" s="13" t="str">
        <x:v>Tolerance / cure treatment</x:v>
      </x:c>
      <x:c r="D16" s="13" t="str">
        <x:v>What lawful tolerance, if any, applies to minor technical delay or immaterial shortfall?</x:v>
      </x:c>
      <x:c r="E16" s="13" t="str">
        <x:v>NEGOTIATED / ADOPTED</x:v>
      </x:c>
      <x:c r="F16" s="13" t="str">
        <x:v>Per synchronized set or general rule</x:v>
      </x:c>
      <x:c r="G16" s="13" t="str">
        <x:v>No</x:v>
      </x:c>
      <x:c r="H16" s="13" t="str">
        <x:v>Cannot use tolerance to transfer credits across unrelated sets</x:v>
      </x:c>
      <x:c r="I16" s="13" t="str">
        <x:v>Chapter 8 / Annex E</x:v>
      </x:c>
      <x:c r="J16" s="13" t="str">
        <x:v>Medium</x:v>
      </x:c>
      <x:c r="K16" s="13" t="str">
        <x:v>UNRESOLVED</x:v>
      </x:c>
      <x:c r="L16" s="13" t="str"/>
      <x:c r="M16" s="13" t="str"/>
      <x:c r="N16" s="13" t="str"/>
      <x:c r="O16" s="13" t="str"/>
    </x:row>
    <x:row r="17">
      <x:c r="A17" s="13" t="str">
        <x:v>F</x:v>
      </x:c>
      <x:c r="B17" s="13" t="str">
        <x:v>F-01</x:v>
      </x:c>
      <x:c r="C17" s="13" t="str">
        <x:v>Completion-event mapping</x:v>
      </x:c>
      <x:c r="D17" s="13" t="str">
        <x:v>Which upstream event is legally capable of creating a completed state for this record?</x:v>
      </x:c>
      <x:c r="E17" s="13" t="str">
        <x:v>DERIVED AFTER ADOPTION</x:v>
      </x:c>
      <x:c r="F17" s="13" t="str">
        <x:v>Per completion axis</x:v>
      </x:c>
      <x:c r="G17" s="13" t="str">
        <x:v>Yes</x:v>
      </x:c>
      <x:c r="H17" s="13" t="str">
        <x:v>Do not negotiate completion in F; map it to C/D/E/Chapter 9 legal events</x:v>
      </x:c>
      <x:c r="I17" s="13" t="str">
        <x:v>Chapter 9 / Annex F architecture</x:v>
      </x:c>
      <x:c r="J17" s="13" t="str">
        <x:v>High</x:v>
      </x:c>
      <x:c r="K17" s="13" t="str">
        <x:v>UNRESOLVED</x:v>
      </x:c>
      <x:c r="L17" s="13" t="str"/>
      <x:c r="M17" s="13" t="str"/>
      <x:c r="N17" s="13" t="str"/>
      <x:c r="O17" s="13" t="str"/>
    </x:row>
    <x:row r="18">
      <x:c r="A18" s="13" t="str">
        <x:v>F</x:v>
      </x:c>
      <x:c r="B18" s="13" t="str">
        <x:v>F-02</x:v>
      </x:c>
      <x:c r="C18" s="13" t="str">
        <x:v>Completed-state value</x:v>
      </x:c>
      <x:c r="D18" s="13" t="str">
        <x:v>Has the mapped event actually occurred: not yet eligible, partial, completed, or successor-record state?</x:v>
      </x:c>
      <x:c r="E18" s="13" t="str">
        <x:v>DERIVED / VERIFIED</x:v>
      </x:c>
      <x:c r="F18" s="13" t="str">
        <x:v>Per ProductRecordID and completion axis</x:v>
      </x:c>
      <x:c r="G18" s="13" t="str">
        <x:v>Yes</x:v>
      </x:c>
      <x:c r="H18" s="13" t="str">
        <x:v>F records completion; it does not create it</x:v>
      </x:c>
      <x:c r="I18" s="13" t="str">
        <x:v>Chapter 9 / Annex F architecture</x:v>
      </x:c>
      <x:c r="J18" s="13" t="str">
        <x:v>High</x:v>
      </x:c>
      <x:c r="K18" s="13" t="str">
        <x:v>UNRESOLVED</x:v>
      </x:c>
      <x:c r="L18" s="13" t="str"/>
      <x:c r="M18" s="13" t="str"/>
      <x:c r="N18" s="13" t="str"/>
      <x:c r="O18" s="13" t="str"/>
    </x:row>
    <x:row r="19">
      <x:c r="A19" s="13" t="str">
        <x:v>F</x:v>
      </x:c>
      <x:c r="B19" s="13" t="str">
        <x:v>F-03</x:v>
      </x:c>
      <x:c r="C19" s="13" t="str">
        <x:v>Zero-Line / vesting / managed-access / synchronization axes</x:v>
      </x:c>
      <x:c r="D19" s="13" t="str">
        <x:v>Which independent completion axes apply to this ProductRecordID?</x:v>
      </x:c>
      <x:c r="E19" s="13" t="str">
        <x:v>DERIVED FROM UPSTREAM DESIGN</x:v>
      </x:c>
      <x:c r="F19" s="13" t="str">
        <x:v>Per ProductRecordID</x:v>
      </x:c>
      <x:c r="G19" s="13" t="str">
        <x:v>Yes</x:v>
      </x:c>
      <x:c r="H19" s="13" t="str">
        <x:v>Keep axes separate; one completed state does not imply another</x:v>
      </x:c>
      <x:c r="I19" s="13" t="str">
        <x:v>Chapter 9 / Annex F architecture</x:v>
      </x:c>
      <x:c r="J19" s="13" t="str">
        <x:v>Medium</x:v>
      </x:c>
      <x:c r="K19" s="13" t="str">
        <x:v>UNRESOLVED</x:v>
      </x:c>
      <x:c r="L19" s="13" t="str"/>
      <x:c r="M19" s="13" t="str"/>
      <x:c r="N19" s="13" t="str"/>
      <x:c r="O19" s="13" t="str"/>
    </x:row>
    <x:row r="20">
      <x:c r="A20" s="13" t="str">
        <x:v>G</x:v>
      </x:c>
      <x:c r="B20" s="13" t="str">
        <x:v>G-01</x:v>
      </x:c>
      <x:c r="C20" s="13" t="str">
        <x:v>Origin-rule assignment</x:v>
      </x:c>
      <x:c r="D20" s="13" t="str">
        <x:v>Which Chapter 10 rule type applies: wholly obtained, specific process, CTC, RVC, maximum non-originating content, or structured hybrid?</x:v>
      </x:c>
      <x:c r="E20" s="13" t="str">
        <x:v>NEGOTIATED / ADOPTED</x:v>
      </x:c>
      <x:c r="F20" s="13" t="str">
        <x:v>Per ProductRecordID or defined product group</x:v>
      </x:c>
      <x:c r="G20" s="13" t="str">
        <x:v>No</x:v>
      </x:c>
      <x:c r="H20" s="13" t="str">
        <x:v>No seventh rule type and no rule inferred from tariff treatment</x:v>
      </x:c>
      <x:c r="I20" s="13" t="str">
        <x:v>Chapter 10 / Annex G</x:v>
      </x:c>
      <x:c r="J20" s="13" t="str">
        <x:v>Highest</x:v>
      </x:c>
      <x:c r="K20" s="13" t="str">
        <x:v>UNRESOLVED</x:v>
      </x:c>
      <x:c r="L20" s="13" t="str"/>
      <x:c r="M20" s="13" t="str"/>
      <x:c r="N20" s="13" t="str"/>
      <x:c r="O20" s="13" t="str"/>
    </x:row>
    <x:row r="21">
      <x:c r="A21" s="13" t="str">
        <x:v>G</x:v>
      </x:c>
      <x:c r="B21" s="13" t="str">
        <x:v>G-02</x:v>
      </x:c>
      <x:c r="C21" s="13" t="str">
        <x:v>CTC criterion</x:v>
      </x:c>
      <x:c r="D21" s="13" t="str">
        <x:v>If CTC applies, what tariff-shift level and exceptions govern?</x:v>
      </x:c>
      <x:c r="E21" s="13" t="str">
        <x:v>NEGOTIATED / ADOPTED</x:v>
      </x:c>
      <x:c r="F21" s="13" t="str">
        <x:v>Only CTC/hybrid records</x:v>
      </x:c>
      <x:c r="G21" s="13" t="str">
        <x:v>No</x:v>
      </x:c>
      <x:c r="H21" s="13" t="str">
        <x:v>Do not invent heading/subheading/chapter shifts</x:v>
      </x:c>
      <x:c r="I21" s="13" t="str">
        <x:v>Chapter 10 / Annex G</x:v>
      </x:c>
      <x:c r="J21" s="13" t="str">
        <x:v>High</x:v>
      </x:c>
      <x:c r="K21" s="13" t="str">
        <x:v>UNRESOLVED</x:v>
      </x:c>
      <x:c r="L21" s="13" t="str"/>
      <x:c r="M21" s="13" t="str"/>
      <x:c r="N21" s="13" t="str"/>
      <x:c r="O21" s="13" t="str"/>
    </x:row>
    <x:row r="22">
      <x:c r="A22" s="13" t="str">
        <x:v>G</x:v>
      </x:c>
      <x:c r="B22" s="13" t="str">
        <x:v>G-03</x:v>
      </x:c>
      <x:c r="C22" s="13" t="str">
        <x:v>RVC threshold / method</x:v>
      </x:c>
      <x:c r="D22" s="13" t="str">
        <x:v>If RVC applies, what percentage and calculation method govern?</x:v>
      </x:c>
      <x:c r="E22" s="13" t="str">
        <x:v>NEGOTIATED / ADOPTED</x:v>
      </x:c>
      <x:c r="F22" s="13" t="str">
        <x:v>Only RVC/hybrid records</x:v>
      </x:c>
      <x:c r="G22" s="13" t="str">
        <x:v>No</x:v>
      </x:c>
      <x:c r="H22" s="13" t="str">
        <x:v>Threshold remains held until adopted</x:v>
      </x:c>
      <x:c r="I22" s="13" t="str">
        <x:v>Chapter 10 / Annex G</x:v>
      </x:c>
      <x:c r="J22" s="13" t="str">
        <x:v>High</x:v>
      </x:c>
      <x:c r="K22" s="13" t="str">
        <x:v>UNRESOLVED</x:v>
      </x:c>
      <x:c r="L22" s="13" t="str"/>
      <x:c r="M22" s="13" t="str"/>
      <x:c r="N22" s="13" t="str"/>
      <x:c r="O22" s="13" t="str"/>
    </x:row>
    <x:row r="23">
      <x:c r="A23" s="13" t="str">
        <x:v>G</x:v>
      </x:c>
      <x:c r="B23" s="13" t="str">
        <x:v>G-04</x:v>
      </x:c>
      <x:c r="C23" s="13" t="str">
        <x:v>Maximum non-originating content / de minimis</x:v>
      </x:c>
      <x:c r="D23" s="13" t="str">
        <x:v>What percentage or product-specific ceiling applies where used?</x:v>
      </x:c>
      <x:c r="E23" s="13" t="str">
        <x:v>NEGOTIATED / ADOPTED</x:v>
      </x:c>
      <x:c r="F23" s="13" t="str">
        <x:v>Only applicable rule records</x:v>
      </x:c>
      <x:c r="G23" s="13" t="str">
        <x:v>No</x:v>
      </x:c>
      <x:c r="H23" s="13" t="str">
        <x:v>Do not globalize a threshold across products without adoption</x:v>
      </x:c>
      <x:c r="I23" s="13" t="str">
        <x:v>Chapter 10 / Annex G</x:v>
      </x:c>
      <x:c r="J23" s="13" t="str">
        <x:v>High</x:v>
      </x:c>
      <x:c r="K23" s="13" t="str">
        <x:v>UNRESOLVED</x:v>
      </x:c>
      <x:c r="L23" s="13" t="str"/>
      <x:c r="M23" s="13" t="str"/>
      <x:c r="N23" s="13" t="str"/>
      <x:c r="O23" s="13" t="str"/>
    </x:row>
    <x:row r="24">
      <x:c r="A24" s="13" t="str">
        <x:v>G</x:v>
      </x:c>
      <x:c r="B24" s="13" t="str">
        <x:v>G-05</x:v>
      </x:c>
      <x:c r="C24" s="13" t="str">
        <x:v>Specific process / sensitive input condition</x:v>
      </x:c>
      <x:c r="D24" s="13" t="str">
        <x:v>What required process, originating input, or prohibited non-originating input condition applies?</x:v>
      </x:c>
      <x:c r="E24" s="13" t="str">
        <x:v>NEGOTIATED / ADOPTED</x:v>
      </x:c>
      <x:c r="F24" s="13" t="str">
        <x:v>Only applicable rule records</x:v>
      </x:c>
      <x:c r="G24" s="13" t="str">
        <x:v>No</x:v>
      </x:c>
      <x:c r="H24" s="13" t="str">
        <x:v>Must be objectively stated and product-specific where required</x:v>
      </x:c>
      <x:c r="I24" s="13" t="str">
        <x:v>Chapter 10 / Annex G</x:v>
      </x:c>
      <x:c r="J24" s="13" t="str">
        <x:v>High</x:v>
      </x:c>
      <x:c r="K24" s="13" t="str">
        <x:v>UNRESOLVED</x:v>
      </x:c>
      <x:c r="L24" s="13" t="str"/>
      <x:c r="M24" s="13" t="str"/>
      <x:c r="N24" s="13" t="str"/>
      <x:c r="O24" s="13" t="str"/>
    </x:row>
    <x:row r="25">
      <x:c r="A25" s="13" t="str">
        <x:v>G</x:v>
      </x:c>
      <x:c r="B25" s="13" t="str">
        <x:v>G-06</x:v>
      </x:c>
      <x:c r="C25" s="13" t="str">
        <x:v>Alternative-route logic</x:v>
      </x:c>
      <x:c r="D25" s="13" t="str">
        <x:v>Where multiple routes exist, are they alternatives, cumulative conditions, or nested tests?</x:v>
      </x:c>
      <x:c r="E25" s="13" t="str">
        <x:v>NEGOTIATED / ADOPTED</x:v>
      </x:c>
      <x:c r="F25" s="13" t="str">
        <x:v>Only multi-route rules</x:v>
      </x:c>
      <x:c r="G25" s="13" t="str">
        <x:v>No</x:v>
      </x:c>
      <x:c r="H25" s="13" t="str">
        <x:v>Relationship among components must be explicit</x:v>
      </x:c>
      <x:c r="I25" s="13" t="str">
        <x:v>Chapter 10 / Annex G</x:v>
      </x:c>
      <x:c r="J25" s="13" t="str">
        <x:v>Medium</x:v>
      </x:c>
      <x:c r="K25" s="13" t="str">
        <x:v>UNRESOLVED</x:v>
      </x:c>
      <x:c r="L25" s="13" t="str"/>
      <x:c r="M25" s="13" t="str"/>
      <x:c r="N25" s="13" t="str"/>
      <x:c r="O25" s="13" t="str"/>
    </x:row>
  </x:sheetData>
  <x:dataValidations count="1">
    <x:dataValidation type="list" sqref="K2:K25">
      <x:formula1>"UNRESOLVED,PROPOSED,AGREED,ADOPTED,NOT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0aa2c6d80c43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2" hidden="0" customWidth="1"/>
    <x:col min="4" max="4" width="44" hidden="0" customWidth="1"/>
    <x:col min="5" max="5" width="88" hidden="0" customWidth="1"/>
    <x:col min="6" max="6" width="34" hidden="0" customWidth="1"/>
    <x:col min="7" max="7" width="60" hidden="0" customWidth="1"/>
    <x:col min="8" max="8" width="28" hidden="0" customWidth="1"/>
    <x:col min="9" max="9" width="18" hidden="0" customWidth="1"/>
    <x:col min="10" max="10" width="48" hidden="0" customWidth="1"/>
    <x:col min="11" max="11" width="60" hidden="0" customWidth="1"/>
  </x:cols>
  <x:sheetData>
    <x:row r="1">
      <x:c r="A1" s="17" t="str">
        <x:v>Batch</x:v>
      </x:c>
      <x:c r="B1" s="17" t="str">
        <x:v>Factory Operation</x:v>
      </x:c>
      <x:c r="C1" s="17" t="str">
        <x:v>Annex</x:v>
      </x:c>
      <x:c r="D1" s="17" t="str">
        <x:v>Population Scope</x:v>
      </x:c>
      <x:c r="E1" s="17" t="str">
        <x:v>Action</x:v>
      </x:c>
      <x:c r="F1" s="17" t="str">
        <x:v>Decision IDs / Input</x:v>
      </x:c>
      <x:c r="G1" s="17" t="str">
        <x:v>Result / Dependency</x:v>
      </x:c>
      <x:c r="H1" s="17" t="str">
        <x:v>Owner / Lead</x:v>
      </x:c>
      <x:c r="I1" s="17" t="str">
        <x:v>Batch Status</x:v>
      </x:c>
      <x:c r="J1" s="17" t="str">
        <x:v>Adoption Instrument</x:v>
      </x:c>
      <x:c r="K1" s="17" t="str">
        <x:v>Notes</x:v>
      </x:c>
    </x:row>
    <x:row r="2">
      <x:c r="A2" s="13" t="str">
        <x:v>BATCH-01</x:v>
      </x:c>
      <x:c r="B2" s="13" t="str">
        <x:v>Coverage prerequisite</x:v>
      </x:c>
      <x:c r="C2" s="13" t="str">
        <x:v>A/B</x:v>
      </x:c>
      <x:c r="D2" s="13" t="str">
        <x:v>963 families</x:v>
      </x:c>
      <x:c r="E2" s="13" t="str">
        <x:v>Resolve only ProductRecordIDs that are to become Covered; C/D/E/F/G cannot create coverage.</x:v>
      </x:c>
      <x:c r="F2" s="13" t="str">
        <x:v>Coverage decision / controlling Annex A state</x:v>
      </x:c>
      <x:c r="G2" s="13" t="str">
        <x:v>Blocks all downstream operative promotion</x:v>
      </x:c>
      <x:c r="H2" s="13" t="str"/>
      <x:c r="I2" s="13" t="str">
        <x:v>NOT STARTED</x:v>
      </x:c>
      <x:c r="J2" s="13" t="str"/>
      <x:c r="K2" s="13" t="str"/>
    </x:row>
    <x:row r="3">
      <x:c r="A3" s="13" t="str">
        <x:v>BATCH-02</x:v>
      </x:c>
      <x:c r="B3" s="13" t="str">
        <x:v>Sensitive-sector designation</x:v>
      </x:c>
      <x:c r="C3" s="13" t="str">
        <x:v>C</x:v>
      </x:c>
      <x:c r="D3" s="13" t="str">
        <x:v>Candidate sensitive groups</x:v>
      </x:c>
      <x:c r="E3" s="13" t="str">
        <x:v>Choose affirmative C designations and objective boundaries; everything else stays Chapter 5 default.</x:v>
      </x:c>
      <x:c r="F3" s="13" t="str">
        <x:v>C-01, C-05</x:v>
      </x:c>
      <x:c r="G3" s="13" t="str">
        <x:v>Unlocks C track decisions</x:v>
      </x:c>
      <x:c r="H3" s="13" t="str"/>
      <x:c r="I3" s="13" t="str">
        <x:v>NOT STARTED</x:v>
      </x:c>
      <x:c r="J3" s="13" t="str"/>
      <x:c r="K3" s="13" t="str"/>
    </x:row>
    <x:row r="4">
      <x:c r="A4" s="13" t="str">
        <x:v>BATCH-03</x:v>
      </x:c>
      <x:c r="B4" s="13" t="str">
        <x:v>Sensitive transition tracks</x:v>
      </x:c>
      <x:c r="C4" s="13" t="str">
        <x:v>C</x:v>
      </x:c>
      <x:c r="D4" s="13" t="str">
        <x:v>Each designated C tranche</x:v>
      </x:c>
      <x:c r="E4" s="13" t="str">
        <x:v>Choose 36/28/12/immediate/42 architecture, commencement event, and stage geometry.</x:v>
      </x:c>
      <x:c r="F4" s="13" t="str">
        <x:v>C-02, C-03, C-04</x:v>
      </x:c>
      <x:c r="G4" s="13" t="str">
        <x:v>Generates C operative schedule</x:v>
      </x:c>
      <x:c r="H4" s="13" t="str"/>
      <x:c r="I4" s="13" t="str">
        <x:v>NOT STARTED</x:v>
      </x:c>
      <x:c r="J4" s="13" t="str"/>
      <x:c r="K4" s="13" t="str"/>
    </x:row>
    <x:row r="5">
      <x:c r="A5" s="13" t="str">
        <x:v>BATCH-04</x:v>
      </x:c>
      <x:c r="B5" s="13" t="str">
        <x:v>Managed-access fields</x:v>
      </x:c>
      <x:c r="C5" s="13" t="str">
        <x:v>D</x:v>
      </x:c>
      <x:c r="D5" s="13" t="str">
        <x:v>Only records with valid managed-access architecture</x:v>
      </x:c>
      <x:c r="E5" s="13" t="str">
        <x:v>Define field geometry and transitional administration.</x:v>
      </x:c>
      <x:c r="F5" s="13" t="str">
        <x:v>D-01, D-02, D-05</x:v>
      </x:c>
      <x:c r="G5" s="13" t="str">
        <x:v>Unlocks vesting math</x:v>
      </x:c>
      <x:c r="H5" s="13" t="str"/>
      <x:c r="I5" s="13" t="str">
        <x:v>NOT STARTED</x:v>
      </x:c>
      <x:c r="J5" s="13" t="str"/>
      <x:c r="K5" s="13" t="str"/>
    </x:row>
    <x:row r="6">
      <x:c r="A6" s="13" t="str">
        <x:v>BATCH-05</x:v>
      </x:c>
      <x:c r="B6" s="13" t="str">
        <x:v>Vesting trajectories</x:v>
      </x:c>
      <x:c r="C6" s="13" t="str">
        <x:v>D</x:v>
      </x:c>
      <x:c r="D6" s="13" t="str">
        <x:v>Each D vesting tranche</x:v>
      </x:c>
      <x:c r="E6" s="13" t="str">
        <x:v>Choose trajectory and cumulative vesting stages.</x:v>
      </x:c>
      <x:c r="F6" s="13" t="str">
        <x:v>D-03, D-04</x:v>
      </x:c>
      <x:c r="G6" s="13" t="str">
        <x:v>Residual field becomes derivable</x:v>
      </x:c>
      <x:c r="H6" s="13" t="str"/>
      <x:c r="I6" s="13" t="str">
        <x:v>NOT STARTED</x:v>
      </x:c>
      <x:c r="J6" s="13" t="str"/>
      <x:c r="K6" s="13" t="str"/>
    </x:row>
    <x:row r="7">
      <x:c r="A7" s="13" t="str">
        <x:v>BATCH-06</x:v>
      </x:c>
      <x:c r="B7" s="13" t="str">
        <x:v>Synchronization election</x:v>
      </x:c>
      <x:c r="C7" s="13" t="str">
        <x:v>E</x:v>
      </x:c>
      <x:c r="D7" s="13" t="str">
        <x:v>Only treatment intentionally conditioned on reciprocal performance</x:v>
      </x:c>
      <x:c r="E7" s="13" t="str">
        <x:v>Choose independent vs paired vs trilateral and define legal perimeter.</x:v>
      </x:c>
      <x:c r="F7" s="13" t="str">
        <x:v>E-01, E-02</x:v>
      </x:c>
      <x:c r="G7" s="13" t="str">
        <x:v>Avoids accidental reciprocity</x:v>
      </x:c>
      <x:c r="H7" s="13" t="str"/>
      <x:c r="I7" s="13" t="str">
        <x:v>NOT STARTED</x:v>
      </x:c>
      <x:c r="J7" s="13" t="str"/>
      <x:c r="K7" s="13" t="str"/>
    </x:row>
    <x:row r="8">
      <x:c r="A8" s="13" t="str">
        <x:v>BATCH-07</x:v>
      </x:c>
      <x:c r="B8" s="13" t="str">
        <x:v>Synchronization activation</x:v>
      </x:c>
      <x:c r="C8" s="13" t="str">
        <x:v>E</x:v>
      </x:c>
      <x:c r="D8" s="13" t="str">
        <x:v>Each synchronized set</x:v>
      </x:c>
      <x:c r="E8" s="13" t="str">
        <x:v>Choose performance measure, activation condition and tolerance.</x:v>
      </x:c>
      <x:c r="F8" s="13" t="str">
        <x:v>E-03, E-04, E-05</x:v>
      </x:c>
      <x:c r="G8" s="13" t="str">
        <x:v>Activation state becomes verifiable</x:v>
      </x:c>
      <x:c r="H8" s="13" t="str"/>
      <x:c r="I8" s="13" t="str">
        <x:v>NOT STARTED</x:v>
      </x:c>
      <x:c r="J8" s="13" t="str"/>
      <x:c r="K8" s="13" t="str"/>
    </x:row>
    <x:row r="9">
      <x:c r="A9" s="13" t="str">
        <x:v>BATCH-08</x:v>
      </x:c>
      <x:c r="B9" s="13" t="str">
        <x:v>Origin rule families</x:v>
      </x:c>
      <x:c r="C9" s="13" t="str">
        <x:v>G</x:v>
      </x:c>
      <x:c r="D9" s="13" t="str">
        <x:v>Product groups sharing genuinely common production logic</x:v>
      </x:c>
      <x:c r="E9" s="13" t="str">
        <x:v>Assign one of six rule types.</x:v>
      </x:c>
      <x:c r="F9" s="13" t="str">
        <x:v>G-01</x:v>
      </x:c>
      <x:c r="G9" s="13" t="str">
        <x:v>Unlocks product-specific rule detail</x:v>
      </x:c>
      <x:c r="H9" s="13" t="str"/>
      <x:c r="I9" s="13" t="str">
        <x:v>NOT STARTED</x:v>
      </x:c>
      <x:c r="J9" s="13" t="str"/>
      <x:c r="K9" s="13" t="str"/>
    </x:row>
    <x:row r="10">
      <x:c r="A10" s="13" t="str">
        <x:v>BATCH-09</x:v>
      </x:c>
      <x:c r="B10" s="13" t="str">
        <x:v>Origin thresholds and tests</x:v>
      </x:c>
      <x:c r="C10" s="13" t="str">
        <x:v>G</x:v>
      </x:c>
      <x:c r="D10" s="13" t="str">
        <x:v>Only rule families requiring CTC/RVC/content/process tests</x:v>
      </x:c>
      <x:c r="E10" s="13" t="str">
        <x:v>Populate the actual thresholds, shifts, processes and alternative-route logic.</x:v>
      </x:c>
      <x:c r="F10" s="13" t="str">
        <x:v>G-02 through G-06</x:v>
      </x:c>
      <x:c r="G10" s="13" t="str">
        <x:v>Completes G operative rules</x:v>
      </x:c>
      <x:c r="H10" s="13" t="str"/>
      <x:c r="I10" s="13" t="str">
        <x:v>NOT STARTED</x:v>
      </x:c>
      <x:c r="J10" s="13" t="str"/>
      <x:c r="K10" s="13" t="str"/>
    </x:row>
    <x:row r="11">
      <x:c r="A11" s="13" t="str">
        <x:v>BATCH-10</x:v>
      </x:c>
      <x:c r="B11" s="13" t="str">
        <x:v>Completed-state derivation</x:v>
      </x:c>
      <x:c r="C11" s="13" t="str">
        <x:v>F</x:v>
      </x:c>
      <x:c r="D11" s="13" t="str">
        <x:v>Only after upstream C/D/E/G and Chapter 9 states are operative</x:v>
      </x:c>
      <x:c r="E11" s="13" t="str">
        <x:v>Map and verify completion events; do not negotiate them in F.</x:v>
      </x:c>
      <x:c r="F11" s="13" t="str">
        <x:v>F-01 through F-03</x:v>
      </x:c>
      <x:c r="G11" s="13" t="str">
        <x:v>Populates durable completed-state register</x:v>
      </x:c>
      <x:c r="H11" s="13" t="str"/>
      <x:c r="I11" s="13" t="str">
        <x:v>NOT STARTED</x:v>
      </x:c>
      <x:c r="J11" s="13" t="str"/>
      <x:c r="K11" s="13" t="str"/>
    </x:row>
  </x:sheetData>
  <x:dataValidations count="1">
    <x:dataValidation type="list" sqref="I2:I11">
      <x:formula1>"NOT STARTED,IN REVIEW,NEGOTIATING,AGREED,ADOPTED,BLOCKED,NOT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054e4a9f6144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" hidden="0" customWidth="1"/>
    <x:col min="3" max="3" width="32" hidden="0" customWidth="1"/>
    <x:col min="4" max="4" width="70" hidden="0" customWidth="1"/>
    <x:col min="5" max="5" width="22" hidden="0" customWidth="1"/>
    <x:col min="6" max="6" width="58" hidden="0" customWidth="1"/>
    <x:col min="7" max="7" width="58" hidden="0" customWidth="1"/>
    <x:col min="8" max="8" width="38" hidden="0" customWidth="1"/>
    <x:col min="9" max="9" width="48" hidden="0" customWidth="1"/>
    <x:col min="10" max="10" width="18" hidden="0" customWidth="1"/>
    <x:col min="11" max="11" width="68" hidden="0" customWidth="1"/>
  </x:cols>
  <x:sheetData>
    <x:row r="1">
      <x:c r="A1" s="17" t="str">
        <x:v>Group ID</x:v>
      </x:c>
      <x:c r="B1" s="17" t="str">
        <x:v>Annex</x:v>
      </x:c>
      <x:c r="C1" s="17" t="str">
        <x:v>Group Type</x:v>
      </x:c>
      <x:c r="D1" s="17" t="str">
        <x:v>ProductRecordIDs / Objective Scope</x:v>
      </x:c>
      <x:c r="E1" s="17" t="str">
        <x:v>Parties</x:v>
      </x:c>
      <x:c r="F1" s="17" t="str">
        <x:v>Decision / Rule</x:v>
      </x:c>
      <x:c r="G1" s="17" t="str">
        <x:v>Parameters / Formula</x:v>
      </x:c>
      <x:c r="H1" s="17" t="str">
        <x:v>Commencement / Activation Event</x:v>
      </x:c>
      <x:c r="I1" s="17" t="str">
        <x:v>Authority / Instrument</x:v>
      </x:c>
      <x:c r="J1" s="17" t="str">
        <x:v>Status</x:v>
      </x:c>
      <x:c r="K1" s="17" t="str">
        <x:v>Notes</x:v>
      </x:c>
    </x:row>
    <x:row r="2">
      <x:c r="A2" s="13" t="str">
        <x:v>C-GRP-001</x:v>
      </x:c>
      <x:c r="B2" s="13" t="str">
        <x:v>C</x:v>
      </x:c>
      <x:c r="C2" s="13" t="str">
        <x:v>Sensitive transition tranche</x:v>
      </x:c>
      <x:c r="D2" s="13" t="str"/>
      <x:c r="E2" s="13" t="str"/>
      <x:c r="F2" s="13" t="str"/>
      <x:c r="G2" s="13" t="str"/>
      <x:c r="H2" s="13" t="str"/>
      <x:c r="I2" s="13" t="str"/>
      <x:c r="J2" s="13" t="str">
        <x:v>UNRESOLVED</x:v>
      </x:c>
      <x:c r="K2" s="13" t="str">
        <x:v>Create only after affirmative sensitivity decision.</x:v>
      </x:c>
    </x:row>
    <x:row r="3">
      <x:c r="A3" s="13" t="str">
        <x:v>D-GRP-001</x:v>
      </x:c>
      <x:c r="B3" s="13" t="str">
        <x:v>D</x:v>
      </x:c>
      <x:c r="C3" s="13" t="str">
        <x:v>Managed-access / vesting tranche</x:v>
      </x:c>
      <x:c r="D3" s="13" t="str"/>
      <x:c r="E3" s="13" t="str"/>
      <x:c r="F3" s="13" t="str"/>
      <x:c r="G3" s="13" t="str"/>
      <x:c r="H3" s="13" t="str"/>
      <x:c r="I3" s="13" t="str"/>
      <x:c r="J3" s="13" t="str">
        <x:v>UNRESOLVED</x:v>
      </x:c>
      <x:c r="K3" s="13" t="str">
        <x:v>Create only where a valid managed-access field is adopted.</x:v>
      </x:c>
    </x:row>
    <x:row r="4">
      <x:c r="A4" s="13" t="str">
        <x:v>E-SET-001</x:v>
      </x:c>
      <x:c r="B4" s="13" t="str">
        <x:v>E</x:v>
      </x:c>
      <x:c r="C4" s="13" t="str">
        <x:v>Synchronization set</x:v>
      </x:c>
      <x:c r="D4" s="13" t="str"/>
      <x:c r="E4" s="13" t="str"/>
      <x:c r="F4" s="13" t="str"/>
      <x:c r="G4" s="13" t="str"/>
      <x:c r="H4" s="13" t="str"/>
      <x:c r="I4" s="13" t="str"/>
      <x:c r="J4" s="13" t="str">
        <x:v>UNRESOLVED</x:v>
      </x:c>
      <x:c r="K4" s="13" t="str">
        <x:v>Unrelated products remain outside the set.</x:v>
      </x:c>
    </x:row>
    <x:row r="5">
      <x:c r="A5" s="13" t="str">
        <x:v>G-GRP-001</x:v>
      </x:c>
      <x:c r="B5" s="13" t="str">
        <x:v>G</x:v>
      </x:c>
      <x:c r="C5" s="13" t="str">
        <x:v>Origin-rule family</x:v>
      </x:c>
      <x:c r="D5" s="13" t="str"/>
      <x:c r="E5" s="13" t="str"/>
      <x:c r="F5" s="13" t="str"/>
      <x:c r="G5" s="13" t="str"/>
      <x:c r="H5" s="13" t="str"/>
      <x:c r="I5" s="13" t="str"/>
      <x:c r="J5" s="13" t="str">
        <x:v>UNRESOLVED</x:v>
      </x:c>
      <x:c r="K5" s="13" t="str">
        <x:v>Group only products sharing genuinely common production logic.</x:v>
      </x:c>
    </x:row>
  </x:sheetData>
  <x:dataValidations count="1">
    <x:dataValidation type="list" sqref="J2:J200">
      <x:formula1>"UNRESOLVED,PROPOSED,AGREED,ADOPTED,SUPERSEDED,NOT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3c86074459462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8" hidden="0" customWidth="1"/>
    <x:col min="4" max="4" width="32" hidden="0" customWidth="1"/>
    <x:col min="5" max="5" width="68" hidden="0" customWidth="1"/>
    <x:col min="6" max="6" width="18" hidden="0" customWidth="1"/>
    <x:col min="7" max="7" width="28" hidden="0" customWidth="1"/>
    <x:col min="8" max="8" width="62" hidden="0" customWidth="1"/>
    <x:col min="9" max="9" width="22" hidden="0" customWidth="1"/>
    <x:col min="10" max="10" width="16" hidden="0" customWidth="1"/>
    <x:col min="11" max="11" width="62" hidden="0" customWidth="1"/>
  </x:cols>
  <x:sheetData>
    <x:row r="1">
      <x:c r="A1" s="17" t="str">
        <x:v>Instrument ID</x:v>
      </x:c>
      <x:c r="B1" s="17" t="str">
        <x:v>Instrument Type</x:v>
      </x:c>
      <x:c r="C1" s="17" t="str">
        <x:v>Adopting Parties / Authority</x:v>
      </x:c>
      <x:c r="D1" s="17" t="str">
        <x:v>Decision IDs</x:v>
      </x:c>
      <x:c r="E1" s="17" t="str">
        <x:v>Affected Group IDs / ProductRecordIDs</x:v>
      </x:c>
      <x:c r="F1" s="17" t="str">
        <x:v>Adoption Date</x:v>
      </x:c>
      <x:c r="G1" s="17" t="str">
        <x:v>Effective Event / Date</x:v>
      </x:c>
      <x:c r="H1" s="17" t="str">
        <x:v>Source / Archive Reference</x:v>
      </x:c>
      <x:c r="I1" s="17" t="str">
        <x:v>Verification Status</x:v>
      </x:c>
      <x:c r="J1" s="17" t="str">
        <x:v>Version</x:v>
      </x:c>
      <x:c r="K1" s="17" t="str">
        <x:v>Notes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>
        <x:v>UNRESOLVED</x:v>
      </x:c>
      <x:c r="J2" s="13" t="str"/>
      <x:c r="K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>
        <x:v>UNRESOLVED</x:v>
      </x:c>
      <x:c r="J3" s="13" t="str"/>
      <x:c r="K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>
        <x:v>UNRESOLVED</x:v>
      </x:c>
      <x:c r="J4" s="13" t="str"/>
      <x:c r="K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>
        <x:v>UNRESOLVED</x:v>
      </x:c>
      <x:c r="J5" s="13" t="str"/>
      <x:c r="K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>
        <x:v>UNRESOLVED</x:v>
      </x:c>
      <x:c r="J6" s="13" t="str"/>
      <x:c r="K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>
        <x:v>UNRESOLVED</x:v>
      </x:c>
      <x:c r="J7" s="13" t="str"/>
      <x:c r="K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>
        <x:v>UNRESOLVED</x:v>
      </x:c>
      <x:c r="J8" s="13" t="str"/>
      <x:c r="K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>
        <x:v>UNRESOLVED</x:v>
      </x:c>
      <x:c r="J9" s="13" t="str"/>
      <x:c r="K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>
        <x:v>UNRESOLVED</x:v>
      </x:c>
      <x:c r="J10" s="13" t="str"/>
      <x:c r="K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>
        <x:v>UNRESOLVED</x:v>
      </x:c>
      <x:c r="J11" s="13" t="str"/>
      <x:c r="K11" s="13" t="str"/>
    </x:row>
    <x:row r="12">
      <x:c r="A12" s="13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>
        <x:v>UNRESOLVED</x:v>
      </x:c>
      <x:c r="J12" s="13" t="str"/>
      <x:c r="K12" s="13" t="str"/>
    </x:row>
    <x:row r="13">
      <x:c r="A13" s="13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>
        <x:v>UNRESOLVED</x:v>
      </x:c>
      <x:c r="J13" s="13" t="str"/>
      <x:c r="K13" s="13" t="str"/>
    </x:row>
    <x:row r="14">
      <x:c r="A14" s="13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>
        <x:v>UNRESOLVED</x:v>
      </x:c>
      <x:c r="J14" s="13" t="str"/>
      <x:c r="K14" s="13" t="str"/>
    </x:row>
    <x:row r="15">
      <x:c r="A15" s="13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>
        <x:v>UNRESOLVED</x:v>
      </x:c>
      <x:c r="J15" s="13" t="str"/>
      <x:c r="K15" s="13" t="str"/>
    </x:row>
    <x:row r="16">
      <x:c r="A16" s="13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>
        <x:v>UNRESOLVED</x:v>
      </x:c>
      <x:c r="J16" s="13" t="str"/>
      <x:c r="K16" s="13" t="str"/>
    </x:row>
    <x:row r="17">
      <x:c r="A17" s="13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>
        <x:v>UNRESOLVED</x:v>
      </x:c>
      <x:c r="J17" s="13" t="str"/>
      <x:c r="K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>
        <x:v>UNRESOLVED</x:v>
      </x:c>
      <x:c r="J18" s="13" t="str"/>
      <x:c r="K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>
        <x:v>UNRESOLVED</x:v>
      </x:c>
      <x:c r="J19" s="13" t="str"/>
      <x:c r="K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>
        <x:v>UNRESOLVED</x:v>
      </x:c>
      <x:c r="J20" s="13" t="str"/>
      <x:c r="K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>
        <x:v>UNRESOLVED</x:v>
      </x:c>
      <x:c r="J21" s="13" t="str"/>
      <x:c r="K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>
        <x:v>UNRESOLVED</x:v>
      </x:c>
      <x:c r="J22" s="13" t="str"/>
      <x:c r="K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>
        <x:v>UNRESOLVED</x:v>
      </x:c>
      <x:c r="J23" s="13" t="str"/>
      <x:c r="K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>
        <x:v>UNRESOLVED</x:v>
      </x:c>
      <x:c r="J24" s="13" t="str"/>
      <x:c r="K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>
        <x:v>UNRESOLVED</x:v>
      </x:c>
      <x:c r="J25" s="13" t="str"/>
      <x:c r="K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>
        <x:v>UNRESOLVED</x:v>
      </x:c>
      <x:c r="J26" s="13" t="str"/>
      <x:c r="K26" s="13" t="str"/>
    </x:row>
  </x:sheetData>
  <x:dataValidations count="1">
    <x:dataValidation type="list" sqref="I2:I26">
      <x:formula1>"UNRESOLVED,PENDING VERIFICATION,VERIFIED,DISPUTED,SUPERSEDED"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8092e2b8b47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8" hidden="0" customWidth="1"/>
  </x:cols>
  <x:sheetData>
    <x:row r="1">
      <x:c r="A1" s="17" t="str">
        <x:v>Control</x:v>
      </x:c>
      <x:c r="B1" s="17" t="str">
        <x:v>Rule</x:v>
      </x:c>
    </x:row>
    <x:row r="2">
      <x:c r="A2" s="13" t="str">
        <x:v>No-inference rule</x:v>
      </x:c>
      <x:c r="B2" s="13" t="str">
        <x:v>This workbook does not convert tariff classification, domestic sensitivity, historical administration, sector reputation, or an empty schedule field into a Compact legal decision.</x:v>
      </x:c>
    </x:row>
    <x:row r="3">
      <x:c r="A3" s="13" t="str">
        <x:v>Coverage firewall</x:v>
      </x:c>
      <x:c r="B3" s="13" t="str">
        <x:v>C/D/E/F/G routing becomes operative only after the controlling coverage state permits it.</x:v>
      </x:c>
    </x:row>
    <x:row r="4">
      <x:c r="A4" s="13" t="str">
        <x:v>C default</x:v>
      </x:c>
      <x:c r="B4" s="13" t="str">
        <x:v>Absent an affirmative operative sensitive designation, the Chapter 5 route remains the default for a Covered good.</x:v>
      </x:c>
    </x:row>
    <x:row r="5">
      <x:c r="A5" s="13" t="str">
        <x:v>D default</x:v>
      </x:c>
      <x:c r="B5" s="13" t="str">
        <x:v>Annex D does not create a managed-access field merely because a ProductRecordID exists.</x:v>
      </x:c>
    </x:row>
    <x:row r="6">
      <x:c r="A6" s="13" t="str">
        <x:v>E default</x:v>
      </x:c>
      <x:c r="B6" s="13" t="str">
        <x:v>Treatment remains independent unless an express synchronized set is adopted.</x:v>
      </x:c>
    </x:row>
    <x:row r="7">
      <x:c r="A7" s="13" t="str">
        <x:v>F sequencing</x:v>
      </x:c>
      <x:c r="B7" s="13" t="str">
        <x:v>Annex F records legally completed states after upstream events; it does not negotiate or create completion.</x:v>
      </x:c>
    </x:row>
    <x:row r="8">
      <x:c r="A8" s="13" t="str">
        <x:v>G rule assignment</x:v>
      </x:c>
      <x:c r="B8" s="13" t="str">
        <x:v>A product-specific origin rule requires adoption. No tariff shift, RVC, de minimis/content threshold, process condition, Party scope, or effective date is inferred.</x:v>
      </x:c>
    </x:row>
    <x:row r="9">
      <x:c r="A9" s="13" t="str">
        <x:v>Authority record</x:v>
      </x:c>
      <x:c r="B9" s="13" t="str">
        <x:v>Every adopted substantive decision should identify the adopting instrument/authority and a reproducible source or archive reference.</x:v>
      </x:c>
    </x:row>
    <x:row r="10">
      <x:c r="A10" s="13" t="str">
        <x:v>Versioning</x:v>
      </x:c>
      <x:c r="B10" s="13" t="str">
        <x:v>Superseded decisions remain traceable through the Adoption Manifest rather than being silently overwritten.</x:v>
      </x:c>
    </x:row>
  </x:sheetData>
  <x:pageMargins left="0.7" right="0.7" top="0.75" bottom="0.75" header="0.3" footer="0.3"/>
  <x:tableParts count="1">
    <x:tablePart xmlns:r="http://schemas.openxmlformats.org/officeDocument/2006/relationships" r:id="R333a24ee0dca42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6" hidden="0" customWidth="1"/>
    <x:col min="3" max="3" width="96" hidden="0" customWidth="1"/>
  </x:cols>
  <x:sheetData>
    <x:row r="1">
      <x:c r="A1" s="17" t="str">
        <x:v>Check</x:v>
      </x:c>
      <x:c r="B1" s="17" t="str">
        <x:v>Result</x:v>
      </x:c>
      <x:c r="C1" s="17" t="str">
        <x:v>Evidence</x:v>
      </x:c>
    </x:row>
    <x:row r="2">
      <x:c r="A2" s="13" t="str">
        <x:v>Product universe</x:v>
      </x:c>
      <x:c r="B2" s="13" t="str">
        <x:v>PASS</x:v>
      </x:c>
      <x:c r="C2" s="13" t="str">
        <x:v>963 ProductRecordIDs loaded from Annex A/B v2.1.</x:v>
      </x:c>
    </x:row>
    <x:row r="3">
      <x:c r="A3" s="13" t="str">
        <x:v>Tri-national identity base</x:v>
      </x:c>
      <x:c r="B3" s="13" t="str">
        <x:v>PASS</x:v>
      </x:c>
      <x:c r="C3" s="13" t="str">
        <x:v>Uses reconciled Annex A/B v2.1 universe.</x:v>
      </x:c>
    </x:row>
    <x:row r="4">
      <x:c r="A4" s="13" t="str">
        <x:v>Decision compression</x:v>
      </x:c>
      <x:c r="B4" s="13" t="str">
        <x:v>PASS</x:v>
      </x:c>
      <x:c r="C4" s="13" t="str">
        <x:v>24 decision classes carried forward.</x:v>
      </x:c>
    </x:row>
    <x:row r="5">
      <x:c r="A5" s="13" t="str">
        <x:v>Factory sequencing</x:v>
      </x:c>
      <x:c r="B5" s="13" t="str">
        <x:v>PASS</x:v>
      </x:c>
      <x:c r="C5" s="13" t="str">
        <x:v>10 adoption batches carried forward.</x:v>
      </x:c>
    </x:row>
    <x:row r="6">
      <x:c r="A6" s="13" t="str">
        <x:v>Coverage preselection</x:v>
      </x:c>
      <x:c r="B6" s="13" t="str">
        <x:v>PASS</x:v>
      </x:c>
      <x:c r="C6" s="13" t="str">
        <x:v>0 products pre-marked Covered.</x:v>
      </x:c>
    </x:row>
    <x:row r="7">
      <x:c r="A7" s="13" t="str">
        <x:v>Sensitive preselection</x:v>
      </x:c>
      <x:c r="B7" s="13" t="str">
        <x:v>PASS</x:v>
      </x:c>
      <x:c r="C7" s="13" t="str">
        <x:v>0 affirmative C designations prefilled.</x:v>
      </x:c>
    </x:row>
    <x:row r="8">
      <x:c r="A8" s="13" t="str">
        <x:v>Managed-access preselection</x:v>
      </x:c>
      <x:c r="B8" s="13" t="str">
        <x:v>PASS</x:v>
      </x:c>
      <x:c r="C8" s="13" t="str">
        <x:v>0 affirmative D fields prefilled.</x:v>
      </x:c>
    </x:row>
    <x:row r="9">
      <x:c r="A9" s="13" t="str">
        <x:v>Synchronization preselection</x:v>
      </x:c>
      <x:c r="B9" s="13" t="str">
        <x:v>PASS</x:v>
      </x:c>
      <x:c r="C9" s="13" t="str">
        <x:v>0 paired/trilateral E sets prefilled.</x:v>
      </x:c>
    </x:row>
    <x:row r="10">
      <x:c r="A10" s="13" t="str">
        <x:v>Origin-rule preselection</x:v>
      </x:c>
      <x:c r="B10" s="13" t="str">
        <x:v>PASS</x:v>
      </x:c>
      <x:c r="C10" s="13" t="str">
        <x:v>0 G rule families prefilled.</x:v>
      </x:c>
    </x:row>
    <x:row r="11">
      <x:c r="A11" s="13" t="str">
        <x:v>Unsupported negotiated values</x:v>
      </x:c>
      <x:c r="B11" s="13" t="str">
        <x:v>PASS</x:v>
      </x:c>
      <x:c r="C11" s="13" t="str">
        <x:v>0 substantive bargain values inserted.</x:v>
      </x:c>
    </x:row>
    <x:row r="12">
      <x:c r="A12" s="13" t="str">
        <x:v>Routing formulas</x:v>
      </x:c>
      <x:c r="B12" s="13" t="str">
        <x:v>PASS</x:v>
      </x:c>
      <x:c r="C12" s="13" t="str">
        <x:v>C/D/E/F/G actionability derives only from negotiator-entered states.</x:v>
      </x:c>
    </x:row>
  </x:sheetData>
  <x:pageMargins left="0.7" right="0.7" top="0.75" bottom="0.75" header="0.3" footer="0.3"/>
  <x:tableParts count="1">
    <x:tablePart xmlns:r="http://schemas.openxmlformats.org/officeDocument/2006/relationships" r:id="R78652d750be14a5e"/>
  </x:tableParts>
</x:worksheet>
</file>